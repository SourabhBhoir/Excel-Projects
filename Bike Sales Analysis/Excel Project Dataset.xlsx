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Saurabh\Downloads\"/>
    </mc:Choice>
  </mc:AlternateContent>
  <xr:revisionPtr revIDLastSave="0" documentId="13_ncr:1_{00158D2C-6474-4C54-A81B-676D9E2C6457}" xr6:coauthVersionLast="47" xr6:coauthVersionMax="47" xr10:uidLastSave="{00000000-0000-0000-0000-000000000000}"/>
  <bookViews>
    <workbookView xWindow="-120" yWindow="-120" windowWidth="20730" windowHeight="11160" activeTab="2" xr2:uid="{00000000-000D-0000-FFFF-FFFF00000000}"/>
  </bookViews>
  <sheets>
    <sheet name="bike_buyers" sheetId="1" r:id="rId1"/>
    <sheet name="Sheet4" sheetId="5" r:id="rId2"/>
    <sheet name="Sheet2" sheetId="6" r:id="rId3"/>
    <sheet name="Sheet1" sheetId="2" r:id="rId4"/>
  </sheets>
  <definedNames>
    <definedName name="_xlnm._FilterDatabase" localSheetId="0" hidden="1">bike_buyers!$A$1:$M$1001</definedName>
    <definedName name="_xlnm._FilterDatabase" localSheetId="3" hidden="1">Sheet1!$A$1:$N$1001</definedName>
    <definedName name="Slicer_Education">#N/A</definedName>
    <definedName name="Slicer_Marital_Status">#N/A</definedName>
    <definedName name="Slicer_Region">#N/A</definedName>
  </definedNames>
  <calcPr calcId="191029"/>
  <pivotCaches>
    <pivotCache cacheId="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<sst xmlns="http://schemas.openxmlformats.org/spreadsheetml/2006/main" count="16273" uniqueCount="50">
  <si>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</si>
  <si>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</si>
  <si>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</si>
  <si>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</si>
  <si>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</si>
  <si>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</si>
  <si>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</si>
  <si>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</si>
  <si>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</si>
  <si>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</si>
  <si>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</si>
  <si>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</si>
  <si>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</si>
  <si>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</si>
  <si>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</si>
  <si>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</si>
  <si>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</si>
  <si>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</si>
  <si>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</si>
  <si>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</si>
  <si>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</si>
  <si>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</si>
  <si>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</si>
  <si>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</si>
  <si>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</si>
  <si>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</si>
  <si>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</si>
  <si>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</si>
  <si>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</si>
  <si>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</si>
  <si>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</si>
  <si>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</si>
  <si>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</si>
  <si>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</si>
  <si>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</si>
  <si>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</si>
  <si>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</si>
  <si>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</si>
  <si>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</si>
  <si>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</si>
  <si>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Group</t>
  </si>
  <si>
    <t>Row Labels</t>
  </si>
  <si>
    <t>Grand Total</t>
  </si>
  <si>
    <t>Column Labels</t>
  </si>
  <si>
    <t>Average of Income</t>
  </si>
  <si>
    <t>More Than 10Miles</t>
  </si>
  <si>
    <t>Count of Purchased Bike</t>
  </si>
  <si>
    <t>Adult</t>
  </si>
  <si>
    <t>Senior</t>
  </si>
  <si>
    <t>Bike Sale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</si>
</sst>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70"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70"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No</c:v>
                </c:pt>
              </c:strCache>
            </c:strRef>
          </c:tx>
          <c:spPr>
            <a:solidFill>
              <a:schemeClr val="accent1"/>
            </a:solidFill>
            <a:ln>
              <a:noFill/>
            </a:ln>
            <a:effectLst/>
          </c:spPr>
          <c:invertIfNegative val="0"/>
          <c:cat>
            <c:strRef>
              <c:f>Sheet4!$A$5:$A$7</c:f>
              <c:strCache>
                <c:ptCount val="2"/>
                <c:pt idx="0">
                  <c:v>Female</c:v>
                </c:pt>
                <c:pt idx="1">
                  <c:v>Male</c:v>
                </c:pt>
              </c:strCache>
            </c:strRef>
          </c:cat>
          <c:val>
            <c:numRef>
              <c:f>Sheet4!$B$5:$B$7</c:f>
              <c:numCache>
                <c:formatCode>_(* #,##0_);_(* \(#,##0\);_(* "-"??_);_(@_)</c:formatCode>
                <c:ptCount val="2"/>
                <c:pt idx="0">
                  <c:v>54885.496183206109</c:v>
                </c:pt>
                <c:pt idx="1">
                  <c:v>59431.818181818184</c:v>
                </c:pt>
              </c:numCache>
            </c:numRef>
          </c:val>
          <c:extLst>
            <c:ext xmlns:c16="http://schemas.microsoft.com/office/drawing/2014/chart" uri="{C3380CC4-5D6E-409C-BE32-E72D297353CC}">
              <c16:uniqueId val="{00000000-7741-420A-94AA-49318A0BF8BB}"/>
            </c:ext>
          </c:extLst>
        </c:ser>
        <c:ser>
          <c:idx val="1"/>
          <c:order val="1"/>
          <c:tx>
            <c:strRef>
              <c:f>Sheet4!$C$3:$C$4</c:f>
              <c:strCache>
                <c:ptCount val="1"/>
                <c:pt idx="0">
                  <c:v>Yes</c:v>
                </c:pt>
              </c:strCache>
            </c:strRef>
          </c:tx>
          <c:spPr>
            <a:solidFill>
              <a:schemeClr val="accent2"/>
            </a:solidFill>
            <a:ln>
              <a:noFill/>
            </a:ln>
            <a:effectLst/>
          </c:spPr>
          <c:invertIfNegative val="0"/>
          <c:cat>
            <c:strRef>
              <c:f>Sheet4!$A$5:$A$7</c:f>
              <c:strCache>
                <c:ptCount val="2"/>
                <c:pt idx="0">
                  <c:v>Female</c:v>
                </c:pt>
                <c:pt idx="1">
                  <c:v>Male</c:v>
                </c:pt>
              </c:strCache>
            </c:strRef>
          </c:cat>
          <c:val>
            <c:numRef>
              <c:f>Sheet4!$C$5:$C$7</c:f>
              <c:numCache>
                <c:formatCode>_(* #,##0_);_(* \(#,##0\);_(* "-"??_);_(@_)</c:formatCode>
                <c:ptCount val="2"/>
                <c:pt idx="0">
                  <c:v>59259.259259259263</c:v>
                </c:pt>
                <c:pt idx="1">
                  <c:v>61300.813008130084</c:v>
                </c:pt>
              </c:numCache>
            </c:numRef>
          </c:val>
          <c:extLst>
            <c:ext xmlns:c16="http://schemas.microsoft.com/office/drawing/2014/chart" uri="{C3380CC4-5D6E-409C-BE32-E72D297353CC}">
              <c16:uniqueId val="{00000001-7741-420A-94AA-49318A0BF8BB}"/>
            </c:ext>
          </c:extLst>
        </c:ser>
        <c:dLbls>
          <c:showLegendKey val="0"/>
          <c:showVal val="0"/>
          <c:showCatName val="0"/>
          <c:showSerName val="0"/>
          <c:showPercent val="0"/>
          <c:showBubbleSize val="0"/>
        </c:dLbls>
        <c:gapWidth val="219"/>
        <c:overlap val="-27"/>
        <c:axId val="1494872816"/>
        <c:axId val="1494873296"/>
      </c:barChart>
      <c:catAx>
        <c:axId val="1494872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873296"/>
        <c:crosses val="autoZero"/>
        <c:auto val="1"/>
        <c:lblAlgn val="ctr"/>
        <c:lblOffset val="100"/>
        <c:noMultiLvlLbl val="0"/>
      </c:catAx>
      <c:valAx>
        <c:axId val="1494873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8728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Sheet4!$B$25:$B$26</c:f>
              <c:strCache>
                <c:ptCount val="1"/>
                <c:pt idx="0">
                  <c:v>No</c:v>
                </c:pt>
              </c:strCache>
            </c:strRef>
          </c:tx>
          <c:spPr>
            <a:ln w="28575" cap="rnd">
              <a:solidFill>
                <a:schemeClr val="accent1"/>
              </a:solidFill>
              <a:round/>
            </a:ln>
            <a:effectLst/>
          </c:spPr>
          <c:marker>
            <c:symbol val="none"/>
          </c:marker>
          <c:cat>
            <c:strRef>
              <c:f>Sheet4!$A$27:$A$32</c:f>
              <c:strCache>
                <c:ptCount val="5"/>
                <c:pt idx="0">
                  <c:v>0-1 Miles</c:v>
                </c:pt>
                <c:pt idx="1">
                  <c:v>10+ Miles</c:v>
                </c:pt>
                <c:pt idx="2">
                  <c:v>1-2 Miles</c:v>
                </c:pt>
                <c:pt idx="3">
                  <c:v>2-5 Miles</c:v>
                </c:pt>
                <c:pt idx="4">
                  <c:v>5-10 Miles</c:v>
                </c:pt>
              </c:strCache>
            </c:strRef>
          </c:cat>
          <c:val>
            <c:numRef>
              <c:f>Sheet4!$B$27:$B$32</c:f>
              <c:numCache>
                <c:formatCode>General</c:formatCode>
                <c:ptCount val="5"/>
                <c:pt idx="0">
                  <c:v>107</c:v>
                </c:pt>
                <c:pt idx="1">
                  <c:v>50</c:v>
                </c:pt>
                <c:pt idx="2">
                  <c:v>50</c:v>
                </c:pt>
                <c:pt idx="3">
                  <c:v>37</c:v>
                </c:pt>
                <c:pt idx="4">
                  <c:v>63</c:v>
                </c:pt>
              </c:numCache>
            </c:numRef>
          </c:val>
          <c:smooth val="0"/>
          <c:extLst>
            <c:ext xmlns:c16="http://schemas.microsoft.com/office/drawing/2014/chart" uri="{C3380CC4-5D6E-409C-BE32-E72D297353CC}">
              <c16:uniqueId val="{00000000-124E-4B1C-B890-F23BB5E47F46}"/>
            </c:ext>
          </c:extLst>
        </c:ser>
        <c:ser>
          <c:idx val="1"/>
          <c:order val="1"/>
          <c:tx>
            <c:strRef>
              <c:f>Sheet4!$C$25:$C$26</c:f>
              <c:strCache>
                <c:ptCount val="1"/>
                <c:pt idx="0">
                  <c:v>Yes</c:v>
                </c:pt>
              </c:strCache>
            </c:strRef>
          </c:tx>
          <c:spPr>
            <a:ln w="28575" cap="rnd">
              <a:solidFill>
                <a:schemeClr val="accent2"/>
              </a:solidFill>
              <a:round/>
            </a:ln>
            <a:effectLst/>
          </c:spPr>
          <c:marker>
            <c:symbol val="none"/>
          </c:marker>
          <c:cat>
            <c:strRef>
              <c:f>Sheet4!$A$27:$A$32</c:f>
              <c:strCache>
                <c:ptCount val="5"/>
                <c:pt idx="0">
                  <c:v>0-1 Miles</c:v>
                </c:pt>
                <c:pt idx="1">
                  <c:v>10+ Miles</c:v>
                </c:pt>
                <c:pt idx="2">
                  <c:v>1-2 Miles</c:v>
                </c:pt>
                <c:pt idx="3">
                  <c:v>2-5 Miles</c:v>
                </c:pt>
                <c:pt idx="4">
                  <c:v>5-10 Miles</c:v>
                </c:pt>
              </c:strCache>
            </c:strRef>
          </c:cat>
          <c:val>
            <c:numRef>
              <c:f>Sheet4!$C$27:$C$32</c:f>
              <c:numCache>
                <c:formatCode>General</c:formatCode>
                <c:ptCount val="5"/>
                <c:pt idx="0">
                  <c:v>98</c:v>
                </c:pt>
                <c:pt idx="1">
                  <c:v>13</c:v>
                </c:pt>
                <c:pt idx="2">
                  <c:v>38</c:v>
                </c:pt>
                <c:pt idx="3">
                  <c:v>44</c:v>
                </c:pt>
                <c:pt idx="4">
                  <c:v>38</c:v>
                </c:pt>
              </c:numCache>
            </c:numRef>
          </c:val>
          <c:smooth val="0"/>
          <c:extLst>
            <c:ext xmlns:c16="http://schemas.microsoft.com/office/drawing/2014/chart" uri="{C3380CC4-5D6E-409C-BE32-E72D297353CC}">
              <c16:uniqueId val="{00000001-124E-4B1C-B890-F23BB5E47F46}"/>
            </c:ext>
          </c:extLst>
        </c:ser>
        <c:dLbls>
          <c:showLegendKey val="0"/>
          <c:showVal val="0"/>
          <c:showCatName val="0"/>
          <c:showSerName val="0"/>
          <c:showPercent val="0"/>
          <c:showBubbleSize val="0"/>
        </c:dLbls>
        <c:smooth val="0"/>
        <c:axId val="1599539023"/>
        <c:axId val="1599537103"/>
      </c:lineChart>
      <c:catAx>
        <c:axId val="1599539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37103"/>
        <c:crosses val="autoZero"/>
        <c:auto val="1"/>
        <c:lblAlgn val="ctr"/>
        <c:lblOffset val="100"/>
        <c:noMultiLvlLbl val="0"/>
      </c:catAx>
      <c:valAx>
        <c:axId val="1599537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3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Sheet4!$B$51:$B$52</c:f>
              <c:strCache>
                <c:ptCount val="1"/>
                <c:pt idx="0">
                  <c:v>No</c:v>
                </c:pt>
              </c:strCache>
            </c:strRef>
          </c:tx>
          <c:spPr>
            <a:solidFill>
              <a:schemeClr val="accent1"/>
            </a:solidFill>
            <a:ln>
              <a:noFill/>
            </a:ln>
            <a:effectLst/>
          </c:spPr>
          <c:invertIfNegative val="0"/>
          <c:cat>
            <c:strRef>
              <c:f>Sheet4!$A$53:$A$55</c:f>
              <c:strCache>
                <c:ptCount val="2"/>
                <c:pt idx="0">
                  <c:v>Adult</c:v>
                </c:pt>
                <c:pt idx="1">
                  <c:v>Senior</c:v>
                </c:pt>
              </c:strCache>
            </c:strRef>
          </c:cat>
          <c:val>
            <c:numRef>
              <c:f>Sheet4!$B$53:$B$55</c:f>
              <c:numCache>
                <c:formatCode>General</c:formatCode>
                <c:ptCount val="2"/>
                <c:pt idx="0">
                  <c:v>248</c:v>
                </c:pt>
                <c:pt idx="1">
                  <c:v>59</c:v>
                </c:pt>
              </c:numCache>
            </c:numRef>
          </c:val>
          <c:extLst>
            <c:ext xmlns:c16="http://schemas.microsoft.com/office/drawing/2014/chart" uri="{C3380CC4-5D6E-409C-BE32-E72D297353CC}">
              <c16:uniqueId val="{00000000-980A-4B8D-A9E9-437347C8946B}"/>
            </c:ext>
          </c:extLst>
        </c:ser>
        <c:ser>
          <c:idx val="1"/>
          <c:order val="1"/>
          <c:tx>
            <c:strRef>
              <c:f>Sheet4!$C$51:$C$52</c:f>
              <c:strCache>
                <c:ptCount val="1"/>
                <c:pt idx="0">
                  <c:v>Yes</c:v>
                </c:pt>
              </c:strCache>
            </c:strRef>
          </c:tx>
          <c:spPr>
            <a:solidFill>
              <a:schemeClr val="accent2"/>
            </a:solidFill>
            <a:ln>
              <a:noFill/>
            </a:ln>
            <a:effectLst/>
          </c:spPr>
          <c:invertIfNegative val="0"/>
          <c:cat>
            <c:strRef>
              <c:f>Sheet4!$A$53:$A$55</c:f>
              <c:strCache>
                <c:ptCount val="2"/>
                <c:pt idx="0">
                  <c:v>Adult</c:v>
                </c:pt>
                <c:pt idx="1">
                  <c:v>Senior</c:v>
                </c:pt>
              </c:strCache>
            </c:strRef>
          </c:cat>
          <c:val>
            <c:numRef>
              <c:f>Sheet4!$C$53:$C$55</c:f>
              <c:numCache>
                <c:formatCode>General</c:formatCode>
                <c:ptCount val="2"/>
                <c:pt idx="0">
                  <c:v>214</c:v>
                </c:pt>
                <c:pt idx="1">
                  <c:v>17</c:v>
                </c:pt>
              </c:numCache>
            </c:numRef>
          </c:val>
          <c:extLst>
            <c:ext xmlns:c16="http://schemas.microsoft.com/office/drawing/2014/chart" uri="{C3380CC4-5D6E-409C-BE32-E72D297353CC}">
              <c16:uniqueId val="{00000001-980A-4B8D-A9E9-437347C8946B}"/>
            </c:ext>
          </c:extLst>
        </c:ser>
        <c:dLbls>
          <c:showLegendKey val="0"/>
          <c:showVal val="0"/>
          <c:showCatName val="0"/>
          <c:showSerName val="0"/>
          <c:showPercent val="0"/>
          <c:showBubbleSize val="0"/>
        </c:dLbls>
        <c:gapWidth val="182"/>
        <c:axId val="1711418655"/>
        <c:axId val="1711409535"/>
      </c:barChart>
      <c:catAx>
        <c:axId val="1711418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409535"/>
        <c:crosses val="autoZero"/>
        <c:auto val="1"/>
        <c:lblAlgn val="ctr"/>
        <c:lblOffset val="100"/>
        <c:noMultiLvlLbl val="0"/>
      </c:catAx>
      <c:valAx>
        <c:axId val="17114095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41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Dataset.xlsx]Sheet4!PivotTable4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Sheet4!$B$73:$B$74</c:f>
              <c:strCache>
                <c:ptCount val="1"/>
                <c:pt idx="0">
                  <c:v>No</c:v>
                </c:pt>
              </c:strCache>
            </c:strRef>
          </c:tx>
          <c:spPr>
            <a:ln w="28575" cap="rnd">
              <a:solidFill>
                <a:schemeClr val="accent1"/>
              </a:solidFill>
              <a:round/>
            </a:ln>
            <a:effectLst/>
          </c:spPr>
          <c:marker>
            <c:symbol val="none"/>
          </c:marker>
          <c:cat>
            <c:strRef>
              <c:f>Sheet4!$A$75:$A$127</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Sheet4!$B$75:$B$127</c:f>
              <c:numCache>
                <c:formatCode>General</c:formatCode>
                <c:ptCount val="52"/>
                <c:pt idx="0">
                  <c:v>1</c:v>
                </c:pt>
                <c:pt idx="1">
                  <c:v>1</c:v>
                </c:pt>
                <c:pt idx="2">
                  <c:v>6</c:v>
                </c:pt>
                <c:pt idx="3">
                  <c:v>4</c:v>
                </c:pt>
                <c:pt idx="4">
                  <c:v>4</c:v>
                </c:pt>
                <c:pt idx="5">
                  <c:v>8</c:v>
                </c:pt>
                <c:pt idx="6">
                  <c:v>5</c:v>
                </c:pt>
                <c:pt idx="7">
                  <c:v>10</c:v>
                </c:pt>
                <c:pt idx="8">
                  <c:v>3</c:v>
                </c:pt>
                <c:pt idx="9">
                  <c:v>5</c:v>
                </c:pt>
                <c:pt idx="10">
                  <c:v>4</c:v>
                </c:pt>
                <c:pt idx="11">
                  <c:v>3</c:v>
                </c:pt>
                <c:pt idx="12">
                  <c:v>3</c:v>
                </c:pt>
                <c:pt idx="13">
                  <c:v>3</c:v>
                </c:pt>
                <c:pt idx="14">
                  <c:v>6</c:v>
                </c:pt>
                <c:pt idx="15">
                  <c:v>15</c:v>
                </c:pt>
                <c:pt idx="16">
                  <c:v>10</c:v>
                </c:pt>
                <c:pt idx="17">
                  <c:v>13</c:v>
                </c:pt>
                <c:pt idx="18">
                  <c:v>10</c:v>
                </c:pt>
                <c:pt idx="19">
                  <c:v>8</c:v>
                </c:pt>
                <c:pt idx="20">
                  <c:v>12</c:v>
                </c:pt>
                <c:pt idx="21">
                  <c:v>12</c:v>
                </c:pt>
                <c:pt idx="22">
                  <c:v>14</c:v>
                </c:pt>
                <c:pt idx="23">
                  <c:v>10</c:v>
                </c:pt>
                <c:pt idx="24">
                  <c:v>10</c:v>
                </c:pt>
                <c:pt idx="25">
                  <c:v>5</c:v>
                </c:pt>
                <c:pt idx="26">
                  <c:v>6</c:v>
                </c:pt>
                <c:pt idx="27">
                  <c:v>6</c:v>
                </c:pt>
                <c:pt idx="28">
                  <c:v>9</c:v>
                </c:pt>
                <c:pt idx="29">
                  <c:v>5</c:v>
                </c:pt>
                <c:pt idx="30">
                  <c:v>11</c:v>
                </c:pt>
                <c:pt idx="31">
                  <c:v>8</c:v>
                </c:pt>
                <c:pt idx="33">
                  <c:v>6</c:v>
                </c:pt>
                <c:pt idx="34">
                  <c:v>12</c:v>
                </c:pt>
                <c:pt idx="35">
                  <c:v>8</c:v>
                </c:pt>
                <c:pt idx="36">
                  <c:v>4</c:v>
                </c:pt>
                <c:pt idx="37">
                  <c:v>5</c:v>
                </c:pt>
                <c:pt idx="38">
                  <c:v>5</c:v>
                </c:pt>
                <c:pt idx="39">
                  <c:v>7</c:v>
                </c:pt>
                <c:pt idx="40">
                  <c:v>5</c:v>
                </c:pt>
                <c:pt idx="41">
                  <c:v>6</c:v>
                </c:pt>
                <c:pt idx="42">
                  <c:v>4</c:v>
                </c:pt>
                <c:pt idx="43">
                  <c:v>1</c:v>
                </c:pt>
                <c:pt idx="44">
                  <c:v>7</c:v>
                </c:pt>
                <c:pt idx="45">
                  <c:v>3</c:v>
                </c:pt>
                <c:pt idx="46">
                  <c:v>1</c:v>
                </c:pt>
                <c:pt idx="48">
                  <c:v>1</c:v>
                </c:pt>
                <c:pt idx="50">
                  <c:v>1</c:v>
                </c:pt>
                <c:pt idx="51">
                  <c:v>1</c:v>
                </c:pt>
              </c:numCache>
            </c:numRef>
          </c:val>
          <c:smooth val="0"/>
          <c:extLst>
            <c:ext xmlns:c16="http://schemas.microsoft.com/office/drawing/2014/chart" uri="{C3380CC4-5D6E-409C-BE32-E72D297353CC}">
              <c16:uniqueId val="{00000000-0431-433A-A552-680E66F09346}"/>
            </c:ext>
          </c:extLst>
        </c:ser>
        <c:ser>
          <c:idx val="1"/>
          <c:order val="1"/>
          <c:tx>
            <c:strRef>
              <c:f>Sheet4!$C$73:$C$74</c:f>
              <c:strCache>
                <c:ptCount val="1"/>
                <c:pt idx="0">
                  <c:v>Yes</c:v>
                </c:pt>
              </c:strCache>
            </c:strRef>
          </c:tx>
          <c:spPr>
            <a:ln w="28575" cap="rnd">
              <a:solidFill>
                <a:schemeClr val="accent2"/>
              </a:solidFill>
              <a:round/>
            </a:ln>
            <a:effectLst/>
          </c:spPr>
          <c:marker>
            <c:symbol val="none"/>
          </c:marker>
          <c:cat>
            <c:strRef>
              <c:f>Sheet4!$A$75:$A$127</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Sheet4!$C$75:$C$127</c:f>
              <c:numCache>
                <c:formatCode>General</c:formatCode>
                <c:ptCount val="52"/>
                <c:pt idx="0">
                  <c:v>2</c:v>
                </c:pt>
                <c:pt idx="1">
                  <c:v>4</c:v>
                </c:pt>
                <c:pt idx="2">
                  <c:v>4</c:v>
                </c:pt>
                <c:pt idx="3">
                  <c:v>3</c:v>
                </c:pt>
                <c:pt idx="4">
                  <c:v>1</c:v>
                </c:pt>
                <c:pt idx="7">
                  <c:v>8</c:v>
                </c:pt>
                <c:pt idx="8">
                  <c:v>5</c:v>
                </c:pt>
                <c:pt idx="9">
                  <c:v>11</c:v>
                </c:pt>
                <c:pt idx="10">
                  <c:v>13</c:v>
                </c:pt>
                <c:pt idx="11">
                  <c:v>13</c:v>
                </c:pt>
                <c:pt idx="12">
                  <c:v>12</c:v>
                </c:pt>
                <c:pt idx="13">
                  <c:v>10</c:v>
                </c:pt>
                <c:pt idx="14">
                  <c:v>2</c:v>
                </c:pt>
                <c:pt idx="15">
                  <c:v>10</c:v>
                </c:pt>
                <c:pt idx="16">
                  <c:v>4</c:v>
                </c:pt>
                <c:pt idx="17">
                  <c:v>5</c:v>
                </c:pt>
                <c:pt idx="18">
                  <c:v>10</c:v>
                </c:pt>
                <c:pt idx="19">
                  <c:v>8</c:v>
                </c:pt>
                <c:pt idx="20">
                  <c:v>8</c:v>
                </c:pt>
                <c:pt idx="21">
                  <c:v>7</c:v>
                </c:pt>
                <c:pt idx="22">
                  <c:v>9</c:v>
                </c:pt>
                <c:pt idx="23">
                  <c:v>11</c:v>
                </c:pt>
                <c:pt idx="24">
                  <c:v>5</c:v>
                </c:pt>
                <c:pt idx="25">
                  <c:v>8</c:v>
                </c:pt>
                <c:pt idx="26">
                  <c:v>7</c:v>
                </c:pt>
                <c:pt idx="27">
                  <c:v>7</c:v>
                </c:pt>
                <c:pt idx="28">
                  <c:v>5</c:v>
                </c:pt>
                <c:pt idx="29">
                  <c:v>7</c:v>
                </c:pt>
                <c:pt idx="30">
                  <c:v>4</c:v>
                </c:pt>
                <c:pt idx="31">
                  <c:v>3</c:v>
                </c:pt>
                <c:pt idx="32">
                  <c:v>4</c:v>
                </c:pt>
                <c:pt idx="33">
                  <c:v>2</c:v>
                </c:pt>
                <c:pt idx="34">
                  <c:v>2</c:v>
                </c:pt>
                <c:pt idx="36">
                  <c:v>3</c:v>
                </c:pt>
                <c:pt idx="38">
                  <c:v>1</c:v>
                </c:pt>
                <c:pt idx="39">
                  <c:v>3</c:v>
                </c:pt>
                <c:pt idx="40">
                  <c:v>1</c:v>
                </c:pt>
                <c:pt idx="41">
                  <c:v>4</c:v>
                </c:pt>
                <c:pt idx="42">
                  <c:v>1</c:v>
                </c:pt>
                <c:pt idx="45">
                  <c:v>1</c:v>
                </c:pt>
                <c:pt idx="47">
                  <c:v>1</c:v>
                </c:pt>
                <c:pt idx="48">
                  <c:v>1</c:v>
                </c:pt>
                <c:pt idx="49">
                  <c:v>1</c:v>
                </c:pt>
              </c:numCache>
            </c:numRef>
          </c:val>
          <c:smooth val="0"/>
          <c:extLst>
            <c:ext xmlns:c16="http://schemas.microsoft.com/office/drawing/2014/chart" uri="{C3380CC4-5D6E-409C-BE32-E72D297353CC}">
              <c16:uniqueId val="{00000001-0431-433A-A552-680E66F09346}"/>
            </c:ext>
          </c:extLst>
        </c:ser>
        <c:dLbls>
          <c:showLegendKey val="0"/>
          <c:showVal val="0"/>
          <c:showCatName val="0"/>
          <c:showSerName val="0"/>
          <c:showPercent val="0"/>
          <c:showBubbleSize val="0"/>
        </c:dLbls>
        <c:smooth val="0"/>
        <c:axId val="1606797679"/>
        <c:axId val="1606802479"/>
      </c:lineChart>
      <c:catAx>
        <c:axId val="1606797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802479"/>
        <c:crosses val="autoZero"/>
        <c:auto val="1"/>
        <c:lblAlgn val="ctr"/>
        <c:lblOffset val="100"/>
        <c:noMultiLvlLbl val="0"/>
      </c:catAx>
      <c:valAx>
        <c:axId val="16068024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79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Dataset.xlsx]Sheet4!PivotTable2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Sheet4!$B$51:$B$52</c:f>
              <c:strCache>
                <c:ptCount val="1"/>
                <c:pt idx="0">
                  <c:v>No</c:v>
                </c:pt>
              </c:strCache>
            </c:strRef>
          </c:tx>
          <c:spPr>
            <a:solidFill>
              <a:schemeClr val="accent1"/>
            </a:solidFill>
            <a:ln>
              <a:noFill/>
            </a:ln>
            <a:effectLst/>
          </c:spPr>
          <c:invertIfNegative val="0"/>
          <c:cat>
            <c:strRef>
              <c:f>Sheet4!$A$53:$A$55</c:f>
              <c:strCache>
                <c:ptCount val="2"/>
                <c:pt idx="0">
                  <c:v>Adult</c:v>
                </c:pt>
                <c:pt idx="1">
                  <c:v>Senior</c:v>
                </c:pt>
              </c:strCache>
            </c:strRef>
          </c:cat>
          <c:val>
            <c:numRef>
              <c:f>Sheet4!$B$53:$B$55</c:f>
              <c:numCache>
                <c:formatCode>General</c:formatCode>
                <c:ptCount val="2"/>
                <c:pt idx="0">
                  <c:v>248</c:v>
                </c:pt>
                <c:pt idx="1">
                  <c:v>59</c:v>
                </c:pt>
              </c:numCache>
            </c:numRef>
          </c:val>
          <c:extLst>
            <c:ext xmlns:c16="http://schemas.microsoft.com/office/drawing/2014/chart" uri="{C3380CC4-5D6E-409C-BE32-E72D297353CC}">
              <c16:uniqueId val="{00000000-ECA7-45F2-B056-A5B1C392F651}"/>
            </c:ext>
          </c:extLst>
        </c:ser>
        <c:ser>
          <c:idx val="1"/>
          <c:order val="1"/>
          <c:tx>
            <c:strRef>
              <c:f>Sheet4!$C$51:$C$52</c:f>
              <c:strCache>
                <c:ptCount val="1"/>
                <c:pt idx="0">
                  <c:v>Yes</c:v>
                </c:pt>
              </c:strCache>
            </c:strRef>
          </c:tx>
          <c:spPr>
            <a:solidFill>
              <a:schemeClr val="accent2"/>
            </a:solidFill>
            <a:ln>
              <a:noFill/>
            </a:ln>
            <a:effectLst/>
          </c:spPr>
          <c:invertIfNegative val="0"/>
          <c:cat>
            <c:strRef>
              <c:f>Sheet4!$A$53:$A$55</c:f>
              <c:strCache>
                <c:ptCount val="2"/>
                <c:pt idx="0">
                  <c:v>Adult</c:v>
                </c:pt>
                <c:pt idx="1">
                  <c:v>Senior</c:v>
                </c:pt>
              </c:strCache>
            </c:strRef>
          </c:cat>
          <c:val>
            <c:numRef>
              <c:f>Sheet4!$C$53:$C$55</c:f>
              <c:numCache>
                <c:formatCode>General</c:formatCode>
                <c:ptCount val="2"/>
                <c:pt idx="0">
                  <c:v>214</c:v>
                </c:pt>
                <c:pt idx="1">
                  <c:v>17</c:v>
                </c:pt>
              </c:numCache>
            </c:numRef>
          </c:val>
          <c:extLst>
            <c:ext xmlns:c16="http://schemas.microsoft.com/office/drawing/2014/chart" uri="{C3380CC4-5D6E-409C-BE32-E72D297353CC}">
              <c16:uniqueId val="{00000001-ECA7-45F2-B056-A5B1C392F651}"/>
            </c:ext>
          </c:extLst>
        </c:ser>
        <c:dLbls>
          <c:showLegendKey val="0"/>
          <c:showVal val="0"/>
          <c:showCatName val="0"/>
          <c:showSerName val="0"/>
          <c:showPercent val="0"/>
          <c:showBubbleSize val="0"/>
        </c:dLbls>
        <c:gapWidth val="182"/>
        <c:axId val="1711418655"/>
        <c:axId val="1711409535"/>
      </c:barChart>
      <c:catAx>
        <c:axId val="1711418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409535"/>
        <c:crosses val="autoZero"/>
        <c:auto val="1"/>
        <c:lblAlgn val="ctr"/>
        <c:lblOffset val="100"/>
        <c:noMultiLvlLbl val="0"/>
      </c:catAx>
      <c:valAx>
        <c:axId val="17114095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41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Dataset.xlsx]Sheet4!PivotTable1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Sheet4!$B$25:$B$26</c:f>
              <c:strCache>
                <c:ptCount val="1"/>
                <c:pt idx="0">
                  <c:v>No</c:v>
                </c:pt>
              </c:strCache>
            </c:strRef>
          </c:tx>
          <c:spPr>
            <a:ln w="28575" cap="rnd">
              <a:solidFill>
                <a:schemeClr val="accent1"/>
              </a:solidFill>
              <a:round/>
            </a:ln>
            <a:effectLst/>
          </c:spPr>
          <c:marker>
            <c:symbol val="none"/>
          </c:marker>
          <c:cat>
            <c:strRef>
              <c:f>Sheet4!$A$27:$A$32</c:f>
              <c:strCache>
                <c:ptCount val="5"/>
                <c:pt idx="0">
                  <c:v>0-1 Miles</c:v>
                </c:pt>
                <c:pt idx="1">
                  <c:v>10+ Miles</c:v>
                </c:pt>
                <c:pt idx="2">
                  <c:v>1-2 Miles</c:v>
                </c:pt>
                <c:pt idx="3">
                  <c:v>2-5 Miles</c:v>
                </c:pt>
                <c:pt idx="4">
                  <c:v>5-10 Miles</c:v>
                </c:pt>
              </c:strCache>
            </c:strRef>
          </c:cat>
          <c:val>
            <c:numRef>
              <c:f>Sheet4!$B$27:$B$32</c:f>
              <c:numCache>
                <c:formatCode>General</c:formatCode>
                <c:ptCount val="5"/>
                <c:pt idx="0">
                  <c:v>107</c:v>
                </c:pt>
                <c:pt idx="1">
                  <c:v>50</c:v>
                </c:pt>
                <c:pt idx="2">
                  <c:v>50</c:v>
                </c:pt>
                <c:pt idx="3">
                  <c:v>37</c:v>
                </c:pt>
                <c:pt idx="4">
                  <c:v>63</c:v>
                </c:pt>
              </c:numCache>
            </c:numRef>
          </c:val>
          <c:smooth val="0"/>
          <c:extLst>
            <c:ext xmlns:c16="http://schemas.microsoft.com/office/drawing/2014/chart" uri="{C3380CC4-5D6E-409C-BE32-E72D297353CC}">
              <c16:uniqueId val="{00000000-872D-4E6A-A6AB-6FBD8EC55496}"/>
            </c:ext>
          </c:extLst>
        </c:ser>
        <c:ser>
          <c:idx val="1"/>
          <c:order val="1"/>
          <c:tx>
            <c:strRef>
              <c:f>Sheet4!$C$25:$C$26</c:f>
              <c:strCache>
                <c:ptCount val="1"/>
                <c:pt idx="0">
                  <c:v>Yes</c:v>
                </c:pt>
              </c:strCache>
            </c:strRef>
          </c:tx>
          <c:spPr>
            <a:ln w="28575" cap="rnd">
              <a:solidFill>
                <a:schemeClr val="accent2"/>
              </a:solidFill>
              <a:round/>
            </a:ln>
            <a:effectLst/>
          </c:spPr>
          <c:marker>
            <c:symbol val="none"/>
          </c:marker>
          <c:cat>
            <c:strRef>
              <c:f>Sheet4!$A$27:$A$32</c:f>
              <c:strCache>
                <c:ptCount val="5"/>
                <c:pt idx="0">
                  <c:v>0-1 Miles</c:v>
                </c:pt>
                <c:pt idx="1">
                  <c:v>10+ Miles</c:v>
                </c:pt>
                <c:pt idx="2">
                  <c:v>1-2 Miles</c:v>
                </c:pt>
                <c:pt idx="3">
                  <c:v>2-5 Miles</c:v>
                </c:pt>
                <c:pt idx="4">
                  <c:v>5-10 Miles</c:v>
                </c:pt>
              </c:strCache>
            </c:strRef>
          </c:cat>
          <c:val>
            <c:numRef>
              <c:f>Sheet4!$C$27:$C$32</c:f>
              <c:numCache>
                <c:formatCode>General</c:formatCode>
                <c:ptCount val="5"/>
                <c:pt idx="0">
                  <c:v>98</c:v>
                </c:pt>
                <c:pt idx="1">
                  <c:v>13</c:v>
                </c:pt>
                <c:pt idx="2">
                  <c:v>38</c:v>
                </c:pt>
                <c:pt idx="3">
                  <c:v>44</c:v>
                </c:pt>
                <c:pt idx="4">
                  <c:v>38</c:v>
                </c:pt>
              </c:numCache>
            </c:numRef>
          </c:val>
          <c:smooth val="0"/>
          <c:extLst>
            <c:ext xmlns:c16="http://schemas.microsoft.com/office/drawing/2014/chart" uri="{C3380CC4-5D6E-409C-BE32-E72D297353CC}">
              <c16:uniqueId val="{00000001-872D-4E6A-A6AB-6FBD8EC55496}"/>
            </c:ext>
          </c:extLst>
        </c:ser>
        <c:dLbls>
          <c:showLegendKey val="0"/>
          <c:showVal val="0"/>
          <c:showCatName val="0"/>
          <c:showSerName val="0"/>
          <c:showPercent val="0"/>
          <c:showBubbleSize val="0"/>
        </c:dLbls>
        <c:smooth val="0"/>
        <c:axId val="1599539023"/>
        <c:axId val="1599537103"/>
      </c:lineChart>
      <c:catAx>
        <c:axId val="1599539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37103"/>
        <c:crosses val="autoZero"/>
        <c:auto val="1"/>
        <c:lblAlgn val="ctr"/>
        <c:lblOffset val="100"/>
        <c:noMultiLvlLbl val="0"/>
      </c:catAx>
      <c:valAx>
        <c:axId val="1599537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3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Dataset.xlsx]Sheet4!PivotTable3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No</c:v>
                </c:pt>
              </c:strCache>
            </c:strRef>
          </c:tx>
          <c:spPr>
            <a:solidFill>
              <a:schemeClr val="accent1"/>
            </a:solidFill>
            <a:ln>
              <a:noFill/>
            </a:ln>
            <a:effectLst/>
          </c:spPr>
          <c:invertIfNegative val="0"/>
          <c:cat>
            <c:strRef>
              <c:f>Sheet4!$A$5:$A$7</c:f>
              <c:strCache>
                <c:ptCount val="2"/>
                <c:pt idx="0">
                  <c:v>Female</c:v>
                </c:pt>
                <c:pt idx="1">
                  <c:v>Male</c:v>
                </c:pt>
              </c:strCache>
            </c:strRef>
          </c:cat>
          <c:val>
            <c:numRef>
              <c:f>Sheet4!$B$5:$B$7</c:f>
              <c:numCache>
                <c:formatCode>_(* #,##0_);_(* \(#,##0\);_(* "-"??_);_(@_)</c:formatCode>
                <c:ptCount val="2"/>
                <c:pt idx="0">
                  <c:v>54885.496183206109</c:v>
                </c:pt>
                <c:pt idx="1">
                  <c:v>59431.818181818184</c:v>
                </c:pt>
              </c:numCache>
            </c:numRef>
          </c:val>
          <c:extLst>
            <c:ext xmlns:c16="http://schemas.microsoft.com/office/drawing/2014/chart" uri="{C3380CC4-5D6E-409C-BE32-E72D297353CC}">
              <c16:uniqueId val="{00000000-20A6-42AD-80F9-6F6A94D72882}"/>
            </c:ext>
          </c:extLst>
        </c:ser>
        <c:ser>
          <c:idx val="1"/>
          <c:order val="1"/>
          <c:tx>
            <c:strRef>
              <c:f>Sheet4!$C$3:$C$4</c:f>
              <c:strCache>
                <c:ptCount val="1"/>
                <c:pt idx="0">
                  <c:v>Yes</c:v>
                </c:pt>
              </c:strCache>
            </c:strRef>
          </c:tx>
          <c:spPr>
            <a:solidFill>
              <a:schemeClr val="accent2"/>
            </a:solidFill>
            <a:ln>
              <a:noFill/>
            </a:ln>
            <a:effectLst/>
          </c:spPr>
          <c:invertIfNegative val="0"/>
          <c:cat>
            <c:strRef>
              <c:f>Sheet4!$A$5:$A$7</c:f>
              <c:strCache>
                <c:ptCount val="2"/>
                <c:pt idx="0">
                  <c:v>Female</c:v>
                </c:pt>
                <c:pt idx="1">
                  <c:v>Male</c:v>
                </c:pt>
              </c:strCache>
            </c:strRef>
          </c:cat>
          <c:val>
            <c:numRef>
              <c:f>Sheet4!$C$5:$C$7</c:f>
              <c:numCache>
                <c:formatCode>_(* #,##0_);_(* \(#,##0\);_(* "-"??_);_(@_)</c:formatCode>
                <c:ptCount val="2"/>
                <c:pt idx="0">
                  <c:v>59259.259259259263</c:v>
                </c:pt>
                <c:pt idx="1">
                  <c:v>61300.813008130084</c:v>
                </c:pt>
              </c:numCache>
            </c:numRef>
          </c:val>
          <c:extLst>
            <c:ext xmlns:c16="http://schemas.microsoft.com/office/drawing/2014/chart" uri="{C3380CC4-5D6E-409C-BE32-E72D297353CC}">
              <c16:uniqueId val="{00000001-20A6-42AD-80F9-6F6A94D72882}"/>
            </c:ext>
          </c:extLst>
        </c:ser>
        <c:dLbls>
          <c:showLegendKey val="0"/>
          <c:showVal val="0"/>
          <c:showCatName val="0"/>
          <c:showSerName val="0"/>
          <c:showPercent val="0"/>
          <c:showBubbleSize val="0"/>
        </c:dLbls>
        <c:gapWidth val="219"/>
        <c:overlap val="-27"/>
        <c:axId val="1494872816"/>
        <c:axId val="1494873296"/>
      </c:barChart>
      <c:catAx>
        <c:axId val="1494872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873296"/>
        <c:crosses val="autoZero"/>
        <c:auto val="1"/>
        <c:lblAlgn val="ctr"/>
        <c:lblOffset val="100"/>
        <c:noMultiLvlLbl val="0"/>
      </c:catAx>
      <c:valAx>
        <c:axId val="1494873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8728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695325</xdr:colOff>
      <xdr:row>8</xdr:row>
      <xdr:rowOff>33337</xdr:rowOff>
    </xdr:from>
    <xdr:to>
      <xdr:col>6</xdr:col>
      <xdr:colOff>171450</xdr:colOff>
      <xdr:row>22</xdr:row>
      <xdr:rowOff>109537</xdr:rowOff>
    </xdr:to>
    <xdr:graphicFrame macro="">
      <xdr:nvGraphicFramePr>
        <xdr:cNvPr id="2" name="Chart 1">
          <a:extLst>
            <a:ext uri="{FF2B5EF4-FFF2-40B4-BE49-F238E27FC236}">
              <a16:creationId xmlns:a16="http://schemas.microsoft.com/office/drawing/2014/main" id="{44003107-AAD6-C9CC-A71D-69D0C1A14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342900</xdr:colOff>
      <xdr:row>33</xdr:row>
      <xdr:rowOff>128587</xdr:rowOff>
    </xdr:from>
    <xdr:to>
      <xdr:col>6</xdr:col>
      <xdr:colOff>57150</xdr:colOff>
      <xdr:row>48</xdr:row>
      <xdr:rowOff>14287</xdr:rowOff>
    </xdr:to>
    <xdr:graphicFrame macro="">
      <xdr:nvGraphicFramePr>
        <xdr:cNvPr id="3" name="Chart 2">
          <a:extLst>
            <a:ext uri="{FF2B5EF4-FFF2-40B4-BE49-F238E27FC236}">
              <a16:creationId xmlns:a16="http://schemas.microsoft.com/office/drawing/2014/main" id="{7703274C-FCB8-ACEA-CD1E-80A4B5B50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57</xdr:row>
      <xdr:rowOff>4762</xdr:rowOff>
    </xdr:from>
    <xdr:to>
      <xdr:col>5</xdr:col>
      <xdr:colOff>361950</xdr:colOff>
      <xdr:row>71</xdr:row>
      <xdr:rowOff>80962</xdr:rowOff>
    </xdr:to>
    <xdr:graphicFrame macro="">
      <xdr:nvGraphicFramePr>
        <xdr:cNvPr id="4" name="Chart 3">
          <a:extLst>
            <a:ext uri="{FF2B5EF4-FFF2-40B4-BE49-F238E27FC236}">
              <a16:creationId xmlns:a16="http://schemas.microsoft.com/office/drawing/2014/main" id="{163AECB1-6A54-4923-9214-8AA55A083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295275</xdr:colOff>
      <xdr:row>129</xdr:row>
      <xdr:rowOff>80962</xdr:rowOff>
    </xdr:from>
    <xdr:to>
      <xdr:col>6</xdr:col>
      <xdr:colOff>9525</xdr:colOff>
      <xdr:row>143</xdr:row>
      <xdr:rowOff>157162</xdr:rowOff>
    </xdr:to>
    <xdr:graphicFrame macro="">
      <xdr:nvGraphicFramePr>
        <xdr:cNvPr id="5" name="Chart 4">
          <a:extLst>
            <a:ext uri="{FF2B5EF4-FFF2-40B4-BE49-F238E27FC236}">
              <a16:creationId xmlns:a16="http://schemas.microsoft.com/office/drawing/2014/main" id="{9DEC77A0-1F66-D7C7-F000-476C83149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9525</xdr:colOff>
      <xdr:row>3</xdr:row>
      <xdr:rowOff>57150</xdr:rowOff>
    </xdr:from>
    <xdr:to>
      <xdr:col>16</xdr:col>
      <xdr:colOff>0</xdr:colOff>
      <xdr:row>14</xdr:row>
      <xdr:rowOff>152400</xdr:rowOff>
    </xdr:to>
    <xdr:graphicFrame macro="">
      <xdr:nvGraphicFramePr>
        <xdr:cNvPr id="3" name="Chart 2">
          <a:extLst>
            <a:ext uri="{FF2B5EF4-FFF2-40B4-BE49-F238E27FC236}">
              <a16:creationId xmlns:a16="http://schemas.microsoft.com/office/drawing/2014/main" id="{439DE462-1818-4DC0-BA03-5D4A361B1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476249</xdr:colOff>
      <xdr:row>15</xdr:row>
      <xdr:rowOff>19050</xdr:rowOff>
    </xdr:from>
    <xdr:to>
      <xdr:col>16</xdr:col>
      <xdr:colOff>9524</xdr:colOff>
      <xdr:row>27</xdr:row>
      <xdr:rowOff>171450</xdr:rowOff>
    </xdr:to>
    <xdr:graphicFrame macro="">
      <xdr:nvGraphicFramePr>
        <xdr:cNvPr id="4" name="Chart 3">
          <a:extLst>
            <a:ext uri="{FF2B5EF4-FFF2-40B4-BE49-F238E27FC236}">
              <a16:creationId xmlns:a16="http://schemas.microsoft.com/office/drawing/2014/main" id="{55FF302C-45CE-4B2F-8034-9C02AA963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571499</xdr:colOff>
      <xdr:row>2</xdr:row>
      <xdr:rowOff>180974</xdr:rowOff>
    </xdr:from>
    <xdr:to>
      <xdr:col>9</xdr:col>
      <xdr:colOff>590550</xdr:colOff>
      <xdr:row>15</xdr:row>
      <xdr:rowOff>9525</xdr:rowOff>
    </xdr:to>
    <xdr:graphicFrame macro="">
      <xdr:nvGraphicFramePr>
        <xdr:cNvPr id="5" name="Chart 4">
          <a:extLst>
            <a:ext uri="{FF2B5EF4-FFF2-40B4-BE49-F238E27FC236}">
              <a16:creationId xmlns:a16="http://schemas.microsoft.com/office/drawing/2014/main" id="{23DF2647-D883-4A08-9D04-B386E519C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66675</xdr:colOff>
      <xdr:row>3</xdr:row>
      <xdr:rowOff>28576</xdr:rowOff>
    </xdr:from>
    <xdr:to>
      <xdr:col>3</xdr:col>
      <xdr:colOff>438150</xdr:colOff>
      <xdr:row>9</xdr:row>
      <xdr:rowOff>19050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516AB064-6153-8E79-85CF-194ECB31BF2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6675" y="600076"/>
              <a:ext cx="2193131" cy="1133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9</xdr:row>
      <xdr:rowOff>152400</xdr:rowOff>
    </xdr:from>
    <xdr:to>
      <xdr:col>3</xdr:col>
      <xdr:colOff>314325</xdr:colOff>
      <xdr:row>18</xdr:row>
      <xdr:rowOff>85725</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3E32A897-4A9E-CD1A-B03E-8C0CDB2F617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5250" y="1866900"/>
              <a:ext cx="2040731" cy="1647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114301</xdr:rowOff>
    </xdr:from>
    <xdr:to>
      <xdr:col>3</xdr:col>
      <xdr:colOff>257175</xdr:colOff>
      <xdr:row>26</xdr:row>
      <xdr:rowOff>19050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A3473476-8403-CA31-12B1-0083D14FEA4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733801"/>
              <a:ext cx="2078831" cy="1238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rabh" refreshedDate="46047.764986805552" createdVersion="8" refreshedVersion="8" minRefreshableVersion="3" recordCount="1000" xr:uid="{5F14E529-AB29-4080-80FD-9A607D3A7064}">
  <cacheSource type="worksheet">
    <worksheetSource ref="A1:N1001" sheet="Sheet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Group" numFmtId="0">
      <sharedItems count="2">
        <s v="Adult"/>
        <s v="Senior"/>
      </sharedItems>
    </cacheField>
    <cacheField name="Purchased Bike" numFmtId="0">
      <sharedItems count="2">
        <s v="No"/>
        <s v="Yes"/>
      </sharedItems>
    </cacheField>
  </cacheFields>
  <extLst>
    <ext xmlns:x14="http://schemas.microsoft.com/office/spreadsheetml/2009/9/main" uri="{725AE2AE-9491-48be-B2B4-4EB974FC3084}">
      <x14:pivotCacheDefinition pivotCacheId="4357455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0"/>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0"/>
    <x v="0"/>
  </r>
  <r>
    <n v="27184"/>
    <x v="1"/>
    <x v="1"/>
    <n v="40000"/>
    <n v="2"/>
    <x v="1"/>
    <s v="Clerical"/>
    <s v="No"/>
    <n v="1"/>
    <x v="0"/>
    <x v="0"/>
    <x v="17"/>
    <x v="0"/>
    <x v="0"/>
  </r>
  <r>
    <n v="12590"/>
    <x v="1"/>
    <x v="1"/>
    <n v="30000"/>
    <n v="1"/>
    <x v="0"/>
    <s v="Clerical"/>
    <s v="Yes"/>
    <n v="0"/>
    <x v="0"/>
    <x v="0"/>
    <x v="18"/>
    <x v="1"/>
    <x v="0"/>
  </r>
  <r>
    <n v="17841"/>
    <x v="1"/>
    <x v="1"/>
    <n v="30000"/>
    <n v="0"/>
    <x v="1"/>
    <s v="Clerical"/>
    <s v="No"/>
    <n v="1"/>
    <x v="0"/>
    <x v="0"/>
    <x v="19"/>
    <x v="0"/>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0"/>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0"/>
    <x v="0"/>
  </r>
  <r>
    <n v="26863"/>
    <x v="1"/>
    <x v="1"/>
    <n v="20000"/>
    <n v="0"/>
    <x v="2"/>
    <s v="Manual"/>
    <s v="No"/>
    <n v="1"/>
    <x v="1"/>
    <x v="0"/>
    <x v="26"/>
    <x v="0"/>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0"/>
    <x v="0"/>
  </r>
  <r>
    <n v="20619"/>
    <x v="1"/>
    <x v="1"/>
    <n v="80000"/>
    <n v="0"/>
    <x v="0"/>
    <s v="Professional"/>
    <s v="No"/>
    <n v="4"/>
    <x v="4"/>
    <x v="1"/>
    <x v="11"/>
    <x v="0"/>
    <x v="0"/>
  </r>
  <r>
    <n v="12558"/>
    <x v="0"/>
    <x v="0"/>
    <n v="20000"/>
    <n v="1"/>
    <x v="0"/>
    <s v="Clerical"/>
    <s v="Yes"/>
    <n v="0"/>
    <x v="0"/>
    <x v="0"/>
    <x v="27"/>
    <x v="1"/>
    <x v="0"/>
  </r>
  <r>
    <n v="24871"/>
    <x v="1"/>
    <x v="0"/>
    <n v="90000"/>
    <n v="4"/>
    <x v="2"/>
    <s v="Management"/>
    <s v="No"/>
    <n v="3"/>
    <x v="2"/>
    <x v="0"/>
    <x v="16"/>
    <x v="0"/>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0"/>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0"/>
    <x v="0"/>
  </r>
  <r>
    <n v="27969"/>
    <x v="0"/>
    <x v="1"/>
    <n v="80000"/>
    <n v="0"/>
    <x v="0"/>
    <s v="Professional"/>
    <s v="Yes"/>
    <n v="2"/>
    <x v="4"/>
    <x v="1"/>
    <x v="19"/>
    <x v="0"/>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0"/>
    <x v="0"/>
  </r>
  <r>
    <n v="24485"/>
    <x v="1"/>
    <x v="1"/>
    <n v="40000"/>
    <n v="2"/>
    <x v="0"/>
    <s v="Management"/>
    <s v="No"/>
    <n v="1"/>
    <x v="2"/>
    <x v="1"/>
    <x v="31"/>
    <x v="0"/>
    <x v="1"/>
  </r>
  <r>
    <n v="16514"/>
    <x v="1"/>
    <x v="1"/>
    <n v="10000"/>
    <n v="0"/>
    <x v="1"/>
    <s v="Manual"/>
    <s v="Yes"/>
    <n v="1"/>
    <x v="3"/>
    <x v="1"/>
    <x v="22"/>
    <x v="0"/>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0"/>
    <x v="0"/>
  </r>
  <r>
    <n v="25458"/>
    <x v="0"/>
    <x v="1"/>
    <n v="20000"/>
    <n v="1"/>
    <x v="2"/>
    <s v="Manual"/>
    <s v="No"/>
    <n v="1"/>
    <x v="3"/>
    <x v="0"/>
    <x v="8"/>
    <x v="0"/>
    <x v="1"/>
  </r>
  <r>
    <n v="26886"/>
    <x v="1"/>
    <x v="0"/>
    <n v="30000"/>
    <n v="0"/>
    <x v="1"/>
    <s v="Clerical"/>
    <s v="No"/>
    <n v="1"/>
    <x v="0"/>
    <x v="0"/>
    <x v="19"/>
    <x v="0"/>
    <x v="1"/>
  </r>
  <r>
    <n v="28436"/>
    <x v="1"/>
    <x v="1"/>
    <n v="30000"/>
    <n v="0"/>
    <x v="1"/>
    <s v="Clerical"/>
    <s v="No"/>
    <n v="1"/>
    <x v="0"/>
    <x v="0"/>
    <x v="25"/>
    <x v="0"/>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0"/>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0"/>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0"/>
    <x v="1"/>
  </r>
  <r>
    <n v="24140"/>
    <x v="1"/>
    <x v="1"/>
    <n v="10000"/>
    <n v="0"/>
    <x v="4"/>
    <s v="Manual"/>
    <s v="No"/>
    <n v="0"/>
    <x v="0"/>
    <x v="0"/>
    <x v="25"/>
    <x v="0"/>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0"/>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0"/>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0"/>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0"/>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0"/>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0"/>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0"/>
    <x v="1"/>
  </r>
  <r>
    <n v="15465"/>
    <x v="0"/>
    <x v="0"/>
    <n v="10000"/>
    <n v="0"/>
    <x v="1"/>
    <s v="Manual"/>
    <s v="No"/>
    <n v="1"/>
    <x v="0"/>
    <x v="1"/>
    <x v="37"/>
    <x v="0"/>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0"/>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0"/>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0"/>
    <x v="0"/>
  </r>
  <r>
    <n v="15799"/>
    <x v="0"/>
    <x v="0"/>
    <n v="90000"/>
    <n v="1"/>
    <x v="0"/>
    <s v="Professional"/>
    <s v="Yes"/>
    <n v="1"/>
    <x v="1"/>
    <x v="1"/>
    <x v="15"/>
    <x v="0"/>
    <x v="1"/>
  </r>
  <r>
    <n v="11047"/>
    <x v="0"/>
    <x v="0"/>
    <n v="30000"/>
    <n v="3"/>
    <x v="2"/>
    <s v="Skilled Manual"/>
    <s v="No"/>
    <n v="2"/>
    <x v="3"/>
    <x v="1"/>
    <x v="16"/>
    <x v="0"/>
    <x v="1"/>
  </r>
  <r>
    <n v="18151"/>
    <x v="1"/>
    <x v="1"/>
    <n v="80000"/>
    <n v="5"/>
    <x v="1"/>
    <s v="Professional"/>
    <s v="No"/>
    <n v="2"/>
    <x v="4"/>
    <x v="0"/>
    <x v="14"/>
    <x v="0"/>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0"/>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0"/>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0"/>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0"/>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0"/>
    <x v="0"/>
  </r>
  <r>
    <n v="16043"/>
    <x v="1"/>
    <x v="1"/>
    <n v="10000"/>
    <n v="1"/>
    <x v="0"/>
    <s v="Manual"/>
    <s v="Yes"/>
    <n v="0"/>
    <x v="0"/>
    <x v="0"/>
    <x v="28"/>
    <x v="0"/>
    <x v="0"/>
  </r>
  <r>
    <n v="22399"/>
    <x v="1"/>
    <x v="1"/>
    <n v="10000"/>
    <n v="0"/>
    <x v="1"/>
    <s v="Manual"/>
    <s v="Yes"/>
    <n v="1"/>
    <x v="3"/>
    <x v="1"/>
    <x v="22"/>
    <x v="0"/>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0"/>
    <x v="0"/>
  </r>
  <r>
    <n v="22830"/>
    <x v="0"/>
    <x v="1"/>
    <n v="120000"/>
    <n v="4"/>
    <x v="1"/>
    <s v="Management"/>
    <s v="Yes"/>
    <n v="3"/>
    <x v="4"/>
    <x v="0"/>
    <x v="16"/>
    <x v="0"/>
    <x v="0"/>
  </r>
  <r>
    <n v="14777"/>
    <x v="0"/>
    <x v="0"/>
    <n v="40000"/>
    <n v="0"/>
    <x v="0"/>
    <s v="Clerical"/>
    <s v="Yes"/>
    <n v="0"/>
    <x v="0"/>
    <x v="0"/>
    <x v="13"/>
    <x v="0"/>
    <x v="1"/>
  </r>
  <r>
    <n v="12591"/>
    <x v="0"/>
    <x v="0"/>
    <n v="30000"/>
    <n v="4"/>
    <x v="4"/>
    <s v="Clerical"/>
    <s v="Yes"/>
    <n v="0"/>
    <x v="0"/>
    <x v="0"/>
    <x v="12"/>
    <x v="0"/>
    <x v="0"/>
  </r>
  <r>
    <n v="24174"/>
    <x v="0"/>
    <x v="1"/>
    <n v="20000"/>
    <n v="0"/>
    <x v="0"/>
    <s v="Clerical"/>
    <s v="Yes"/>
    <n v="0"/>
    <x v="0"/>
    <x v="1"/>
    <x v="40"/>
    <x v="0"/>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0"/>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0"/>
    <x v="0"/>
  </r>
  <r>
    <n v="23908"/>
    <x v="1"/>
    <x v="1"/>
    <n v="30000"/>
    <n v="1"/>
    <x v="0"/>
    <s v="Clerical"/>
    <s v="No"/>
    <n v="1"/>
    <x v="0"/>
    <x v="0"/>
    <x v="32"/>
    <x v="0"/>
    <x v="1"/>
  </r>
  <r>
    <n v="22527"/>
    <x v="1"/>
    <x v="0"/>
    <n v="20000"/>
    <n v="0"/>
    <x v="2"/>
    <s v="Manual"/>
    <s v="No"/>
    <n v="1"/>
    <x v="1"/>
    <x v="0"/>
    <x v="19"/>
    <x v="0"/>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0"/>
    <x v="1"/>
  </r>
  <r>
    <n v="21375"/>
    <x v="1"/>
    <x v="1"/>
    <n v="20000"/>
    <n v="2"/>
    <x v="3"/>
    <s v="Clerical"/>
    <s v="Yes"/>
    <n v="2"/>
    <x v="2"/>
    <x v="1"/>
    <x v="42"/>
    <x v="0"/>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0"/>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0"/>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0"/>
    <x v="0"/>
  </r>
  <r>
    <n v="24061"/>
    <x v="0"/>
    <x v="1"/>
    <n v="10000"/>
    <n v="4"/>
    <x v="3"/>
    <s v="Manual"/>
    <s v="Yes"/>
    <n v="1"/>
    <x v="0"/>
    <x v="0"/>
    <x v="8"/>
    <x v="0"/>
    <x v="1"/>
  </r>
  <r>
    <n v="26879"/>
    <x v="1"/>
    <x v="0"/>
    <n v="20000"/>
    <n v="0"/>
    <x v="2"/>
    <s v="Manual"/>
    <s v="No"/>
    <n v="1"/>
    <x v="1"/>
    <x v="0"/>
    <x v="25"/>
    <x v="0"/>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0"/>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0"/>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0"/>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0"/>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0"/>
    <x v="0"/>
  </r>
  <r>
    <n v="24898"/>
    <x v="1"/>
    <x v="0"/>
    <n v="80000"/>
    <n v="0"/>
    <x v="0"/>
    <s v="Professional"/>
    <s v="Yes"/>
    <n v="3"/>
    <x v="4"/>
    <x v="1"/>
    <x v="21"/>
    <x v="0"/>
    <x v="0"/>
  </r>
  <r>
    <n v="19508"/>
    <x v="0"/>
    <x v="1"/>
    <n v="10000"/>
    <n v="0"/>
    <x v="3"/>
    <s v="Manual"/>
    <s v="No"/>
    <n v="2"/>
    <x v="0"/>
    <x v="0"/>
    <x v="25"/>
    <x v="0"/>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0"/>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0"/>
    <x v="1"/>
  </r>
  <r>
    <n v="27878"/>
    <x v="1"/>
    <x v="1"/>
    <n v="20000"/>
    <n v="0"/>
    <x v="1"/>
    <s v="Manual"/>
    <s v="No"/>
    <n v="0"/>
    <x v="0"/>
    <x v="1"/>
    <x v="26"/>
    <x v="0"/>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0"/>
    <x v="1"/>
  </r>
  <r>
    <n v="17230"/>
    <x v="0"/>
    <x v="1"/>
    <n v="80000"/>
    <n v="0"/>
    <x v="0"/>
    <s v="Professional"/>
    <s v="Yes"/>
    <n v="3"/>
    <x v="4"/>
    <x v="1"/>
    <x v="25"/>
    <x v="0"/>
    <x v="0"/>
  </r>
  <r>
    <n v="13082"/>
    <x v="1"/>
    <x v="1"/>
    <n v="130000"/>
    <n v="0"/>
    <x v="4"/>
    <s v="Management"/>
    <s v="Yes"/>
    <n v="0"/>
    <x v="1"/>
    <x v="1"/>
    <x v="28"/>
    <x v="0"/>
    <x v="1"/>
  </r>
  <r>
    <n v="22518"/>
    <x v="1"/>
    <x v="0"/>
    <n v="30000"/>
    <n v="3"/>
    <x v="1"/>
    <s v="Clerical"/>
    <s v="No"/>
    <n v="2"/>
    <x v="0"/>
    <x v="0"/>
    <x v="40"/>
    <x v="0"/>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0"/>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0"/>
    <x v="0"/>
  </r>
  <r>
    <n v="18267"/>
    <x v="0"/>
    <x v="1"/>
    <n v="60000"/>
    <n v="3"/>
    <x v="0"/>
    <s v="Professional"/>
    <s v="Yes"/>
    <n v="2"/>
    <x v="2"/>
    <x v="1"/>
    <x v="1"/>
    <x v="0"/>
    <x v="0"/>
  </r>
  <r>
    <n v="13620"/>
    <x v="1"/>
    <x v="1"/>
    <n v="70000"/>
    <n v="0"/>
    <x v="0"/>
    <s v="Professional"/>
    <s v="No"/>
    <n v="3"/>
    <x v="4"/>
    <x v="1"/>
    <x v="25"/>
    <x v="0"/>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0"/>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0"/>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0"/>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0"/>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0"/>
    <x v="1"/>
  </r>
  <r>
    <n v="21891"/>
    <x v="0"/>
    <x v="0"/>
    <n v="110000"/>
    <n v="0"/>
    <x v="2"/>
    <s v="Management"/>
    <s v="Yes"/>
    <n v="3"/>
    <x v="4"/>
    <x v="1"/>
    <x v="17"/>
    <x v="0"/>
    <x v="1"/>
  </r>
  <r>
    <n v="27814"/>
    <x v="1"/>
    <x v="0"/>
    <n v="30000"/>
    <n v="3"/>
    <x v="1"/>
    <s v="Clerical"/>
    <s v="No"/>
    <n v="1"/>
    <x v="0"/>
    <x v="0"/>
    <x v="22"/>
    <x v="0"/>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0"/>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0"/>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0"/>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0"/>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0"/>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0"/>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0"/>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0"/>
    <x v="0"/>
  </r>
  <r>
    <n v="13233"/>
    <x v="0"/>
    <x v="1"/>
    <n v="60000"/>
    <n v="2"/>
    <x v="1"/>
    <s v="Professional"/>
    <s v="Yes"/>
    <n v="1"/>
    <x v="4"/>
    <x v="2"/>
    <x v="42"/>
    <x v="0"/>
    <x v="1"/>
  </r>
  <r>
    <n v="25909"/>
    <x v="0"/>
    <x v="1"/>
    <n v="60000"/>
    <n v="0"/>
    <x v="1"/>
    <s v="Skilled Manual"/>
    <s v="Yes"/>
    <n v="1"/>
    <x v="2"/>
    <x v="2"/>
    <x v="40"/>
    <x v="0"/>
    <x v="1"/>
  </r>
  <r>
    <n v="14092"/>
    <x v="1"/>
    <x v="1"/>
    <n v="30000"/>
    <n v="0"/>
    <x v="3"/>
    <s v="Clerical"/>
    <s v="Yes"/>
    <n v="2"/>
    <x v="2"/>
    <x v="2"/>
    <x v="26"/>
    <x v="0"/>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0"/>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0"/>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0"/>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0"/>
    <x v="0"/>
  </r>
  <r>
    <n v="17369"/>
    <x v="1"/>
    <x v="1"/>
    <n v="30000"/>
    <n v="0"/>
    <x v="1"/>
    <s v="Skilled Manual"/>
    <s v="Yes"/>
    <n v="1"/>
    <x v="2"/>
    <x v="2"/>
    <x v="40"/>
    <x v="0"/>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0"/>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0"/>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0"/>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0"/>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0"/>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0"/>
    <x v="1"/>
  </r>
  <r>
    <n v="24398"/>
    <x v="0"/>
    <x v="1"/>
    <n v="130000"/>
    <n v="1"/>
    <x v="4"/>
    <s v="Management"/>
    <s v="Yes"/>
    <n v="4"/>
    <x v="0"/>
    <x v="2"/>
    <x v="3"/>
    <x v="0"/>
    <x v="0"/>
  </r>
  <r>
    <n v="19002"/>
    <x v="0"/>
    <x v="0"/>
    <n v="60000"/>
    <n v="2"/>
    <x v="1"/>
    <s v="Professional"/>
    <s v="Yes"/>
    <n v="1"/>
    <x v="1"/>
    <x v="2"/>
    <x v="42"/>
    <x v="0"/>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0"/>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0"/>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0"/>
    <x v="0"/>
  </r>
  <r>
    <n v="11259"/>
    <x v="0"/>
    <x v="0"/>
    <n v="100000"/>
    <n v="4"/>
    <x v="1"/>
    <s v="Professional"/>
    <s v="Yes"/>
    <n v="4"/>
    <x v="1"/>
    <x v="2"/>
    <x v="3"/>
    <x v="0"/>
    <x v="1"/>
  </r>
  <r>
    <n v="11200"/>
    <x v="0"/>
    <x v="1"/>
    <n v="70000"/>
    <n v="4"/>
    <x v="0"/>
    <s v="Management"/>
    <s v="Yes"/>
    <n v="1"/>
    <x v="3"/>
    <x v="2"/>
    <x v="7"/>
    <x v="0"/>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0"/>
    <x v="1"/>
  </r>
  <r>
    <n v="22127"/>
    <x v="0"/>
    <x v="1"/>
    <n v="60000"/>
    <n v="3"/>
    <x v="4"/>
    <s v="Management"/>
    <s v="Yes"/>
    <n v="2"/>
    <x v="3"/>
    <x v="2"/>
    <x v="41"/>
    <x v="1"/>
    <x v="0"/>
  </r>
  <r>
    <n v="20414"/>
    <x v="0"/>
    <x v="0"/>
    <n v="60000"/>
    <n v="0"/>
    <x v="1"/>
    <s v="Skilled Manual"/>
    <s v="Yes"/>
    <n v="2"/>
    <x v="2"/>
    <x v="2"/>
    <x v="19"/>
    <x v="0"/>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0"/>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0"/>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0"/>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0"/>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0"/>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0"/>
    <x v="0"/>
  </r>
  <r>
    <n v="22252"/>
    <x v="1"/>
    <x v="0"/>
    <n v="60000"/>
    <n v="1"/>
    <x v="4"/>
    <s v="Professional"/>
    <s v="Yes"/>
    <n v="0"/>
    <x v="1"/>
    <x v="2"/>
    <x v="4"/>
    <x v="0"/>
    <x v="1"/>
  </r>
  <r>
    <n v="21260"/>
    <x v="1"/>
    <x v="0"/>
    <n v="40000"/>
    <n v="0"/>
    <x v="2"/>
    <s v="Skilled Manual"/>
    <s v="Yes"/>
    <n v="2"/>
    <x v="2"/>
    <x v="2"/>
    <x v="25"/>
    <x v="0"/>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0"/>
    <x v="0"/>
  </r>
  <r>
    <n v="11699"/>
    <x v="1"/>
    <x v="1"/>
    <n v="60000"/>
    <n v="0"/>
    <x v="0"/>
    <s v="Skilled Manual"/>
    <s v="No"/>
    <n v="2"/>
    <x v="0"/>
    <x v="2"/>
    <x v="25"/>
    <x v="0"/>
    <x v="0"/>
  </r>
  <r>
    <n v="16725"/>
    <x v="0"/>
    <x v="1"/>
    <n v="30000"/>
    <n v="0"/>
    <x v="2"/>
    <s v="Skilled Manual"/>
    <s v="Yes"/>
    <n v="2"/>
    <x v="2"/>
    <x v="2"/>
    <x v="22"/>
    <x v="0"/>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0"/>
    <x v="0"/>
  </r>
  <r>
    <n v="14090"/>
    <x v="0"/>
    <x v="0"/>
    <n v="30000"/>
    <n v="0"/>
    <x v="3"/>
    <s v="Clerical"/>
    <s v="No"/>
    <n v="2"/>
    <x v="0"/>
    <x v="2"/>
    <x v="26"/>
    <x v="0"/>
    <x v="0"/>
  </r>
  <r>
    <n v="27040"/>
    <x v="0"/>
    <x v="1"/>
    <n v="20000"/>
    <n v="2"/>
    <x v="3"/>
    <s v="Clerical"/>
    <s v="Yes"/>
    <n v="2"/>
    <x v="3"/>
    <x v="2"/>
    <x v="38"/>
    <x v="0"/>
    <x v="0"/>
  </r>
  <r>
    <n v="23479"/>
    <x v="1"/>
    <x v="1"/>
    <n v="90000"/>
    <n v="0"/>
    <x v="1"/>
    <s v="Professional"/>
    <s v="No"/>
    <n v="2"/>
    <x v="0"/>
    <x v="2"/>
    <x v="1"/>
    <x v="0"/>
    <x v="1"/>
  </r>
  <r>
    <n v="16795"/>
    <x v="0"/>
    <x v="0"/>
    <n v="70000"/>
    <n v="4"/>
    <x v="0"/>
    <s v="Management"/>
    <s v="Yes"/>
    <n v="1"/>
    <x v="3"/>
    <x v="2"/>
    <x v="14"/>
    <x v="0"/>
    <x v="0"/>
  </r>
  <r>
    <n v="22014"/>
    <x v="1"/>
    <x v="1"/>
    <n v="30000"/>
    <n v="0"/>
    <x v="2"/>
    <s v="Skilled Manual"/>
    <s v="Yes"/>
    <n v="2"/>
    <x v="2"/>
    <x v="2"/>
    <x v="22"/>
    <x v="0"/>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0"/>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0"/>
    <x v="0"/>
  </r>
  <r>
    <n v="23358"/>
    <x v="0"/>
    <x v="1"/>
    <n v="60000"/>
    <n v="0"/>
    <x v="2"/>
    <s v="Professional"/>
    <s v="Yes"/>
    <n v="2"/>
    <x v="2"/>
    <x v="2"/>
    <x v="21"/>
    <x v="0"/>
    <x v="1"/>
  </r>
  <r>
    <n v="20518"/>
    <x v="0"/>
    <x v="0"/>
    <n v="70000"/>
    <n v="2"/>
    <x v="1"/>
    <s v="Professional"/>
    <s v="Yes"/>
    <n v="1"/>
    <x v="4"/>
    <x v="2"/>
    <x v="7"/>
    <x v="0"/>
    <x v="0"/>
  </r>
  <r>
    <n v="28026"/>
    <x v="0"/>
    <x v="0"/>
    <n v="40000"/>
    <n v="2"/>
    <x v="2"/>
    <s v="Professional"/>
    <s v="No"/>
    <n v="2"/>
    <x v="1"/>
    <x v="2"/>
    <x v="14"/>
    <x v="0"/>
    <x v="0"/>
  </r>
  <r>
    <n v="11669"/>
    <x v="1"/>
    <x v="0"/>
    <n v="70000"/>
    <n v="2"/>
    <x v="0"/>
    <s v="Skilled Manual"/>
    <s v="Yes"/>
    <n v="1"/>
    <x v="1"/>
    <x v="2"/>
    <x v="13"/>
    <x v="0"/>
    <x v="0"/>
  </r>
  <r>
    <n v="16020"/>
    <x v="0"/>
    <x v="1"/>
    <n v="40000"/>
    <n v="0"/>
    <x v="2"/>
    <s v="Skilled Manual"/>
    <s v="Yes"/>
    <n v="2"/>
    <x v="2"/>
    <x v="2"/>
    <x v="26"/>
    <x v="0"/>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0"/>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0"/>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0"/>
    <x v="0"/>
  </r>
  <r>
    <n v="14913"/>
    <x v="0"/>
    <x v="0"/>
    <n v="40000"/>
    <n v="1"/>
    <x v="1"/>
    <s v="Clerical"/>
    <s v="Yes"/>
    <n v="1"/>
    <x v="3"/>
    <x v="2"/>
    <x v="28"/>
    <x v="0"/>
    <x v="1"/>
  </r>
  <r>
    <n v="14077"/>
    <x v="1"/>
    <x v="1"/>
    <n v="30000"/>
    <n v="0"/>
    <x v="2"/>
    <s v="Skilled Manual"/>
    <s v="Yes"/>
    <n v="2"/>
    <x v="2"/>
    <x v="2"/>
    <x v="25"/>
    <x v="0"/>
    <x v="0"/>
  </r>
  <r>
    <n v="13296"/>
    <x v="0"/>
    <x v="1"/>
    <n v="110000"/>
    <n v="1"/>
    <x v="0"/>
    <s v="Management"/>
    <s v="Yes"/>
    <n v="3"/>
    <x v="2"/>
    <x v="2"/>
    <x v="12"/>
    <x v="0"/>
    <x v="0"/>
  </r>
  <r>
    <n v="20535"/>
    <x v="0"/>
    <x v="0"/>
    <n v="70000"/>
    <n v="4"/>
    <x v="1"/>
    <s v="Professional"/>
    <s v="Yes"/>
    <n v="1"/>
    <x v="4"/>
    <x v="2"/>
    <x v="16"/>
    <x v="0"/>
    <x v="0"/>
  </r>
  <r>
    <n v="12452"/>
    <x v="0"/>
    <x v="1"/>
    <n v="60000"/>
    <n v="4"/>
    <x v="4"/>
    <s v="Skilled Manual"/>
    <s v="Yes"/>
    <n v="0"/>
    <x v="3"/>
    <x v="2"/>
    <x v="15"/>
    <x v="0"/>
    <x v="1"/>
  </r>
  <r>
    <n v="28043"/>
    <x v="0"/>
    <x v="0"/>
    <n v="60000"/>
    <n v="2"/>
    <x v="0"/>
    <s v="Management"/>
    <s v="Yes"/>
    <n v="0"/>
    <x v="4"/>
    <x v="2"/>
    <x v="16"/>
    <x v="0"/>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0"/>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0"/>
    <x v="0"/>
  </r>
  <r>
    <n v="23668"/>
    <x v="0"/>
    <x v="0"/>
    <n v="40000"/>
    <n v="4"/>
    <x v="2"/>
    <s v="Professional"/>
    <s v="Yes"/>
    <n v="2"/>
    <x v="2"/>
    <x v="2"/>
    <x v="14"/>
    <x v="0"/>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0"/>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0"/>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0"/>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0"/>
    <x v="1"/>
  </r>
  <r>
    <n v="13151"/>
    <x v="1"/>
    <x v="1"/>
    <n v="40000"/>
    <n v="0"/>
    <x v="2"/>
    <s v="Skilled Manual"/>
    <s v="Yes"/>
    <n v="2"/>
    <x v="2"/>
    <x v="2"/>
    <x v="40"/>
    <x v="0"/>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0"/>
    <x v="1"/>
  </r>
  <r>
    <n v="15468"/>
    <x v="0"/>
    <x v="0"/>
    <n v="50000"/>
    <n v="1"/>
    <x v="0"/>
    <s v="Skilled Manual"/>
    <s v="Yes"/>
    <n v="1"/>
    <x v="0"/>
    <x v="2"/>
    <x v="11"/>
    <x v="0"/>
    <x v="0"/>
  </r>
  <r>
    <n v="28031"/>
    <x v="1"/>
    <x v="0"/>
    <n v="70000"/>
    <n v="2"/>
    <x v="0"/>
    <s v="Management"/>
    <s v="No"/>
    <n v="1"/>
    <x v="1"/>
    <x v="2"/>
    <x v="14"/>
    <x v="0"/>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0"/>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0"/>
    <x v="1"/>
  </r>
  <r>
    <n v="20310"/>
    <x v="1"/>
    <x v="1"/>
    <n v="60000"/>
    <n v="0"/>
    <x v="1"/>
    <s v="Skilled Manual"/>
    <s v="Yes"/>
    <n v="1"/>
    <x v="2"/>
    <x v="2"/>
    <x v="40"/>
    <x v="0"/>
    <x v="1"/>
  </r>
  <r>
    <n v="22971"/>
    <x v="1"/>
    <x v="0"/>
    <n v="30000"/>
    <n v="0"/>
    <x v="2"/>
    <s v="Skilled Manual"/>
    <s v="No"/>
    <n v="2"/>
    <x v="0"/>
    <x v="2"/>
    <x v="37"/>
    <x v="0"/>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0"/>
    <x v="0"/>
  </r>
  <r>
    <n v="15255"/>
    <x v="0"/>
    <x v="1"/>
    <n v="40000"/>
    <n v="0"/>
    <x v="2"/>
    <s v="Skilled Manual"/>
    <s v="Yes"/>
    <n v="2"/>
    <x v="2"/>
    <x v="2"/>
    <x v="26"/>
    <x v="0"/>
    <x v="1"/>
  </r>
  <r>
    <n v="13154"/>
    <x v="0"/>
    <x v="1"/>
    <n v="40000"/>
    <n v="0"/>
    <x v="2"/>
    <s v="Skilled Manual"/>
    <s v="No"/>
    <n v="2"/>
    <x v="0"/>
    <x v="2"/>
    <x v="40"/>
    <x v="0"/>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0"/>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0"/>
    <x v="0"/>
  </r>
  <r>
    <n v="27505"/>
    <x v="1"/>
    <x v="0"/>
    <n v="40000"/>
    <n v="0"/>
    <x v="2"/>
    <s v="Skilled Manual"/>
    <s v="Yes"/>
    <n v="2"/>
    <x v="2"/>
    <x v="2"/>
    <x v="25"/>
    <x v="0"/>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0"/>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0"/>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0"/>
    <x v="0"/>
  </r>
  <r>
    <n v="17482"/>
    <x v="1"/>
    <x v="0"/>
    <n v="40000"/>
    <n v="0"/>
    <x v="3"/>
    <s v="Clerical"/>
    <s v="Yes"/>
    <n v="2"/>
    <x v="2"/>
    <x v="2"/>
    <x v="19"/>
    <x v="0"/>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0"/>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0"/>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0"/>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0"/>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0"/>
    <x v="1"/>
  </r>
  <r>
    <n v="11941"/>
    <x v="1"/>
    <x v="1"/>
    <n v="60000"/>
    <n v="0"/>
    <x v="1"/>
    <s v="Skilled Manual"/>
    <s v="Yes"/>
    <n v="0"/>
    <x v="2"/>
    <x v="2"/>
    <x v="19"/>
    <x v="0"/>
    <x v="0"/>
  </r>
  <r>
    <n v="14389"/>
    <x v="0"/>
    <x v="1"/>
    <n v="60000"/>
    <n v="2"/>
    <x v="0"/>
    <s v="Management"/>
    <s v="Yes"/>
    <n v="0"/>
    <x v="1"/>
    <x v="2"/>
    <x v="14"/>
    <x v="0"/>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0"/>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0"/>
    <x v="0"/>
  </r>
  <r>
    <n v="17654"/>
    <x v="1"/>
    <x v="0"/>
    <n v="40000"/>
    <n v="3"/>
    <x v="1"/>
    <s v="Clerical"/>
    <s v="Yes"/>
    <n v="1"/>
    <x v="3"/>
    <x v="2"/>
    <x v="25"/>
    <x v="0"/>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0"/>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0"/>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0"/>
    <x v="0"/>
  </r>
  <r>
    <n v="18329"/>
    <x v="1"/>
    <x v="1"/>
    <n v="30000"/>
    <n v="0"/>
    <x v="3"/>
    <s v="Clerical"/>
    <s v="No"/>
    <n v="2"/>
    <x v="2"/>
    <x v="2"/>
    <x v="40"/>
    <x v="0"/>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0"/>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5F84EE-F923-46F1-AF8D-9263EA865CC6}"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3:D127" firstHeaderRow="1" firstDataRow="2" firstDataCol="1"/>
  <pivotFields count="14">
    <pivotField showAll="0"/>
    <pivotField showAll="0">
      <items count="3">
        <item x="0"/>
        <item h="1"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65D0C4-C55F-4463-AF69-B53DD6FF1C4F}"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1:D55"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3">
        <item x="0"/>
        <item x="1"/>
        <item t="default"/>
      </items>
    </pivotField>
    <pivotField axis="axisCol" dataField="1" showAll="0">
      <items count="3">
        <item x="0"/>
        <item x="1"/>
        <item t="default"/>
      </items>
    </pivotField>
  </pivotFields>
  <rowFields count="1">
    <field x="1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FFC7AA-A5E6-4369-9C33-E60AEF0F9978}"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5:D32"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C0BA2C-DE70-4E42-933A-559EF659CD28}"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1" numFmtId="170"/>
  </dataFields>
  <formats count="1">
    <format dxfId="6">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3954CB7-0381-4519-8D11-002739C57126}" sourceName="Marital Status">
  <pivotTables>
    <pivotTable tabId="5" name="PivotTable3"/>
    <pivotTable tabId="5" name="PivotTable1"/>
    <pivotTable tabId="5" name="PivotTable2"/>
    <pivotTable tabId="5" name="PivotTable4"/>
  </pivotTables>
  <data>
    <tabular pivotCacheId="43574551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4848863-FA19-4234-9CDD-F831A4D417DD}" sourceName="Education">
  <pivotTables>
    <pivotTable tabId="5" name="PivotTable2"/>
    <pivotTable tabId="5" name="PivotTable1"/>
    <pivotTable tabId="5" name="PivotTable3"/>
    <pivotTable tabId="5" name="PivotTable4"/>
  </pivotTables>
  <data>
    <tabular pivotCacheId="43574551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41DEB6-2F79-49C1-A630-8EF318048734}" sourceName="Region">
  <pivotTables>
    <pivotTable tabId="5" name="PivotTable3"/>
    <pivotTable tabId="5" name="PivotTable1"/>
    <pivotTable tabId="5" name="PivotTable2"/>
    <pivotTable tabId="5" name="PivotTable4"/>
  </pivotTables>
  <data>
    <tabular pivotCacheId="43574551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A397F04-B0F6-4E14-96CE-6E7E40BF4EF9}" cache="Slicer_Marital_Status" caption="Marital Status" rowHeight="241300"/>
  <slicer name="Education" xr10:uid="{A9DF78D9-9A05-49BC-97F1-ACA09A1D4D5E}" cache="Slicer_Education" caption="Education" rowHeight="241300"/>
  <slicer name="Region" xr10:uid="{BE293708-24C2-4CE2-9E07-A488F5E68847}"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DBA50-7731-4BCC-BA37-E57F74AEECDC}">
  <dimension ref="A3:D127"/>
  <sheetViews>
    <sheetView topLeftCell="A2" zoomScale="90" zoomScaleNormal="90" workbookViewId="0">
      <selection activeCell="I142" sqref="I142"/>
    </sheetView>
  </sheetViews>
  <sheetFormatPr defaultRowHeight="15" x14ac:dyDescent="0.25"/>
  <cols>
    <col min="1" max="1" width="17.85546875" bestFit="1" customWidth="1"/>
    <col min="2" max="2" width="16.28515625" bestFit="1" customWidth="1"/>
    <col min="3" max="3" width="8.42578125" bestFit="1" customWidth="1"/>
    <col min="4" max="4" width="11.28515625" bestFit="1" customWidth="1"/>
  </cols>
  <sheetData>
    <row r="3" spans="1:4" x14ac:dyDescent="0.25">
      <c r="A3" s="4" t="s">
        <v>44</v>
      </c>
      <c r="B3" s="4" t="s">
        <v>43</v>
      </c>
    </row>
    <row r="4" spans="1:4" x14ac:dyDescent="0.25">
      <c r="A4" s="4" t="s">
        <v>41</v>
      </c>
      <c r="B4" t="s">
        <v>18</v>
      </c>
      <c r="C4" t="s">
        <v>15</v>
      </c>
      <c r="D4" t="s">
        <v>42</v>
      </c>
    </row>
    <row r="5" spans="1:4" x14ac:dyDescent="0.25">
      <c r="A5" s="5" t="s">
        <v>38</v>
      </c>
      <c r="B5" s="7">
        <v>54885.496183206109</v>
      </c>
      <c r="C5" s="7">
        <v>59259.259259259263</v>
      </c>
      <c r="D5" s="7">
        <v>56861.924686192469</v>
      </c>
    </row>
    <row r="6" spans="1:4" x14ac:dyDescent="0.25">
      <c r="A6" s="5" t="s">
        <v>39</v>
      </c>
      <c r="B6" s="7">
        <v>59431.818181818184</v>
      </c>
      <c r="C6" s="7">
        <v>61300.813008130084</v>
      </c>
      <c r="D6" s="7">
        <v>60200.668896321069</v>
      </c>
    </row>
    <row r="7" spans="1:4" x14ac:dyDescent="0.25">
      <c r="A7" s="5" t="s">
        <v>42</v>
      </c>
      <c r="B7" s="7">
        <v>57491.856677524433</v>
      </c>
      <c r="C7" s="7">
        <v>60346.320346320346</v>
      </c>
      <c r="D7" s="7">
        <v>58717.472118959107</v>
      </c>
    </row>
    <row r="25" spans="1:4" x14ac:dyDescent="0.25">
      <c r="A25" s="4" t="s">
        <v>46</v>
      </c>
      <c r="B25" s="4" t="s">
        <v>43</v>
      </c>
    </row>
    <row r="26" spans="1:4" x14ac:dyDescent="0.25">
      <c r="A26" s="4" t="s">
        <v>41</v>
      </c>
      <c r="B26" t="s">
        <v>18</v>
      </c>
      <c r="C26" t="s">
        <v>15</v>
      </c>
      <c r="D26" t="s">
        <v>42</v>
      </c>
    </row>
    <row r="27" spans="1:4" x14ac:dyDescent="0.25">
      <c r="A27" s="5" t="s">
        <v>16</v>
      </c>
      <c r="B27" s="6">
        <v>107</v>
      </c>
      <c r="C27" s="6">
        <v>98</v>
      </c>
      <c r="D27" s="6">
        <v>205</v>
      </c>
    </row>
    <row r="28" spans="1:4" x14ac:dyDescent="0.25">
      <c r="A28" s="5" t="s">
        <v>30</v>
      </c>
      <c r="B28" s="6">
        <v>50</v>
      </c>
      <c r="C28" s="6">
        <v>13</v>
      </c>
      <c r="D28" s="6">
        <v>63</v>
      </c>
    </row>
    <row r="29" spans="1:4" x14ac:dyDescent="0.25">
      <c r="A29" s="5" t="s">
        <v>26</v>
      </c>
      <c r="B29" s="6">
        <v>50</v>
      </c>
      <c r="C29" s="6">
        <v>38</v>
      </c>
      <c r="D29" s="6">
        <v>88</v>
      </c>
    </row>
    <row r="30" spans="1:4" x14ac:dyDescent="0.25">
      <c r="A30" s="5" t="s">
        <v>22</v>
      </c>
      <c r="B30" s="6">
        <v>37</v>
      </c>
      <c r="C30" s="6">
        <v>44</v>
      </c>
      <c r="D30" s="6">
        <v>81</v>
      </c>
    </row>
    <row r="31" spans="1:4" x14ac:dyDescent="0.25">
      <c r="A31" s="5" t="s">
        <v>23</v>
      </c>
      <c r="B31" s="6">
        <v>63</v>
      </c>
      <c r="C31" s="6">
        <v>38</v>
      </c>
      <c r="D31" s="6">
        <v>101</v>
      </c>
    </row>
    <row r="32" spans="1:4" x14ac:dyDescent="0.25">
      <c r="A32" s="5" t="s">
        <v>42</v>
      </c>
      <c r="B32" s="6">
        <v>307</v>
      </c>
      <c r="C32" s="6">
        <v>231</v>
      </c>
      <c r="D32" s="6">
        <v>538</v>
      </c>
    </row>
    <row r="51" spans="1:4" x14ac:dyDescent="0.25">
      <c r="A51" s="4" t="s">
        <v>46</v>
      </c>
      <c r="B51" s="4" t="s">
        <v>43</v>
      </c>
    </row>
    <row r="52" spans="1:4" x14ac:dyDescent="0.25">
      <c r="A52" s="4" t="s">
        <v>41</v>
      </c>
      <c r="B52" t="s">
        <v>18</v>
      </c>
      <c r="C52" t="s">
        <v>15</v>
      </c>
      <c r="D52" t="s">
        <v>42</v>
      </c>
    </row>
    <row r="53" spans="1:4" x14ac:dyDescent="0.25">
      <c r="A53" s="5" t="s">
        <v>47</v>
      </c>
      <c r="B53" s="6">
        <v>248</v>
      </c>
      <c r="C53" s="6">
        <v>214</v>
      </c>
      <c r="D53" s="6">
        <v>462</v>
      </c>
    </row>
    <row r="54" spans="1:4" x14ac:dyDescent="0.25">
      <c r="A54" s="5" t="s">
        <v>48</v>
      </c>
      <c r="B54" s="6">
        <v>59</v>
      </c>
      <c r="C54" s="6">
        <v>17</v>
      </c>
      <c r="D54" s="6">
        <v>76</v>
      </c>
    </row>
    <row r="55" spans="1:4" x14ac:dyDescent="0.25">
      <c r="A55" s="5" t="s">
        <v>42</v>
      </c>
      <c r="B55" s="6">
        <v>307</v>
      </c>
      <c r="C55" s="6">
        <v>231</v>
      </c>
      <c r="D55" s="6">
        <v>538</v>
      </c>
    </row>
    <row r="73" spans="1:4" x14ac:dyDescent="0.25">
      <c r="A73" s="4" t="s">
        <v>46</v>
      </c>
      <c r="B73" s="4" t="s">
        <v>43</v>
      </c>
    </row>
    <row r="74" spans="1:4" x14ac:dyDescent="0.25">
      <c r="A74" s="4" t="s">
        <v>41</v>
      </c>
      <c r="B74" t="s">
        <v>18</v>
      </c>
      <c r="C74" t="s">
        <v>15</v>
      </c>
      <c r="D74" t="s">
        <v>42</v>
      </c>
    </row>
    <row r="75" spans="1:4" x14ac:dyDescent="0.25">
      <c r="A75" s="5">
        <v>25</v>
      </c>
      <c r="B75" s="6">
        <v>1</v>
      </c>
      <c r="C75" s="6">
        <v>2</v>
      </c>
      <c r="D75" s="6">
        <v>3</v>
      </c>
    </row>
    <row r="76" spans="1:4" x14ac:dyDescent="0.25">
      <c r="A76" s="5">
        <v>26</v>
      </c>
      <c r="B76" s="6">
        <v>1</v>
      </c>
      <c r="C76" s="6">
        <v>4</v>
      </c>
      <c r="D76" s="6">
        <v>5</v>
      </c>
    </row>
    <row r="77" spans="1:4" x14ac:dyDescent="0.25">
      <c r="A77" s="5">
        <v>27</v>
      </c>
      <c r="B77" s="6">
        <v>6</v>
      </c>
      <c r="C77" s="6">
        <v>4</v>
      </c>
      <c r="D77" s="6">
        <v>10</v>
      </c>
    </row>
    <row r="78" spans="1:4" x14ac:dyDescent="0.25">
      <c r="A78" s="5">
        <v>28</v>
      </c>
      <c r="B78" s="6">
        <v>4</v>
      </c>
      <c r="C78" s="6">
        <v>3</v>
      </c>
      <c r="D78" s="6">
        <v>7</v>
      </c>
    </row>
    <row r="79" spans="1:4" x14ac:dyDescent="0.25">
      <c r="A79" s="5">
        <v>29</v>
      </c>
      <c r="B79" s="6">
        <v>4</v>
      </c>
      <c r="C79" s="6">
        <v>1</v>
      </c>
      <c r="D79" s="6">
        <v>5</v>
      </c>
    </row>
    <row r="80" spans="1:4" x14ac:dyDescent="0.25">
      <c r="A80" s="5">
        <v>30</v>
      </c>
      <c r="B80" s="6">
        <v>8</v>
      </c>
      <c r="C80" s="6"/>
      <c r="D80" s="6">
        <v>8</v>
      </c>
    </row>
    <row r="81" spans="1:4" x14ac:dyDescent="0.25">
      <c r="A81" s="5">
        <v>31</v>
      </c>
      <c r="B81" s="6">
        <v>5</v>
      </c>
      <c r="C81" s="6"/>
      <c r="D81" s="6">
        <v>5</v>
      </c>
    </row>
    <row r="82" spans="1:4" x14ac:dyDescent="0.25">
      <c r="A82" s="5">
        <v>32</v>
      </c>
      <c r="B82" s="6">
        <v>10</v>
      </c>
      <c r="C82" s="6">
        <v>8</v>
      </c>
      <c r="D82" s="6">
        <v>18</v>
      </c>
    </row>
    <row r="83" spans="1:4" x14ac:dyDescent="0.25">
      <c r="A83" s="5">
        <v>33</v>
      </c>
      <c r="B83" s="6">
        <v>3</v>
      </c>
      <c r="C83" s="6">
        <v>5</v>
      </c>
      <c r="D83" s="6">
        <v>8</v>
      </c>
    </row>
    <row r="84" spans="1:4" x14ac:dyDescent="0.25">
      <c r="A84" s="5">
        <v>34</v>
      </c>
      <c r="B84" s="6">
        <v>5</v>
      </c>
      <c r="C84" s="6">
        <v>11</v>
      </c>
      <c r="D84" s="6">
        <v>16</v>
      </c>
    </row>
    <row r="85" spans="1:4" x14ac:dyDescent="0.25">
      <c r="A85" s="5">
        <v>35</v>
      </c>
      <c r="B85" s="6">
        <v>4</v>
      </c>
      <c r="C85" s="6">
        <v>13</v>
      </c>
      <c r="D85" s="6">
        <v>17</v>
      </c>
    </row>
    <row r="86" spans="1:4" x14ac:dyDescent="0.25">
      <c r="A86" s="5">
        <v>36</v>
      </c>
      <c r="B86" s="6">
        <v>3</v>
      </c>
      <c r="C86" s="6">
        <v>13</v>
      </c>
      <c r="D86" s="6">
        <v>16</v>
      </c>
    </row>
    <row r="87" spans="1:4" x14ac:dyDescent="0.25">
      <c r="A87" s="5">
        <v>37</v>
      </c>
      <c r="B87" s="6">
        <v>3</v>
      </c>
      <c r="C87" s="6">
        <v>12</v>
      </c>
      <c r="D87" s="6">
        <v>15</v>
      </c>
    </row>
    <row r="88" spans="1:4" x14ac:dyDescent="0.25">
      <c r="A88" s="5">
        <v>38</v>
      </c>
      <c r="B88" s="6">
        <v>3</v>
      </c>
      <c r="C88" s="6">
        <v>10</v>
      </c>
      <c r="D88" s="6">
        <v>13</v>
      </c>
    </row>
    <row r="89" spans="1:4" x14ac:dyDescent="0.25">
      <c r="A89" s="5">
        <v>39</v>
      </c>
      <c r="B89" s="6">
        <v>6</v>
      </c>
      <c r="C89" s="6">
        <v>2</v>
      </c>
      <c r="D89" s="6">
        <v>8</v>
      </c>
    </row>
    <row r="90" spans="1:4" x14ac:dyDescent="0.25">
      <c r="A90" s="5">
        <v>40</v>
      </c>
      <c r="B90" s="6">
        <v>15</v>
      </c>
      <c r="C90" s="6">
        <v>10</v>
      </c>
      <c r="D90" s="6">
        <v>25</v>
      </c>
    </row>
    <row r="91" spans="1:4" x14ac:dyDescent="0.25">
      <c r="A91" s="5">
        <v>41</v>
      </c>
      <c r="B91" s="6">
        <v>10</v>
      </c>
      <c r="C91" s="6">
        <v>4</v>
      </c>
      <c r="D91" s="6">
        <v>14</v>
      </c>
    </row>
    <row r="92" spans="1:4" x14ac:dyDescent="0.25">
      <c r="A92" s="5">
        <v>42</v>
      </c>
      <c r="B92" s="6">
        <v>13</v>
      </c>
      <c r="C92" s="6">
        <v>5</v>
      </c>
      <c r="D92" s="6">
        <v>18</v>
      </c>
    </row>
    <row r="93" spans="1:4" x14ac:dyDescent="0.25">
      <c r="A93" s="5">
        <v>43</v>
      </c>
      <c r="B93" s="6">
        <v>10</v>
      </c>
      <c r="C93" s="6">
        <v>10</v>
      </c>
      <c r="D93" s="6">
        <v>20</v>
      </c>
    </row>
    <row r="94" spans="1:4" x14ac:dyDescent="0.25">
      <c r="A94" s="5">
        <v>44</v>
      </c>
      <c r="B94" s="6">
        <v>8</v>
      </c>
      <c r="C94" s="6">
        <v>8</v>
      </c>
      <c r="D94" s="6">
        <v>16</v>
      </c>
    </row>
    <row r="95" spans="1:4" x14ac:dyDescent="0.25">
      <c r="A95" s="5">
        <v>45</v>
      </c>
      <c r="B95" s="6">
        <v>12</v>
      </c>
      <c r="C95" s="6">
        <v>8</v>
      </c>
      <c r="D95" s="6">
        <v>20</v>
      </c>
    </row>
    <row r="96" spans="1:4" x14ac:dyDescent="0.25">
      <c r="A96" s="5">
        <v>46</v>
      </c>
      <c r="B96" s="6">
        <v>12</v>
      </c>
      <c r="C96" s="6">
        <v>7</v>
      </c>
      <c r="D96" s="6">
        <v>19</v>
      </c>
    </row>
    <row r="97" spans="1:4" x14ac:dyDescent="0.25">
      <c r="A97" s="5">
        <v>47</v>
      </c>
      <c r="B97" s="6">
        <v>14</v>
      </c>
      <c r="C97" s="6">
        <v>9</v>
      </c>
      <c r="D97" s="6">
        <v>23</v>
      </c>
    </row>
    <row r="98" spans="1:4" x14ac:dyDescent="0.25">
      <c r="A98" s="5">
        <v>48</v>
      </c>
      <c r="B98" s="6">
        <v>10</v>
      </c>
      <c r="C98" s="6">
        <v>11</v>
      </c>
      <c r="D98" s="6">
        <v>21</v>
      </c>
    </row>
    <row r="99" spans="1:4" x14ac:dyDescent="0.25">
      <c r="A99" s="5">
        <v>49</v>
      </c>
      <c r="B99" s="6">
        <v>10</v>
      </c>
      <c r="C99" s="6">
        <v>5</v>
      </c>
      <c r="D99" s="6">
        <v>15</v>
      </c>
    </row>
    <row r="100" spans="1:4" x14ac:dyDescent="0.25">
      <c r="A100" s="5">
        <v>50</v>
      </c>
      <c r="B100" s="6">
        <v>5</v>
      </c>
      <c r="C100" s="6">
        <v>8</v>
      </c>
      <c r="D100" s="6">
        <v>13</v>
      </c>
    </row>
    <row r="101" spans="1:4" x14ac:dyDescent="0.25">
      <c r="A101" s="5">
        <v>51</v>
      </c>
      <c r="B101" s="6">
        <v>6</v>
      </c>
      <c r="C101" s="6">
        <v>7</v>
      </c>
      <c r="D101" s="6">
        <v>13</v>
      </c>
    </row>
    <row r="102" spans="1:4" x14ac:dyDescent="0.25">
      <c r="A102" s="5">
        <v>52</v>
      </c>
      <c r="B102" s="6">
        <v>6</v>
      </c>
      <c r="C102" s="6">
        <v>7</v>
      </c>
      <c r="D102" s="6">
        <v>13</v>
      </c>
    </row>
    <row r="103" spans="1:4" x14ac:dyDescent="0.25">
      <c r="A103" s="5">
        <v>53</v>
      </c>
      <c r="B103" s="6">
        <v>9</v>
      </c>
      <c r="C103" s="6">
        <v>5</v>
      </c>
      <c r="D103" s="6">
        <v>14</v>
      </c>
    </row>
    <row r="104" spans="1:4" x14ac:dyDescent="0.25">
      <c r="A104" s="5">
        <v>54</v>
      </c>
      <c r="B104" s="6">
        <v>5</v>
      </c>
      <c r="C104" s="6">
        <v>7</v>
      </c>
      <c r="D104" s="6">
        <v>12</v>
      </c>
    </row>
    <row r="105" spans="1:4" x14ac:dyDescent="0.25">
      <c r="A105" s="5">
        <v>55</v>
      </c>
      <c r="B105" s="6">
        <v>11</v>
      </c>
      <c r="C105" s="6">
        <v>4</v>
      </c>
      <c r="D105" s="6">
        <v>15</v>
      </c>
    </row>
    <row r="106" spans="1:4" x14ac:dyDescent="0.25">
      <c r="A106" s="5">
        <v>56</v>
      </c>
      <c r="B106" s="6">
        <v>8</v>
      </c>
      <c r="C106" s="6">
        <v>3</v>
      </c>
      <c r="D106" s="6">
        <v>11</v>
      </c>
    </row>
    <row r="107" spans="1:4" x14ac:dyDescent="0.25">
      <c r="A107" s="5">
        <v>57</v>
      </c>
      <c r="B107" s="6"/>
      <c r="C107" s="6">
        <v>4</v>
      </c>
      <c r="D107" s="6">
        <v>4</v>
      </c>
    </row>
    <row r="108" spans="1:4" x14ac:dyDescent="0.25">
      <c r="A108" s="5">
        <v>58</v>
      </c>
      <c r="B108" s="6">
        <v>6</v>
      </c>
      <c r="C108" s="6">
        <v>2</v>
      </c>
      <c r="D108" s="6">
        <v>8</v>
      </c>
    </row>
    <row r="109" spans="1:4" x14ac:dyDescent="0.25">
      <c r="A109" s="5">
        <v>59</v>
      </c>
      <c r="B109" s="6">
        <v>12</v>
      </c>
      <c r="C109" s="6">
        <v>2</v>
      </c>
      <c r="D109" s="6">
        <v>14</v>
      </c>
    </row>
    <row r="110" spans="1:4" x14ac:dyDescent="0.25">
      <c r="A110" s="5">
        <v>60</v>
      </c>
      <c r="B110" s="6">
        <v>8</v>
      </c>
      <c r="C110" s="6"/>
      <c r="D110" s="6">
        <v>8</v>
      </c>
    </row>
    <row r="111" spans="1:4" x14ac:dyDescent="0.25">
      <c r="A111" s="5">
        <v>61</v>
      </c>
      <c r="B111" s="6">
        <v>4</v>
      </c>
      <c r="C111" s="6">
        <v>3</v>
      </c>
      <c r="D111" s="6">
        <v>7</v>
      </c>
    </row>
    <row r="112" spans="1:4" x14ac:dyDescent="0.25">
      <c r="A112" s="5">
        <v>62</v>
      </c>
      <c r="B112" s="6">
        <v>5</v>
      </c>
      <c r="C112" s="6"/>
      <c r="D112" s="6">
        <v>5</v>
      </c>
    </row>
    <row r="113" spans="1:4" x14ac:dyDescent="0.25">
      <c r="A113" s="5">
        <v>63</v>
      </c>
      <c r="B113" s="6">
        <v>5</v>
      </c>
      <c r="C113" s="6">
        <v>1</v>
      </c>
      <c r="D113" s="6">
        <v>6</v>
      </c>
    </row>
    <row r="114" spans="1:4" x14ac:dyDescent="0.25">
      <c r="A114" s="5">
        <v>64</v>
      </c>
      <c r="B114" s="6">
        <v>7</v>
      </c>
      <c r="C114" s="6">
        <v>3</v>
      </c>
      <c r="D114" s="6">
        <v>10</v>
      </c>
    </row>
    <row r="115" spans="1:4" x14ac:dyDescent="0.25">
      <c r="A115" s="5">
        <v>65</v>
      </c>
      <c r="B115" s="6">
        <v>5</v>
      </c>
      <c r="C115" s="6">
        <v>1</v>
      </c>
      <c r="D115" s="6">
        <v>6</v>
      </c>
    </row>
    <row r="116" spans="1:4" x14ac:dyDescent="0.25">
      <c r="A116" s="5">
        <v>66</v>
      </c>
      <c r="B116" s="6">
        <v>6</v>
      </c>
      <c r="C116" s="6">
        <v>4</v>
      </c>
      <c r="D116" s="6">
        <v>10</v>
      </c>
    </row>
    <row r="117" spans="1:4" x14ac:dyDescent="0.25">
      <c r="A117" s="5">
        <v>67</v>
      </c>
      <c r="B117" s="6">
        <v>4</v>
      </c>
      <c r="C117" s="6">
        <v>1</v>
      </c>
      <c r="D117" s="6">
        <v>5</v>
      </c>
    </row>
    <row r="118" spans="1:4" x14ac:dyDescent="0.25">
      <c r="A118" s="5">
        <v>68</v>
      </c>
      <c r="B118" s="6">
        <v>1</v>
      </c>
      <c r="C118" s="6"/>
      <c r="D118" s="6">
        <v>1</v>
      </c>
    </row>
    <row r="119" spans="1:4" x14ac:dyDescent="0.25">
      <c r="A119" s="5">
        <v>69</v>
      </c>
      <c r="B119" s="6">
        <v>7</v>
      </c>
      <c r="C119" s="6"/>
      <c r="D119" s="6">
        <v>7</v>
      </c>
    </row>
    <row r="120" spans="1:4" x14ac:dyDescent="0.25">
      <c r="A120" s="5">
        <v>70</v>
      </c>
      <c r="B120" s="6">
        <v>3</v>
      </c>
      <c r="C120" s="6">
        <v>1</v>
      </c>
      <c r="D120" s="6">
        <v>4</v>
      </c>
    </row>
    <row r="121" spans="1:4" x14ac:dyDescent="0.25">
      <c r="A121" s="5">
        <v>71</v>
      </c>
      <c r="B121" s="6">
        <v>1</v>
      </c>
      <c r="C121" s="6"/>
      <c r="D121" s="6">
        <v>1</v>
      </c>
    </row>
    <row r="122" spans="1:4" x14ac:dyDescent="0.25">
      <c r="A122" s="5">
        <v>72</v>
      </c>
      <c r="B122" s="6"/>
      <c r="C122" s="6">
        <v>1</v>
      </c>
      <c r="D122" s="6">
        <v>1</v>
      </c>
    </row>
    <row r="123" spans="1:4" x14ac:dyDescent="0.25">
      <c r="A123" s="5">
        <v>73</v>
      </c>
      <c r="B123" s="6">
        <v>1</v>
      </c>
      <c r="C123" s="6">
        <v>1</v>
      </c>
      <c r="D123" s="6">
        <v>2</v>
      </c>
    </row>
    <row r="124" spans="1:4" x14ac:dyDescent="0.25">
      <c r="A124" s="5">
        <v>78</v>
      </c>
      <c r="B124" s="6"/>
      <c r="C124" s="6">
        <v>1</v>
      </c>
      <c r="D124" s="6">
        <v>1</v>
      </c>
    </row>
    <row r="125" spans="1:4" x14ac:dyDescent="0.25">
      <c r="A125" s="5">
        <v>80</v>
      </c>
      <c r="B125" s="6">
        <v>1</v>
      </c>
      <c r="C125" s="6"/>
      <c r="D125" s="6">
        <v>1</v>
      </c>
    </row>
    <row r="126" spans="1:4" x14ac:dyDescent="0.25">
      <c r="A126" s="5">
        <v>89</v>
      </c>
      <c r="B126" s="6">
        <v>1</v>
      </c>
      <c r="C126" s="6"/>
      <c r="D126" s="6">
        <v>1</v>
      </c>
    </row>
    <row r="127" spans="1:4" x14ac:dyDescent="0.25">
      <c r="A127" s="5" t="s">
        <v>42</v>
      </c>
      <c r="B127" s="6">
        <v>307</v>
      </c>
      <c r="C127" s="6">
        <v>231</v>
      </c>
      <c r="D127" s="6">
        <v>538</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A759B-0DD4-4BD2-8FB6-3E4F20889D23}">
  <dimension ref="A1:P3"/>
  <sheetViews>
    <sheetView showGridLines="0" tabSelected="1" zoomScale="80" zoomScaleNormal="80" workbookViewId="0">
      <selection activeCell="Y18" sqref="Y18"/>
    </sheetView>
  </sheetViews>
  <sheetFormatPr defaultRowHeight="15" x14ac:dyDescent="0.25"/>
  <sheetData>
    <row r="1" spans="1:16" x14ac:dyDescent="0.25">
      <c r="A1" s="9" t="s">
        <v>49</v>
      </c>
      <c r="B1" s="8"/>
      <c r="C1" s="8"/>
      <c r="D1" s="8"/>
      <c r="E1" s="8"/>
      <c r="F1" s="8"/>
      <c r="G1" s="8"/>
      <c r="H1" s="8"/>
      <c r="I1" s="8"/>
      <c r="J1" s="8"/>
      <c r="K1" s="8"/>
      <c r="L1" s="8"/>
      <c r="M1" s="8"/>
      <c r="N1" s="8"/>
      <c r="O1" s="8"/>
      <c r="P1" s="8"/>
    </row>
    <row r="2" spans="1:16" x14ac:dyDescent="0.25">
      <c r="A2" s="8"/>
      <c r="B2" s="8"/>
      <c r="C2" s="8"/>
      <c r="D2" s="8"/>
      <c r="E2" s="8"/>
      <c r="F2" s="8"/>
      <c r="G2" s="8"/>
      <c r="H2" s="8"/>
      <c r="I2" s="8"/>
      <c r="J2" s="8"/>
      <c r="K2" s="8"/>
      <c r="L2" s="8"/>
      <c r="M2" s="8"/>
      <c r="N2" s="8"/>
      <c r="O2" s="8"/>
      <c r="P2" s="8"/>
    </row>
    <row r="3" spans="1:16" x14ac:dyDescent="0.25">
      <c r="A3" s="8"/>
      <c r="B3" s="8"/>
      <c r="C3" s="8"/>
      <c r="D3" s="8"/>
      <c r="E3" s="8"/>
      <c r="F3" s="8"/>
      <c r="G3" s="8"/>
      <c r="H3" s="8"/>
      <c r="I3" s="8"/>
      <c r="J3" s="8"/>
      <c r="K3" s="8"/>
      <c r="L3" s="8"/>
      <c r="M3" s="8"/>
      <c r="N3" s="8"/>
      <c r="O3" s="8"/>
      <c r="P3" s="8"/>
    </row>
  </sheetData>
  <mergeCells count="1">
    <mergeCell ref="A1: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D63A7-28C7-43A8-BBED-17372A2DAA21}">
  <dimension ref="A1:N1001"/>
  <sheetViews>
    <sheetView workbookViewId="0">
      <selection activeCell="E5" sqref="E5"/>
    </sheetView>
  </sheetViews>
  <sheetFormatPr defaultColWidth="11.85546875" defaultRowHeight="15" x14ac:dyDescent="0.25"/>
  <cols>
    <col min="4" max="4" width="11.85546875" style="3"/>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IF(L2&gt;20,"Adult","Senior")</f>
        <v>Adult</v>
      </c>
      <c r="N2" t="s">
        <v>18</v>
      </c>
    </row>
    <row r="3" spans="1:14" x14ac:dyDescent="0.25">
      <c r="A3">
        <v>24107</v>
      </c>
      <c r="B3" t="s">
        <v>36</v>
      </c>
      <c r="C3" t="s">
        <v>39</v>
      </c>
      <c r="D3" s="3">
        <v>30000</v>
      </c>
      <c r="E3">
        <v>3</v>
      </c>
      <c r="F3" t="s">
        <v>19</v>
      </c>
      <c r="G3" t="s">
        <v>20</v>
      </c>
      <c r="H3" t="s">
        <v>15</v>
      </c>
      <c r="I3">
        <v>1</v>
      </c>
      <c r="J3" t="s">
        <v>16</v>
      </c>
      <c r="K3" t="s">
        <v>17</v>
      </c>
      <c r="L3">
        <v>43</v>
      </c>
      <c r="M3" t="str">
        <f t="shared" ref="M3:M66" si="0">IF(AND(L3&gt;21,L3&lt;60),"Adult","Senior")</f>
        <v>Adult</v>
      </c>
      <c r="N3" t="s">
        <v>18</v>
      </c>
    </row>
    <row r="4" spans="1:14" x14ac:dyDescent="0.25">
      <c r="A4">
        <v>14177</v>
      </c>
      <c r="B4" t="s">
        <v>36</v>
      </c>
      <c r="C4" t="s">
        <v>39</v>
      </c>
      <c r="D4" s="3">
        <v>80000</v>
      </c>
      <c r="E4">
        <v>5</v>
      </c>
      <c r="F4" t="s">
        <v>19</v>
      </c>
      <c r="G4" t="s">
        <v>21</v>
      </c>
      <c r="H4" t="s">
        <v>18</v>
      </c>
      <c r="I4">
        <v>2</v>
      </c>
      <c r="J4" t="s">
        <v>22</v>
      </c>
      <c r="K4" t="s">
        <v>17</v>
      </c>
      <c r="L4">
        <v>60</v>
      </c>
      <c r="M4" t="str">
        <f t="shared" si="0"/>
        <v>Senior</v>
      </c>
      <c r="N4" t="s">
        <v>18</v>
      </c>
    </row>
    <row r="5" spans="1:14" x14ac:dyDescent="0.25">
      <c r="A5">
        <v>24381</v>
      </c>
      <c r="B5" t="s">
        <v>37</v>
      </c>
      <c r="C5" t="s">
        <v>39</v>
      </c>
      <c r="D5" s="3">
        <v>70000</v>
      </c>
      <c r="E5">
        <v>0</v>
      </c>
      <c r="F5" t="s">
        <v>13</v>
      </c>
      <c r="G5" t="s">
        <v>21</v>
      </c>
      <c r="H5" t="s">
        <v>15</v>
      </c>
      <c r="I5">
        <v>1</v>
      </c>
      <c r="J5" t="s">
        <v>23</v>
      </c>
      <c r="K5" t="s">
        <v>24</v>
      </c>
      <c r="L5">
        <v>41</v>
      </c>
      <c r="M5" t="str">
        <f t="shared" si="0"/>
        <v>Adult</v>
      </c>
      <c r="N5" t="s">
        <v>15</v>
      </c>
    </row>
    <row r="6" spans="1:14" x14ac:dyDescent="0.25">
      <c r="A6">
        <v>25597</v>
      </c>
      <c r="B6" t="s">
        <v>37</v>
      </c>
      <c r="C6" t="s">
        <v>39</v>
      </c>
      <c r="D6" s="3">
        <v>30000</v>
      </c>
      <c r="E6">
        <v>0</v>
      </c>
      <c r="F6" t="s">
        <v>13</v>
      </c>
      <c r="G6" t="s">
        <v>20</v>
      </c>
      <c r="H6" t="s">
        <v>18</v>
      </c>
      <c r="I6">
        <v>0</v>
      </c>
      <c r="J6" t="s">
        <v>16</v>
      </c>
      <c r="K6" t="s">
        <v>17</v>
      </c>
      <c r="L6">
        <v>36</v>
      </c>
      <c r="M6" t="str">
        <f t="shared" si="0"/>
        <v>Adult</v>
      </c>
      <c r="N6" t="s">
        <v>15</v>
      </c>
    </row>
    <row r="7" spans="1:14" x14ac:dyDescent="0.25">
      <c r="A7">
        <v>13507</v>
      </c>
      <c r="B7" t="s">
        <v>36</v>
      </c>
      <c r="C7" t="s">
        <v>38</v>
      </c>
      <c r="D7" s="3">
        <v>10000</v>
      </c>
      <c r="E7">
        <v>2</v>
      </c>
      <c r="F7" t="s">
        <v>19</v>
      </c>
      <c r="G7" t="s">
        <v>25</v>
      </c>
      <c r="H7" t="s">
        <v>15</v>
      </c>
      <c r="I7">
        <v>0</v>
      </c>
      <c r="J7" t="s">
        <v>26</v>
      </c>
      <c r="K7" t="s">
        <v>17</v>
      </c>
      <c r="L7">
        <v>50</v>
      </c>
      <c r="M7" t="str">
        <f t="shared" si="0"/>
        <v>Adult</v>
      </c>
      <c r="N7" t="s">
        <v>18</v>
      </c>
    </row>
    <row r="8" spans="1:14" x14ac:dyDescent="0.25">
      <c r="A8">
        <v>27974</v>
      </c>
      <c r="B8" t="s">
        <v>37</v>
      </c>
      <c r="C8" t="s">
        <v>39</v>
      </c>
      <c r="D8" s="3">
        <v>160000</v>
      </c>
      <c r="E8">
        <v>2</v>
      </c>
      <c r="F8" t="s">
        <v>27</v>
      </c>
      <c r="G8" t="s">
        <v>28</v>
      </c>
      <c r="H8" t="s">
        <v>15</v>
      </c>
      <c r="I8">
        <v>4</v>
      </c>
      <c r="J8" t="s">
        <v>16</v>
      </c>
      <c r="K8" t="s">
        <v>24</v>
      </c>
      <c r="L8">
        <v>33</v>
      </c>
      <c r="M8" t="str">
        <f t="shared" si="0"/>
        <v>Adult</v>
      </c>
      <c r="N8" t="s">
        <v>15</v>
      </c>
    </row>
    <row r="9" spans="1:14" x14ac:dyDescent="0.25">
      <c r="A9">
        <v>19364</v>
      </c>
      <c r="B9" t="s">
        <v>36</v>
      </c>
      <c r="C9" t="s">
        <v>39</v>
      </c>
      <c r="D9" s="3">
        <v>40000</v>
      </c>
      <c r="E9">
        <v>1</v>
      </c>
      <c r="F9" t="s">
        <v>13</v>
      </c>
      <c r="G9" t="s">
        <v>14</v>
      </c>
      <c r="H9" t="s">
        <v>15</v>
      </c>
      <c r="I9">
        <v>0</v>
      </c>
      <c r="J9" t="s">
        <v>16</v>
      </c>
      <c r="K9" t="s">
        <v>17</v>
      </c>
      <c r="L9">
        <v>43</v>
      </c>
      <c r="M9" t="str">
        <f t="shared" si="0"/>
        <v>Adult</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Adult</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Adult</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Adult</v>
      </c>
      <c r="N12" t="s">
        <v>15</v>
      </c>
    </row>
    <row r="13" spans="1:14" x14ac:dyDescent="0.25">
      <c r="A13">
        <v>12697</v>
      </c>
      <c r="B13" t="s">
        <v>37</v>
      </c>
      <c r="C13" t="s">
        <v>38</v>
      </c>
      <c r="D13" s="3">
        <v>90000</v>
      </c>
      <c r="E13">
        <v>0</v>
      </c>
      <c r="F13" t="s">
        <v>13</v>
      </c>
      <c r="G13" t="s">
        <v>21</v>
      </c>
      <c r="H13" t="s">
        <v>18</v>
      </c>
      <c r="I13">
        <v>4</v>
      </c>
      <c r="J13" t="s">
        <v>45</v>
      </c>
      <c r="K13" t="s">
        <v>24</v>
      </c>
      <c r="L13">
        <v>36</v>
      </c>
      <c r="M13" t="str">
        <f t="shared" si="0"/>
        <v>Adult</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Adult</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Adult</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Adult</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Adult</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Adult</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Adult</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Adult</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Adult</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Adult</v>
      </c>
      <c r="N22" t="s">
        <v>15</v>
      </c>
    </row>
    <row r="23" spans="1:14" x14ac:dyDescent="0.25">
      <c r="A23">
        <v>21564</v>
      </c>
      <c r="B23" t="s">
        <v>37</v>
      </c>
      <c r="C23" t="s">
        <v>38</v>
      </c>
      <c r="D23" s="3">
        <v>80000</v>
      </c>
      <c r="E23">
        <v>0</v>
      </c>
      <c r="F23" t="s">
        <v>13</v>
      </c>
      <c r="G23" t="s">
        <v>21</v>
      </c>
      <c r="H23" t="s">
        <v>15</v>
      </c>
      <c r="I23">
        <v>4</v>
      </c>
      <c r="J23" t="s">
        <v>45</v>
      </c>
      <c r="K23" t="s">
        <v>24</v>
      </c>
      <c r="L23">
        <v>35</v>
      </c>
      <c r="M23" t="str">
        <f t="shared" si="0"/>
        <v>Adult</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Adult</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Adult</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Adult</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Senior</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Adult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Adult</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Adult</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Adult</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Senior</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Adult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Adult</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Adult</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Senior</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Adult</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Adult</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Adult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Adult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Adult</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Adult</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Senior</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Adult</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Adult</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Adult</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Senior</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Adult</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Adult</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Adult</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Adult</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Adult</v>
      </c>
      <c r="N52" t="s">
        <v>18</v>
      </c>
    </row>
    <row r="53" spans="1:14" x14ac:dyDescent="0.25">
      <c r="A53">
        <v>20619</v>
      </c>
      <c r="B53" t="s">
        <v>37</v>
      </c>
      <c r="C53" t="s">
        <v>39</v>
      </c>
      <c r="D53" s="3">
        <v>80000</v>
      </c>
      <c r="E53">
        <v>0</v>
      </c>
      <c r="F53" t="s">
        <v>13</v>
      </c>
      <c r="G53" t="s">
        <v>21</v>
      </c>
      <c r="H53" t="s">
        <v>18</v>
      </c>
      <c r="I53">
        <v>4</v>
      </c>
      <c r="J53" t="s">
        <v>45</v>
      </c>
      <c r="K53" t="s">
        <v>24</v>
      </c>
      <c r="L53">
        <v>35</v>
      </c>
      <c r="M53" t="str">
        <f t="shared" si="0"/>
        <v>Adult</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Senior</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Adult</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Adult</v>
      </c>
      <c r="N56" t="s">
        <v>18</v>
      </c>
    </row>
    <row r="57" spans="1:14" x14ac:dyDescent="0.25">
      <c r="A57">
        <v>28906</v>
      </c>
      <c r="B57" t="s">
        <v>36</v>
      </c>
      <c r="C57" t="s">
        <v>39</v>
      </c>
      <c r="D57" s="3">
        <v>80000</v>
      </c>
      <c r="E57">
        <v>4</v>
      </c>
      <c r="F57" t="s">
        <v>27</v>
      </c>
      <c r="G57" t="s">
        <v>21</v>
      </c>
      <c r="H57" t="s">
        <v>15</v>
      </c>
      <c r="I57">
        <v>2</v>
      </c>
      <c r="J57" t="s">
        <v>45</v>
      </c>
      <c r="K57" t="s">
        <v>17</v>
      </c>
      <c r="L57">
        <v>54</v>
      </c>
      <c r="M57" t="str">
        <f t="shared" si="0"/>
        <v>Adult</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Adult</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Senior</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Adult</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Adult</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Adult</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Adult</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Adult</v>
      </c>
      <c r="N64" t="s">
        <v>15</v>
      </c>
    </row>
    <row r="65" spans="1:14" x14ac:dyDescent="0.25">
      <c r="A65">
        <v>16185</v>
      </c>
      <c r="B65" t="s">
        <v>37</v>
      </c>
      <c r="C65" t="s">
        <v>39</v>
      </c>
      <c r="D65" s="3">
        <v>60000</v>
      </c>
      <c r="E65">
        <v>4</v>
      </c>
      <c r="F65" t="s">
        <v>13</v>
      </c>
      <c r="G65" t="s">
        <v>21</v>
      </c>
      <c r="H65" t="s">
        <v>15</v>
      </c>
      <c r="I65">
        <v>3</v>
      </c>
      <c r="J65" t="s">
        <v>45</v>
      </c>
      <c r="K65" t="s">
        <v>24</v>
      </c>
      <c r="L65">
        <v>41</v>
      </c>
      <c r="M65" t="str">
        <f t="shared" si="0"/>
        <v>Adult</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Adult</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IF(AND(L67&gt;21,L67&lt;60),"Adult","Senior")</f>
        <v>Senior</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Adult</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Adult</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Adult</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Adult</v>
      </c>
      <c r="N71" t="s">
        <v>18</v>
      </c>
    </row>
    <row r="72" spans="1:14" x14ac:dyDescent="0.25">
      <c r="A72">
        <v>14238</v>
      </c>
      <c r="B72" t="s">
        <v>36</v>
      </c>
      <c r="C72" t="s">
        <v>39</v>
      </c>
      <c r="D72" s="3">
        <v>120000</v>
      </c>
      <c r="E72">
        <v>0</v>
      </c>
      <c r="F72" t="s">
        <v>29</v>
      </c>
      <c r="G72" t="s">
        <v>21</v>
      </c>
      <c r="H72" t="s">
        <v>15</v>
      </c>
      <c r="I72">
        <v>4</v>
      </c>
      <c r="J72" t="s">
        <v>45</v>
      </c>
      <c r="K72" t="s">
        <v>24</v>
      </c>
      <c r="L72">
        <v>36</v>
      </c>
      <c r="M72" t="str">
        <f t="shared" si="1"/>
        <v>Adult</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Adult</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Adult</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Adult</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Senior</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Adult</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Adult</v>
      </c>
      <c r="N78" t="s">
        <v>18</v>
      </c>
    </row>
    <row r="79" spans="1:14" x14ac:dyDescent="0.25">
      <c r="A79">
        <v>27969</v>
      </c>
      <c r="B79" t="s">
        <v>36</v>
      </c>
      <c r="C79" t="s">
        <v>39</v>
      </c>
      <c r="D79" s="3">
        <v>80000</v>
      </c>
      <c r="E79">
        <v>0</v>
      </c>
      <c r="F79" t="s">
        <v>13</v>
      </c>
      <c r="G79" t="s">
        <v>21</v>
      </c>
      <c r="H79" t="s">
        <v>15</v>
      </c>
      <c r="I79">
        <v>2</v>
      </c>
      <c r="J79" t="s">
        <v>45</v>
      </c>
      <c r="K79" t="s">
        <v>24</v>
      </c>
      <c r="L79">
        <v>29</v>
      </c>
      <c r="M79" t="str">
        <f t="shared" si="1"/>
        <v>Adult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Adult</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Senior</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Adult</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Adult</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Adult</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Adult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Adult</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Adult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Adult</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Adult</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Adult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Adult</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Adult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Adult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Adult</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Adult</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Adult</v>
      </c>
      <c r="N96" t="s">
        <v>18</v>
      </c>
    </row>
    <row r="97" spans="1:14" x14ac:dyDescent="0.25">
      <c r="A97">
        <v>17197</v>
      </c>
      <c r="B97" t="s">
        <v>37</v>
      </c>
      <c r="C97" t="s">
        <v>38</v>
      </c>
      <c r="D97" s="3">
        <v>90000</v>
      </c>
      <c r="E97">
        <v>5</v>
      </c>
      <c r="F97" t="s">
        <v>19</v>
      </c>
      <c r="G97" t="s">
        <v>21</v>
      </c>
      <c r="H97" t="s">
        <v>15</v>
      </c>
      <c r="I97">
        <v>2</v>
      </c>
      <c r="J97" t="s">
        <v>45</v>
      </c>
      <c r="K97" t="s">
        <v>17</v>
      </c>
      <c r="L97">
        <v>62</v>
      </c>
      <c r="M97" t="str">
        <f t="shared" si="1"/>
        <v>Senior</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Adult</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Adult</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Adult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Adult</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Adult</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Adult</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Adult</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Adult</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Adult</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Adult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Adult</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Adult</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Adult</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Adult</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Adult</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Adult</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Adult</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Adult</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Adult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Adult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Adult</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Adult</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Senior</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Adult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Senior</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Adult</v>
      </c>
      <c r="N123" t="s">
        <v>18</v>
      </c>
    </row>
    <row r="124" spans="1:14" x14ac:dyDescent="0.25">
      <c r="A124">
        <v>12344</v>
      </c>
      <c r="B124" t="s">
        <v>37</v>
      </c>
      <c r="C124" t="s">
        <v>38</v>
      </c>
      <c r="D124" s="3">
        <v>80000</v>
      </c>
      <c r="E124">
        <v>0</v>
      </c>
      <c r="F124" t="s">
        <v>13</v>
      </c>
      <c r="G124" t="s">
        <v>21</v>
      </c>
      <c r="H124" t="s">
        <v>18</v>
      </c>
      <c r="I124">
        <v>3</v>
      </c>
      <c r="J124" t="s">
        <v>45</v>
      </c>
      <c r="K124" t="s">
        <v>24</v>
      </c>
      <c r="L124">
        <v>31</v>
      </c>
      <c r="M124" t="str">
        <f t="shared" si="1"/>
        <v>Adult</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Adult</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Adult</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Adult</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Adult</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Adult</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Adult</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IF(AND(L131&gt;21,L131&lt;60),"Adult","Senior")</f>
        <v>Adult</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Adult</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Adult</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Adult</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Senior</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Adult</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Adult</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Adult</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Adult</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Adult</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Senior</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Adult</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Adult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Adult</v>
      </c>
      <c r="N144" t="s">
        <v>15</v>
      </c>
    </row>
    <row r="145" spans="1:14" x14ac:dyDescent="0.25">
      <c r="A145">
        <v>16614</v>
      </c>
      <c r="B145" t="s">
        <v>36</v>
      </c>
      <c r="C145" t="s">
        <v>38</v>
      </c>
      <c r="D145" s="3">
        <v>80000</v>
      </c>
      <c r="E145">
        <v>0</v>
      </c>
      <c r="F145" t="s">
        <v>13</v>
      </c>
      <c r="G145" t="s">
        <v>21</v>
      </c>
      <c r="H145" t="s">
        <v>15</v>
      </c>
      <c r="I145">
        <v>3</v>
      </c>
      <c r="J145" t="s">
        <v>45</v>
      </c>
      <c r="K145" t="s">
        <v>24</v>
      </c>
      <c r="L145">
        <v>32</v>
      </c>
      <c r="M145" t="str">
        <f t="shared" si="2"/>
        <v>Adult</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Adult</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Adult</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Adult</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Adult</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Senior</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Adult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Adult</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Adult</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Adult</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Adult</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Adult</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Adult</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Adult</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Adult</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Adult</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Adult</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Adult</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Adult</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Adult</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Adult</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Adult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Adult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Adult</v>
      </c>
      <c r="N168" t="s">
        <v>15</v>
      </c>
    </row>
    <row r="169" spans="1:14" x14ac:dyDescent="0.25">
      <c r="A169">
        <v>14233</v>
      </c>
      <c r="B169" t="s">
        <v>37</v>
      </c>
      <c r="C169" t="s">
        <v>39</v>
      </c>
      <c r="D169" s="3">
        <v>100000</v>
      </c>
      <c r="E169">
        <v>0</v>
      </c>
      <c r="F169" t="s">
        <v>27</v>
      </c>
      <c r="G169" t="s">
        <v>28</v>
      </c>
      <c r="H169" t="s">
        <v>15</v>
      </c>
      <c r="I169">
        <v>3</v>
      </c>
      <c r="J169" t="s">
        <v>45</v>
      </c>
      <c r="K169" t="s">
        <v>24</v>
      </c>
      <c r="L169">
        <v>35</v>
      </c>
      <c r="M169" t="str">
        <f t="shared" si="2"/>
        <v>Adult</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Adult</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Adult</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Senior</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Senior</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Adult</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Adult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Adult</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Adult</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Adult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Adult</v>
      </c>
      <c r="N179" t="s">
        <v>18</v>
      </c>
    </row>
    <row r="180" spans="1:14" x14ac:dyDescent="0.25">
      <c r="A180">
        <v>14191</v>
      </c>
      <c r="B180" t="s">
        <v>36</v>
      </c>
      <c r="C180" t="s">
        <v>39</v>
      </c>
      <c r="D180" s="3">
        <v>160000</v>
      </c>
      <c r="E180">
        <v>4</v>
      </c>
      <c r="F180" t="s">
        <v>19</v>
      </c>
      <c r="G180" t="s">
        <v>21</v>
      </c>
      <c r="H180" t="s">
        <v>18</v>
      </c>
      <c r="I180">
        <v>2</v>
      </c>
      <c r="J180" t="s">
        <v>45</v>
      </c>
      <c r="K180" t="s">
        <v>17</v>
      </c>
      <c r="L180">
        <v>55</v>
      </c>
      <c r="M180" t="str">
        <f t="shared" si="2"/>
        <v>Adult</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Adult</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Adult</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Adult</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Adult</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Senior</v>
      </c>
      <c r="N185" t="s">
        <v>15</v>
      </c>
    </row>
    <row r="186" spans="1:14" x14ac:dyDescent="0.25">
      <c r="A186">
        <v>28918</v>
      </c>
      <c r="B186" t="s">
        <v>36</v>
      </c>
      <c r="C186" t="s">
        <v>38</v>
      </c>
      <c r="D186" s="3">
        <v>130000</v>
      </c>
      <c r="E186">
        <v>4</v>
      </c>
      <c r="F186" t="s">
        <v>27</v>
      </c>
      <c r="G186" t="s">
        <v>28</v>
      </c>
      <c r="H186" t="s">
        <v>18</v>
      </c>
      <c r="I186">
        <v>4</v>
      </c>
      <c r="J186" t="s">
        <v>45</v>
      </c>
      <c r="K186" t="s">
        <v>17</v>
      </c>
      <c r="L186">
        <v>58</v>
      </c>
      <c r="M186" t="str">
        <f t="shared" si="2"/>
        <v>Adult</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Adult</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Adult</v>
      </c>
      <c r="N188" t="s">
        <v>15</v>
      </c>
    </row>
    <row r="189" spans="1:14" x14ac:dyDescent="0.25">
      <c r="A189">
        <v>18151</v>
      </c>
      <c r="B189" t="s">
        <v>37</v>
      </c>
      <c r="C189" t="s">
        <v>39</v>
      </c>
      <c r="D189" s="3">
        <v>80000</v>
      </c>
      <c r="E189">
        <v>5</v>
      </c>
      <c r="F189" t="s">
        <v>19</v>
      </c>
      <c r="G189" t="s">
        <v>21</v>
      </c>
      <c r="H189" t="s">
        <v>18</v>
      </c>
      <c r="I189">
        <v>2</v>
      </c>
      <c r="J189" t="s">
        <v>45</v>
      </c>
      <c r="K189" t="s">
        <v>17</v>
      </c>
      <c r="L189">
        <v>59</v>
      </c>
      <c r="M189" t="str">
        <f t="shared" si="2"/>
        <v>Adult</v>
      </c>
      <c r="N189" t="s">
        <v>18</v>
      </c>
    </row>
    <row r="190" spans="1:14" x14ac:dyDescent="0.25">
      <c r="A190">
        <v>20606</v>
      </c>
      <c r="B190" t="s">
        <v>36</v>
      </c>
      <c r="C190" t="s">
        <v>38</v>
      </c>
      <c r="D190" s="3">
        <v>70000</v>
      </c>
      <c r="E190">
        <v>0</v>
      </c>
      <c r="F190" t="s">
        <v>13</v>
      </c>
      <c r="G190" t="s">
        <v>21</v>
      </c>
      <c r="H190" t="s">
        <v>15</v>
      </c>
      <c r="I190">
        <v>4</v>
      </c>
      <c r="J190" t="s">
        <v>45</v>
      </c>
      <c r="K190" t="s">
        <v>24</v>
      </c>
      <c r="L190">
        <v>32</v>
      </c>
      <c r="M190" t="str">
        <f t="shared" si="2"/>
        <v>Adult</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Adult</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Adult</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Adult</v>
      </c>
      <c r="N193" t="s">
        <v>15</v>
      </c>
    </row>
    <row r="194" spans="1:14" x14ac:dyDescent="0.25">
      <c r="A194">
        <v>15682</v>
      </c>
      <c r="B194" t="s">
        <v>37</v>
      </c>
      <c r="C194" t="s">
        <v>38</v>
      </c>
      <c r="D194" s="3">
        <v>80000</v>
      </c>
      <c r="E194">
        <v>5</v>
      </c>
      <c r="F194" t="s">
        <v>13</v>
      </c>
      <c r="G194" t="s">
        <v>28</v>
      </c>
      <c r="H194" t="s">
        <v>15</v>
      </c>
      <c r="I194">
        <v>2</v>
      </c>
      <c r="J194" t="s">
        <v>45</v>
      </c>
      <c r="K194" t="s">
        <v>17</v>
      </c>
      <c r="L194">
        <v>62</v>
      </c>
      <c r="M194" t="str">
        <f t="shared" si="2"/>
        <v>Senior</v>
      </c>
      <c r="N194" t="s">
        <v>18</v>
      </c>
    </row>
    <row r="195" spans="1:14" x14ac:dyDescent="0.25">
      <c r="A195">
        <v>26032</v>
      </c>
      <c r="B195" t="s">
        <v>36</v>
      </c>
      <c r="C195" t="s">
        <v>38</v>
      </c>
      <c r="D195" s="3">
        <v>70000</v>
      </c>
      <c r="E195">
        <v>5</v>
      </c>
      <c r="F195" t="s">
        <v>13</v>
      </c>
      <c r="G195" t="s">
        <v>21</v>
      </c>
      <c r="H195" t="s">
        <v>15</v>
      </c>
      <c r="I195">
        <v>4</v>
      </c>
      <c r="J195" t="s">
        <v>45</v>
      </c>
      <c r="K195" t="s">
        <v>24</v>
      </c>
      <c r="L195">
        <v>41</v>
      </c>
      <c r="M195" t="str">
        <f t="shared" ref="M195:M258" si="3">IF(AND(L195&gt;21,L195&lt;60),"Adult","Senior")</f>
        <v>Adult</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Adult</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Adult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Adult</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Senior</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Adult</v>
      </c>
      <c r="N200" t="s">
        <v>15</v>
      </c>
    </row>
    <row r="201" spans="1:14" x14ac:dyDescent="0.25">
      <c r="A201">
        <v>11453</v>
      </c>
      <c r="B201" t="s">
        <v>37</v>
      </c>
      <c r="C201" t="s">
        <v>39</v>
      </c>
      <c r="D201" s="3">
        <v>80000</v>
      </c>
      <c r="E201">
        <v>0</v>
      </c>
      <c r="F201" t="s">
        <v>13</v>
      </c>
      <c r="G201" t="s">
        <v>21</v>
      </c>
      <c r="H201" t="s">
        <v>18</v>
      </c>
      <c r="I201">
        <v>3</v>
      </c>
      <c r="J201" t="s">
        <v>45</v>
      </c>
      <c r="K201" t="s">
        <v>24</v>
      </c>
      <c r="L201">
        <v>33</v>
      </c>
      <c r="M201" t="str">
        <f t="shared" si="3"/>
        <v>Adult</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Adult</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Adult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Adult</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Adult</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Adult</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Adult</v>
      </c>
      <c r="N207" t="s">
        <v>15</v>
      </c>
    </row>
    <row r="208" spans="1:14" x14ac:dyDescent="0.25">
      <c r="A208">
        <v>11415</v>
      </c>
      <c r="B208" t="s">
        <v>37</v>
      </c>
      <c r="C208" t="s">
        <v>39</v>
      </c>
      <c r="D208" s="3">
        <v>90000</v>
      </c>
      <c r="E208">
        <v>5</v>
      </c>
      <c r="F208" t="s">
        <v>19</v>
      </c>
      <c r="G208" t="s">
        <v>21</v>
      </c>
      <c r="H208" t="s">
        <v>18</v>
      </c>
      <c r="I208">
        <v>2</v>
      </c>
      <c r="J208" t="s">
        <v>45</v>
      </c>
      <c r="K208" t="s">
        <v>17</v>
      </c>
      <c r="L208">
        <v>62</v>
      </c>
      <c r="M208" t="str">
        <f t="shared" si="3"/>
        <v>Senior</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Adult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Adult</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Adult</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Adult</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Adult</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Adult</v>
      </c>
      <c r="N214" t="s">
        <v>18</v>
      </c>
    </row>
    <row r="215" spans="1:14" x14ac:dyDescent="0.25">
      <c r="A215">
        <v>11451</v>
      </c>
      <c r="B215" t="s">
        <v>37</v>
      </c>
      <c r="C215" t="s">
        <v>39</v>
      </c>
      <c r="D215" s="3">
        <v>70000</v>
      </c>
      <c r="E215">
        <v>0</v>
      </c>
      <c r="F215" t="s">
        <v>13</v>
      </c>
      <c r="G215" t="s">
        <v>21</v>
      </c>
      <c r="H215" t="s">
        <v>18</v>
      </c>
      <c r="I215">
        <v>4</v>
      </c>
      <c r="J215" t="s">
        <v>45</v>
      </c>
      <c r="K215" t="s">
        <v>24</v>
      </c>
      <c r="L215">
        <v>31</v>
      </c>
      <c r="M215" t="str">
        <f t="shared" si="3"/>
        <v>Adult</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Senior</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Adult</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Adult</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Adult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Adult</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Adult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Adult</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Adult</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Adult</v>
      </c>
      <c r="N224" t="s">
        <v>18</v>
      </c>
    </row>
    <row r="225" spans="1:14" x14ac:dyDescent="0.25">
      <c r="A225">
        <v>18711</v>
      </c>
      <c r="B225" t="s">
        <v>37</v>
      </c>
      <c r="C225" t="s">
        <v>38</v>
      </c>
      <c r="D225" s="3">
        <v>70000</v>
      </c>
      <c r="E225">
        <v>5</v>
      </c>
      <c r="F225" t="s">
        <v>13</v>
      </c>
      <c r="G225" t="s">
        <v>21</v>
      </c>
      <c r="H225" t="s">
        <v>15</v>
      </c>
      <c r="I225">
        <v>4</v>
      </c>
      <c r="J225" t="s">
        <v>45</v>
      </c>
      <c r="K225" t="s">
        <v>24</v>
      </c>
      <c r="L225">
        <v>39</v>
      </c>
      <c r="M225" t="str">
        <f t="shared" si="3"/>
        <v>Adult</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Senior</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Adult</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Adult</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Adult</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Adult</v>
      </c>
      <c r="N230" t="s">
        <v>18</v>
      </c>
    </row>
    <row r="231" spans="1:14" x14ac:dyDescent="0.25">
      <c r="A231">
        <v>28915</v>
      </c>
      <c r="B231" t="s">
        <v>37</v>
      </c>
      <c r="C231" t="s">
        <v>39</v>
      </c>
      <c r="D231" s="3">
        <v>80000</v>
      </c>
      <c r="E231">
        <v>5</v>
      </c>
      <c r="F231" t="s">
        <v>27</v>
      </c>
      <c r="G231" t="s">
        <v>28</v>
      </c>
      <c r="H231" t="s">
        <v>15</v>
      </c>
      <c r="I231">
        <v>3</v>
      </c>
      <c r="J231" t="s">
        <v>45</v>
      </c>
      <c r="K231" t="s">
        <v>17</v>
      </c>
      <c r="L231">
        <v>57</v>
      </c>
      <c r="M231" t="str">
        <f t="shared" si="3"/>
        <v>Adult</v>
      </c>
      <c r="N231" t="s">
        <v>18</v>
      </c>
    </row>
    <row r="232" spans="1:14" x14ac:dyDescent="0.25">
      <c r="A232">
        <v>22830</v>
      </c>
      <c r="B232" t="s">
        <v>36</v>
      </c>
      <c r="C232" t="s">
        <v>39</v>
      </c>
      <c r="D232" s="3">
        <v>120000</v>
      </c>
      <c r="E232">
        <v>4</v>
      </c>
      <c r="F232" t="s">
        <v>19</v>
      </c>
      <c r="G232" t="s">
        <v>28</v>
      </c>
      <c r="H232" t="s">
        <v>15</v>
      </c>
      <c r="I232">
        <v>3</v>
      </c>
      <c r="J232" t="s">
        <v>45</v>
      </c>
      <c r="K232" t="s">
        <v>17</v>
      </c>
      <c r="L232">
        <v>56</v>
      </c>
      <c r="M232" t="str">
        <f t="shared" si="3"/>
        <v>Adult</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Adult</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Adult</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Adult</v>
      </c>
      <c r="N235" t="s">
        <v>15</v>
      </c>
    </row>
    <row r="236" spans="1:14" x14ac:dyDescent="0.25">
      <c r="A236">
        <v>24611</v>
      </c>
      <c r="B236" t="s">
        <v>37</v>
      </c>
      <c r="C236" t="s">
        <v>39</v>
      </c>
      <c r="D236" s="3">
        <v>90000</v>
      </c>
      <c r="E236">
        <v>0</v>
      </c>
      <c r="F236" t="s">
        <v>13</v>
      </c>
      <c r="G236" t="s">
        <v>21</v>
      </c>
      <c r="H236" t="s">
        <v>18</v>
      </c>
      <c r="I236">
        <v>4</v>
      </c>
      <c r="J236" t="s">
        <v>45</v>
      </c>
      <c r="K236" t="s">
        <v>24</v>
      </c>
      <c r="L236">
        <v>35</v>
      </c>
      <c r="M236" t="str">
        <f t="shared" si="3"/>
        <v>Adult</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Senior</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Adult</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Adult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Adult</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Adult</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Adult</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Adult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Adult</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Adult</v>
      </c>
      <c r="N245" t="s">
        <v>18</v>
      </c>
    </row>
    <row r="246" spans="1:14" x14ac:dyDescent="0.25">
      <c r="A246">
        <v>19057</v>
      </c>
      <c r="B246" t="s">
        <v>36</v>
      </c>
      <c r="C246" t="s">
        <v>38</v>
      </c>
      <c r="D246" s="3">
        <v>120000</v>
      </c>
      <c r="E246">
        <v>3</v>
      </c>
      <c r="F246" t="s">
        <v>13</v>
      </c>
      <c r="G246" t="s">
        <v>28</v>
      </c>
      <c r="H246" t="s">
        <v>18</v>
      </c>
      <c r="I246">
        <v>2</v>
      </c>
      <c r="J246" t="s">
        <v>45</v>
      </c>
      <c r="K246" t="s">
        <v>17</v>
      </c>
      <c r="L246">
        <v>52</v>
      </c>
      <c r="M246" t="str">
        <f t="shared" si="3"/>
        <v>Adult</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Adult</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Adult</v>
      </c>
      <c r="N248" t="s">
        <v>15</v>
      </c>
    </row>
    <row r="249" spans="1:14" x14ac:dyDescent="0.25">
      <c r="A249">
        <v>21568</v>
      </c>
      <c r="B249" t="s">
        <v>36</v>
      </c>
      <c r="C249" t="s">
        <v>38</v>
      </c>
      <c r="D249" s="3">
        <v>100000</v>
      </c>
      <c r="E249">
        <v>0</v>
      </c>
      <c r="F249" t="s">
        <v>27</v>
      </c>
      <c r="G249" t="s">
        <v>28</v>
      </c>
      <c r="H249" t="s">
        <v>15</v>
      </c>
      <c r="I249">
        <v>4</v>
      </c>
      <c r="J249" t="s">
        <v>45</v>
      </c>
      <c r="K249" t="s">
        <v>24</v>
      </c>
      <c r="L249">
        <v>34</v>
      </c>
      <c r="M249" t="str">
        <f t="shared" si="3"/>
        <v>Adult</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Senior</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Adult</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Senior</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Adult</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Adult</v>
      </c>
      <c r="N254" t="s">
        <v>18</v>
      </c>
    </row>
    <row r="255" spans="1:14" x14ac:dyDescent="0.25">
      <c r="A255">
        <v>20598</v>
      </c>
      <c r="B255" t="s">
        <v>36</v>
      </c>
      <c r="C255" t="s">
        <v>39</v>
      </c>
      <c r="D255" s="3">
        <v>100000</v>
      </c>
      <c r="E255">
        <v>3</v>
      </c>
      <c r="F255" t="s">
        <v>29</v>
      </c>
      <c r="G255" t="s">
        <v>21</v>
      </c>
      <c r="H255" t="s">
        <v>15</v>
      </c>
      <c r="I255">
        <v>0</v>
      </c>
      <c r="J255" t="s">
        <v>45</v>
      </c>
      <c r="K255" t="s">
        <v>17</v>
      </c>
      <c r="L255">
        <v>59</v>
      </c>
      <c r="M255" t="str">
        <f t="shared" si="3"/>
        <v>Adult</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Adult</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Adult</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Adult</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IF(AND(L259&gt;21,L259&lt;60),"Adult","Senior")</f>
        <v>Adult</v>
      </c>
      <c r="N259" t="s">
        <v>15</v>
      </c>
    </row>
    <row r="260" spans="1:14" x14ac:dyDescent="0.25">
      <c r="A260">
        <v>14193</v>
      </c>
      <c r="B260" t="s">
        <v>37</v>
      </c>
      <c r="C260" t="s">
        <v>38</v>
      </c>
      <c r="D260" s="3">
        <v>100000</v>
      </c>
      <c r="E260">
        <v>3</v>
      </c>
      <c r="F260" t="s">
        <v>19</v>
      </c>
      <c r="G260" t="s">
        <v>28</v>
      </c>
      <c r="H260" t="s">
        <v>15</v>
      </c>
      <c r="I260">
        <v>4</v>
      </c>
      <c r="J260" t="s">
        <v>45</v>
      </c>
      <c r="K260" t="s">
        <v>17</v>
      </c>
      <c r="L260">
        <v>56</v>
      </c>
      <c r="M260" t="str">
        <f t="shared" si="4"/>
        <v>Adult</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Adult</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Adult</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Adult</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Adult</v>
      </c>
      <c r="N264" t="s">
        <v>18</v>
      </c>
    </row>
    <row r="265" spans="1:14" x14ac:dyDescent="0.25">
      <c r="A265">
        <v>23419</v>
      </c>
      <c r="B265" t="s">
        <v>37</v>
      </c>
      <c r="C265" t="s">
        <v>38</v>
      </c>
      <c r="D265" s="3">
        <v>70000</v>
      </c>
      <c r="E265">
        <v>5</v>
      </c>
      <c r="F265" t="s">
        <v>13</v>
      </c>
      <c r="G265" t="s">
        <v>21</v>
      </c>
      <c r="H265" t="s">
        <v>15</v>
      </c>
      <c r="I265">
        <v>3</v>
      </c>
      <c r="J265" t="s">
        <v>45</v>
      </c>
      <c r="K265" t="s">
        <v>24</v>
      </c>
      <c r="L265">
        <v>39</v>
      </c>
      <c r="M265" t="str">
        <f t="shared" si="4"/>
        <v>Adult</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Adult</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Adult</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Adult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Adult</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Adult</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Adult</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Adult</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Adult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Adult</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Adult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Adult</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Adult</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Adult</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Adult</v>
      </c>
      <c r="N279" t="s">
        <v>15</v>
      </c>
    </row>
    <row r="280" spans="1:14" x14ac:dyDescent="0.25">
      <c r="A280">
        <v>20625</v>
      </c>
      <c r="B280" t="s">
        <v>36</v>
      </c>
      <c r="C280" t="s">
        <v>39</v>
      </c>
      <c r="D280" s="3">
        <v>100000</v>
      </c>
      <c r="E280">
        <v>0</v>
      </c>
      <c r="F280" t="s">
        <v>27</v>
      </c>
      <c r="G280" t="s">
        <v>28</v>
      </c>
      <c r="H280" t="s">
        <v>15</v>
      </c>
      <c r="I280">
        <v>3</v>
      </c>
      <c r="J280" t="s">
        <v>45</v>
      </c>
      <c r="K280" t="s">
        <v>24</v>
      </c>
      <c r="L280">
        <v>35</v>
      </c>
      <c r="M280" t="str">
        <f t="shared" si="4"/>
        <v>Adult</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Adult</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Adult</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Adult</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Adult</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Adult</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Adult</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Adult</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Adult</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Adult</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Adult</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Adult</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Adult</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Adult</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Adult</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Adult</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Adult</v>
      </c>
      <c r="N296" t="s">
        <v>15</v>
      </c>
    </row>
    <row r="297" spans="1:14" x14ac:dyDescent="0.25">
      <c r="A297">
        <v>21557</v>
      </c>
      <c r="B297" t="s">
        <v>37</v>
      </c>
      <c r="C297" t="s">
        <v>38</v>
      </c>
      <c r="D297" s="3">
        <v>110000</v>
      </c>
      <c r="E297">
        <v>0</v>
      </c>
      <c r="F297" t="s">
        <v>19</v>
      </c>
      <c r="G297" t="s">
        <v>28</v>
      </c>
      <c r="H297" t="s">
        <v>15</v>
      </c>
      <c r="I297">
        <v>3</v>
      </c>
      <c r="J297" t="s">
        <v>45</v>
      </c>
      <c r="K297" t="s">
        <v>24</v>
      </c>
      <c r="L297">
        <v>32</v>
      </c>
      <c r="M297" t="str">
        <f t="shared" si="4"/>
        <v>Adult</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Adult</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Adult</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Adult</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Senior</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Senior</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Adult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Senior</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Adult</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Adult</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Adult</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Adult</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Senior</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Adult</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Adult</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Adult</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Adult</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Adult</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Adult</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Adult</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Adult</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Senior</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Adult</v>
      </c>
      <c r="N319" t="s">
        <v>15</v>
      </c>
    </row>
    <row r="320" spans="1:14" x14ac:dyDescent="0.25">
      <c r="A320">
        <v>19066</v>
      </c>
      <c r="B320" t="s">
        <v>36</v>
      </c>
      <c r="C320" t="s">
        <v>39</v>
      </c>
      <c r="D320" s="3">
        <v>130000</v>
      </c>
      <c r="E320">
        <v>4</v>
      </c>
      <c r="F320" t="s">
        <v>19</v>
      </c>
      <c r="G320" t="s">
        <v>21</v>
      </c>
      <c r="H320" t="s">
        <v>18</v>
      </c>
      <c r="I320">
        <v>3</v>
      </c>
      <c r="J320" t="s">
        <v>45</v>
      </c>
      <c r="K320" t="s">
        <v>17</v>
      </c>
      <c r="L320">
        <v>54</v>
      </c>
      <c r="M320" t="str">
        <f t="shared" si="4"/>
        <v>Adult</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Adult</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Adult</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IF(AND(L323&gt;21,L323&lt;60),"Adult","Senior")</f>
        <v>Adult</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Adult</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Adult</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Adult</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Adult</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Adult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Adult</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Adult</v>
      </c>
      <c r="N330" t="s">
        <v>18</v>
      </c>
    </row>
    <row r="331" spans="1:14" x14ac:dyDescent="0.25">
      <c r="A331">
        <v>12663</v>
      </c>
      <c r="B331" t="s">
        <v>36</v>
      </c>
      <c r="C331" t="s">
        <v>38</v>
      </c>
      <c r="D331" s="3">
        <v>90000</v>
      </c>
      <c r="E331">
        <v>5</v>
      </c>
      <c r="F331" t="s">
        <v>29</v>
      </c>
      <c r="G331" t="s">
        <v>14</v>
      </c>
      <c r="H331" t="s">
        <v>15</v>
      </c>
      <c r="I331">
        <v>2</v>
      </c>
      <c r="J331" t="s">
        <v>45</v>
      </c>
      <c r="K331" t="s">
        <v>17</v>
      </c>
      <c r="L331">
        <v>59</v>
      </c>
      <c r="M331" t="str">
        <f t="shared" si="5"/>
        <v>Adult</v>
      </c>
      <c r="N331" t="s">
        <v>18</v>
      </c>
    </row>
    <row r="332" spans="1:14" x14ac:dyDescent="0.25">
      <c r="A332">
        <v>24898</v>
      </c>
      <c r="B332" t="s">
        <v>37</v>
      </c>
      <c r="C332" t="s">
        <v>38</v>
      </c>
      <c r="D332" s="3">
        <v>80000</v>
      </c>
      <c r="E332">
        <v>0</v>
      </c>
      <c r="F332" t="s">
        <v>13</v>
      </c>
      <c r="G332" t="s">
        <v>21</v>
      </c>
      <c r="H332" t="s">
        <v>15</v>
      </c>
      <c r="I332">
        <v>3</v>
      </c>
      <c r="J332" t="s">
        <v>45</v>
      </c>
      <c r="K332" t="s">
        <v>24</v>
      </c>
      <c r="L332">
        <v>32</v>
      </c>
      <c r="M332" t="str">
        <f t="shared" si="5"/>
        <v>Adult</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Adult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Adult</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Adult</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Adult</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Adult</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Adult</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Adult</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Adult</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Senior</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Adult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Adult</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Adult</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Adult</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Adult</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Adult</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Adult</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Adult</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Adult</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Adult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Adult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Adult</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Adult</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Adult</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Adult</v>
      </c>
      <c r="N356" t="s">
        <v>18</v>
      </c>
    </row>
    <row r="357" spans="1:14" x14ac:dyDescent="0.25">
      <c r="A357">
        <v>17238</v>
      </c>
      <c r="B357" t="s">
        <v>37</v>
      </c>
      <c r="C357" t="s">
        <v>39</v>
      </c>
      <c r="D357" s="3">
        <v>80000</v>
      </c>
      <c r="E357">
        <v>0</v>
      </c>
      <c r="F357" t="s">
        <v>13</v>
      </c>
      <c r="G357" t="s">
        <v>21</v>
      </c>
      <c r="H357" t="s">
        <v>15</v>
      </c>
      <c r="I357">
        <v>3</v>
      </c>
      <c r="J357" t="s">
        <v>45</v>
      </c>
      <c r="K357" t="s">
        <v>24</v>
      </c>
      <c r="L357">
        <v>32</v>
      </c>
      <c r="M357" t="str">
        <f t="shared" si="5"/>
        <v>Adult</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Adult</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Adult</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Adult</v>
      </c>
      <c r="N360" t="s">
        <v>15</v>
      </c>
    </row>
    <row r="361" spans="1:14" x14ac:dyDescent="0.25">
      <c r="A361">
        <v>17230</v>
      </c>
      <c r="B361" t="s">
        <v>36</v>
      </c>
      <c r="C361" t="s">
        <v>39</v>
      </c>
      <c r="D361" s="3">
        <v>80000</v>
      </c>
      <c r="E361">
        <v>0</v>
      </c>
      <c r="F361" t="s">
        <v>13</v>
      </c>
      <c r="G361" t="s">
        <v>21</v>
      </c>
      <c r="H361" t="s">
        <v>15</v>
      </c>
      <c r="I361">
        <v>3</v>
      </c>
      <c r="J361" t="s">
        <v>45</v>
      </c>
      <c r="K361" t="s">
        <v>24</v>
      </c>
      <c r="L361">
        <v>30</v>
      </c>
      <c r="M361" t="str">
        <f t="shared" si="5"/>
        <v>Adult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Adult</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Adult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Adult</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Senior</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Adult</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Adult</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Adult</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Adult</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Senior</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Adult</v>
      </c>
      <c r="N371" t="s">
        <v>15</v>
      </c>
    </row>
    <row r="372" spans="1:14" x14ac:dyDescent="0.25">
      <c r="A372">
        <v>17324</v>
      </c>
      <c r="B372" t="s">
        <v>36</v>
      </c>
      <c r="C372" t="s">
        <v>38</v>
      </c>
      <c r="D372" s="3">
        <v>100000</v>
      </c>
      <c r="E372">
        <v>4</v>
      </c>
      <c r="F372" t="s">
        <v>13</v>
      </c>
      <c r="G372" t="s">
        <v>21</v>
      </c>
      <c r="H372" t="s">
        <v>15</v>
      </c>
      <c r="I372">
        <v>1</v>
      </c>
      <c r="J372" t="s">
        <v>45</v>
      </c>
      <c r="K372" t="s">
        <v>24</v>
      </c>
      <c r="L372">
        <v>46</v>
      </c>
      <c r="M372" t="str">
        <f t="shared" si="5"/>
        <v>Adult</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Adult</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Adult</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Adult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Adult</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Senior</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Senior</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Adult</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Adult</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Adult</v>
      </c>
      <c r="N381" t="s">
        <v>18</v>
      </c>
    </row>
    <row r="382" spans="1:14" x14ac:dyDescent="0.25">
      <c r="A382">
        <v>13620</v>
      </c>
      <c r="B382" t="s">
        <v>37</v>
      </c>
      <c r="C382" t="s">
        <v>39</v>
      </c>
      <c r="D382" s="3">
        <v>70000</v>
      </c>
      <c r="E382">
        <v>0</v>
      </c>
      <c r="F382" t="s">
        <v>13</v>
      </c>
      <c r="G382" t="s">
        <v>21</v>
      </c>
      <c r="H382" t="s">
        <v>18</v>
      </c>
      <c r="I382">
        <v>3</v>
      </c>
      <c r="J382" t="s">
        <v>45</v>
      </c>
      <c r="K382" t="s">
        <v>24</v>
      </c>
      <c r="L382">
        <v>30</v>
      </c>
      <c r="M382" t="str">
        <f t="shared" si="5"/>
        <v>Adult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Senior</v>
      </c>
      <c r="N383" t="s">
        <v>18</v>
      </c>
    </row>
    <row r="384" spans="1:14" x14ac:dyDescent="0.25">
      <c r="A384">
        <v>13586</v>
      </c>
      <c r="B384" t="s">
        <v>36</v>
      </c>
      <c r="C384" t="s">
        <v>39</v>
      </c>
      <c r="D384" s="3">
        <v>80000</v>
      </c>
      <c r="E384">
        <v>4</v>
      </c>
      <c r="F384" t="s">
        <v>19</v>
      </c>
      <c r="G384" t="s">
        <v>21</v>
      </c>
      <c r="H384" t="s">
        <v>15</v>
      </c>
      <c r="I384">
        <v>2</v>
      </c>
      <c r="J384" t="s">
        <v>45</v>
      </c>
      <c r="K384" t="s">
        <v>17</v>
      </c>
      <c r="L384">
        <v>53</v>
      </c>
      <c r="M384" t="str">
        <f t="shared" si="5"/>
        <v>Adult</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Adult</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Adult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IF(AND(L387&gt;21,L387&lt;60),"Adult","Senior")</f>
        <v>Adult</v>
      </c>
      <c r="N387" t="s">
        <v>18</v>
      </c>
    </row>
    <row r="388" spans="1:14" x14ac:dyDescent="0.25">
      <c r="A388">
        <v>28957</v>
      </c>
      <c r="B388" t="s">
        <v>37</v>
      </c>
      <c r="C388" t="s">
        <v>38</v>
      </c>
      <c r="D388" s="3">
        <v>120000</v>
      </c>
      <c r="E388">
        <v>0</v>
      </c>
      <c r="F388" t="s">
        <v>29</v>
      </c>
      <c r="G388" t="s">
        <v>21</v>
      </c>
      <c r="H388" t="s">
        <v>15</v>
      </c>
      <c r="I388">
        <v>4</v>
      </c>
      <c r="J388" t="s">
        <v>45</v>
      </c>
      <c r="K388" t="s">
        <v>24</v>
      </c>
      <c r="L388">
        <v>34</v>
      </c>
      <c r="M388" t="str">
        <f t="shared" si="6"/>
        <v>Adult</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Adult</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Senior</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Adult</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Adult</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Adult</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Adult</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Adult</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Adult</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Adult</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Adult</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Adult</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Adult</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Adult</v>
      </c>
      <c r="N401" t="s">
        <v>15</v>
      </c>
    </row>
    <row r="402" spans="1:14" x14ac:dyDescent="0.25">
      <c r="A402">
        <v>25792</v>
      </c>
      <c r="B402" t="s">
        <v>37</v>
      </c>
      <c r="C402" t="s">
        <v>38</v>
      </c>
      <c r="D402" s="3">
        <v>110000</v>
      </c>
      <c r="E402">
        <v>3</v>
      </c>
      <c r="F402" t="s">
        <v>13</v>
      </c>
      <c r="G402" t="s">
        <v>28</v>
      </c>
      <c r="H402" t="s">
        <v>15</v>
      </c>
      <c r="I402">
        <v>4</v>
      </c>
      <c r="J402" t="s">
        <v>45</v>
      </c>
      <c r="K402" t="s">
        <v>17</v>
      </c>
      <c r="L402">
        <v>53</v>
      </c>
      <c r="M402" t="str">
        <f t="shared" si="6"/>
        <v>Adult</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Senior</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Adult</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Adult</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Adult</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Adult</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Adult</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Adult</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Adult</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Adult</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Adult</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Adult</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Adult</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Senior</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Adult</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Adult</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Adult</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Senior</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Adult</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Adult</v>
      </c>
      <c r="N421" t="s">
        <v>15</v>
      </c>
    </row>
    <row r="422" spans="1:14" x14ac:dyDescent="0.25">
      <c r="A422">
        <v>18153</v>
      </c>
      <c r="B422" t="s">
        <v>36</v>
      </c>
      <c r="C422" t="s">
        <v>38</v>
      </c>
      <c r="D422" s="3">
        <v>100000</v>
      </c>
      <c r="E422">
        <v>2</v>
      </c>
      <c r="F422" t="s">
        <v>13</v>
      </c>
      <c r="G422" t="s">
        <v>28</v>
      </c>
      <c r="H422" t="s">
        <v>15</v>
      </c>
      <c r="I422">
        <v>4</v>
      </c>
      <c r="J422" t="s">
        <v>45</v>
      </c>
      <c r="K422" t="s">
        <v>17</v>
      </c>
      <c r="L422">
        <v>59</v>
      </c>
      <c r="M422" t="str">
        <f t="shared" si="6"/>
        <v>Adult</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Adult</v>
      </c>
      <c r="N423" t="s">
        <v>18</v>
      </c>
    </row>
    <row r="424" spans="1:14" x14ac:dyDescent="0.25">
      <c r="A424">
        <v>24901</v>
      </c>
      <c r="B424" t="s">
        <v>37</v>
      </c>
      <c r="C424" t="s">
        <v>39</v>
      </c>
      <c r="D424" s="3">
        <v>110000</v>
      </c>
      <c r="E424">
        <v>0</v>
      </c>
      <c r="F424" t="s">
        <v>19</v>
      </c>
      <c r="G424" t="s">
        <v>28</v>
      </c>
      <c r="H424" t="s">
        <v>18</v>
      </c>
      <c r="I424">
        <v>3</v>
      </c>
      <c r="J424" t="s">
        <v>45</v>
      </c>
      <c r="K424" t="s">
        <v>24</v>
      </c>
      <c r="L424">
        <v>32</v>
      </c>
      <c r="M424" t="str">
        <f t="shared" si="6"/>
        <v>Adult</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Adult</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Adult</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Senior</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Adult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Adult</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Adult</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Adult</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Adult</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Adult</v>
      </c>
      <c r="N433" t="s">
        <v>15</v>
      </c>
    </row>
    <row r="434" spans="1:14" x14ac:dyDescent="0.25">
      <c r="A434">
        <v>21891</v>
      </c>
      <c r="B434" t="s">
        <v>36</v>
      </c>
      <c r="C434" t="s">
        <v>38</v>
      </c>
      <c r="D434" s="3">
        <v>110000</v>
      </c>
      <c r="E434">
        <v>0</v>
      </c>
      <c r="F434" t="s">
        <v>27</v>
      </c>
      <c r="G434" t="s">
        <v>28</v>
      </c>
      <c r="H434" t="s">
        <v>15</v>
      </c>
      <c r="I434">
        <v>3</v>
      </c>
      <c r="J434" t="s">
        <v>45</v>
      </c>
      <c r="K434" t="s">
        <v>24</v>
      </c>
      <c r="L434">
        <v>34</v>
      </c>
      <c r="M434" t="str">
        <f t="shared" si="6"/>
        <v>Adult</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Adult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Adult</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Senior</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Adult</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Adult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Adult</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Adult</v>
      </c>
      <c r="N441" t="s">
        <v>18</v>
      </c>
    </row>
    <row r="442" spans="1:14" x14ac:dyDescent="0.25">
      <c r="A442">
        <v>21561</v>
      </c>
      <c r="B442" t="s">
        <v>37</v>
      </c>
      <c r="C442" t="s">
        <v>39</v>
      </c>
      <c r="D442" s="3">
        <v>90000</v>
      </c>
      <c r="E442">
        <v>0</v>
      </c>
      <c r="F442" t="s">
        <v>13</v>
      </c>
      <c r="G442" t="s">
        <v>21</v>
      </c>
      <c r="H442" t="s">
        <v>18</v>
      </c>
      <c r="I442">
        <v>3</v>
      </c>
      <c r="J442" t="s">
        <v>45</v>
      </c>
      <c r="K442" t="s">
        <v>24</v>
      </c>
      <c r="L442">
        <v>34</v>
      </c>
      <c r="M442" t="str">
        <f t="shared" si="6"/>
        <v>Adult</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Adult</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Adult</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Adult</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Adult</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Adult</v>
      </c>
      <c r="N447" t="s">
        <v>15</v>
      </c>
    </row>
    <row r="448" spans="1:14" x14ac:dyDescent="0.25">
      <c r="A448">
        <v>14278</v>
      </c>
      <c r="B448" t="s">
        <v>36</v>
      </c>
      <c r="C448" t="s">
        <v>38</v>
      </c>
      <c r="D448" s="3">
        <v>130000</v>
      </c>
      <c r="E448">
        <v>0</v>
      </c>
      <c r="F448" t="s">
        <v>31</v>
      </c>
      <c r="G448" t="s">
        <v>28</v>
      </c>
      <c r="H448" t="s">
        <v>15</v>
      </c>
      <c r="I448">
        <v>1</v>
      </c>
      <c r="J448" t="s">
        <v>45</v>
      </c>
      <c r="K448" t="s">
        <v>24</v>
      </c>
      <c r="L448">
        <v>48</v>
      </c>
      <c r="M448" t="str">
        <f t="shared" si="6"/>
        <v>Adult</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Adult</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Adult</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IF(AND(L451&gt;21,L451&lt;60),"Adult","Senior")</f>
        <v>Adult</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Adult</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Adult</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Senior</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Adult</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Adult</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Adult</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Adult</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Senior</v>
      </c>
      <c r="N459" t="s">
        <v>18</v>
      </c>
    </row>
    <row r="460" spans="1:14" x14ac:dyDescent="0.25">
      <c r="A460">
        <v>21560</v>
      </c>
      <c r="B460" t="s">
        <v>36</v>
      </c>
      <c r="C460" t="s">
        <v>39</v>
      </c>
      <c r="D460" s="3">
        <v>120000</v>
      </c>
      <c r="E460">
        <v>0</v>
      </c>
      <c r="F460" t="s">
        <v>29</v>
      </c>
      <c r="G460" t="s">
        <v>21</v>
      </c>
      <c r="H460" t="s">
        <v>15</v>
      </c>
      <c r="I460">
        <v>4</v>
      </c>
      <c r="J460" t="s">
        <v>45</v>
      </c>
      <c r="K460" t="s">
        <v>24</v>
      </c>
      <c r="L460">
        <v>32</v>
      </c>
      <c r="M460" t="str">
        <f t="shared" si="7"/>
        <v>Adult</v>
      </c>
      <c r="N460" t="s">
        <v>15</v>
      </c>
    </row>
    <row r="461" spans="1:14" x14ac:dyDescent="0.25">
      <c r="A461">
        <v>21554</v>
      </c>
      <c r="B461" t="s">
        <v>37</v>
      </c>
      <c r="C461" t="s">
        <v>38</v>
      </c>
      <c r="D461" s="3">
        <v>80000</v>
      </c>
      <c r="E461">
        <v>0</v>
      </c>
      <c r="F461" t="s">
        <v>13</v>
      </c>
      <c r="G461" t="s">
        <v>21</v>
      </c>
      <c r="H461" t="s">
        <v>18</v>
      </c>
      <c r="I461">
        <v>3</v>
      </c>
      <c r="J461" t="s">
        <v>45</v>
      </c>
      <c r="K461" t="s">
        <v>24</v>
      </c>
      <c r="L461">
        <v>33</v>
      </c>
      <c r="M461" t="str">
        <f t="shared" si="7"/>
        <v>Adult</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Adult</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Adult</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Adult</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Adult</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Adult</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Senior</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Adult</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Adult</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Adult</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Senior</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Adult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Adult</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Adult</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Adult</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Adult</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Senior</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Adult</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Adult</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Adult</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Adult</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Adult</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Adult</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Adult</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Senior</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Adult</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Adult</v>
      </c>
      <c r="N487" t="s">
        <v>18</v>
      </c>
    </row>
    <row r="488" spans="1:14" x14ac:dyDescent="0.25">
      <c r="A488">
        <v>26415</v>
      </c>
      <c r="B488" t="s">
        <v>36</v>
      </c>
      <c r="C488" t="s">
        <v>38</v>
      </c>
      <c r="D488" s="3">
        <v>90000</v>
      </c>
      <c r="E488">
        <v>4</v>
      </c>
      <c r="F488" t="s">
        <v>29</v>
      </c>
      <c r="G488" t="s">
        <v>14</v>
      </c>
      <c r="H488" t="s">
        <v>15</v>
      </c>
      <c r="I488">
        <v>4</v>
      </c>
      <c r="J488" t="s">
        <v>45</v>
      </c>
      <c r="K488" t="s">
        <v>17</v>
      </c>
      <c r="L488">
        <v>58</v>
      </c>
      <c r="M488" t="str">
        <f t="shared" si="7"/>
        <v>Adult</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Adult</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Adult</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Adult</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Adult</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Adult</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Adult</v>
      </c>
      <c r="N494" t="s">
        <v>15</v>
      </c>
    </row>
    <row r="495" spans="1:14" x14ac:dyDescent="0.25">
      <c r="A495">
        <v>23707</v>
      </c>
      <c r="B495" t="s">
        <v>37</v>
      </c>
      <c r="C495" t="s">
        <v>39</v>
      </c>
      <c r="D495" s="3">
        <v>70000</v>
      </c>
      <c r="E495">
        <v>5</v>
      </c>
      <c r="F495" t="s">
        <v>13</v>
      </c>
      <c r="G495" t="s">
        <v>28</v>
      </c>
      <c r="H495" t="s">
        <v>15</v>
      </c>
      <c r="I495">
        <v>3</v>
      </c>
      <c r="J495" t="s">
        <v>45</v>
      </c>
      <c r="K495" t="s">
        <v>32</v>
      </c>
      <c r="L495">
        <v>60</v>
      </c>
      <c r="M495" t="str">
        <f t="shared" si="7"/>
        <v>Senior</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Adult</v>
      </c>
      <c r="N496" t="s">
        <v>18</v>
      </c>
    </row>
    <row r="497" spans="1:14" x14ac:dyDescent="0.25">
      <c r="A497">
        <v>24981</v>
      </c>
      <c r="B497" t="s">
        <v>36</v>
      </c>
      <c r="C497" t="s">
        <v>39</v>
      </c>
      <c r="D497" s="3">
        <v>60000</v>
      </c>
      <c r="E497">
        <v>2</v>
      </c>
      <c r="F497" t="s">
        <v>19</v>
      </c>
      <c r="G497" t="s">
        <v>21</v>
      </c>
      <c r="H497" t="s">
        <v>15</v>
      </c>
      <c r="I497">
        <v>2</v>
      </c>
      <c r="J497" t="s">
        <v>45</v>
      </c>
      <c r="K497" t="s">
        <v>32</v>
      </c>
      <c r="L497">
        <v>56</v>
      </c>
      <c r="M497" t="str">
        <f t="shared" si="7"/>
        <v>Adult</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Adult</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Adult</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Adult</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Adult</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Adult</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Adult</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Adult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Adult</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Adult</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Adult</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Adult</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Adult</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Adult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Adult</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Adult</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Senior</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Adult</v>
      </c>
      <c r="N514" t="s">
        <v>15</v>
      </c>
    </row>
    <row r="515" spans="1:14" x14ac:dyDescent="0.25">
      <c r="A515">
        <v>13353</v>
      </c>
      <c r="B515" t="s">
        <v>37</v>
      </c>
      <c r="C515" t="s">
        <v>38</v>
      </c>
      <c r="D515" s="3">
        <v>60000</v>
      </c>
      <c r="E515">
        <v>4</v>
      </c>
      <c r="F515" t="s">
        <v>31</v>
      </c>
      <c r="G515" t="s">
        <v>28</v>
      </c>
      <c r="H515" t="s">
        <v>15</v>
      </c>
      <c r="I515">
        <v>2</v>
      </c>
      <c r="J515" t="s">
        <v>45</v>
      </c>
      <c r="K515" t="s">
        <v>32</v>
      </c>
      <c r="L515">
        <v>61</v>
      </c>
      <c r="M515" t="str">
        <f t="shared" ref="M515:M578" si="8">IF(AND(L515&gt;21,L515&lt;60),"Adult","Senior")</f>
        <v>Senior</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Adult</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Adult</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Adult</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Adult</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Adult</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Senior</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Adult</v>
      </c>
      <c r="N522" t="s">
        <v>18</v>
      </c>
    </row>
    <row r="523" spans="1:14" x14ac:dyDescent="0.25">
      <c r="A523">
        <v>18976</v>
      </c>
      <c r="B523" t="s">
        <v>37</v>
      </c>
      <c r="C523" t="s">
        <v>39</v>
      </c>
      <c r="D523" s="3">
        <v>40000</v>
      </c>
      <c r="E523">
        <v>4</v>
      </c>
      <c r="F523" t="s">
        <v>27</v>
      </c>
      <c r="G523" t="s">
        <v>21</v>
      </c>
      <c r="H523" t="s">
        <v>15</v>
      </c>
      <c r="I523">
        <v>2</v>
      </c>
      <c r="J523" t="s">
        <v>45</v>
      </c>
      <c r="K523" t="s">
        <v>32</v>
      </c>
      <c r="L523">
        <v>62</v>
      </c>
      <c r="M523" t="str">
        <f t="shared" si="8"/>
        <v>Senior</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Adult</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Adult</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Senior</v>
      </c>
      <c r="N526" t="s">
        <v>18</v>
      </c>
    </row>
    <row r="527" spans="1:14" x14ac:dyDescent="0.25">
      <c r="A527">
        <v>16791</v>
      </c>
      <c r="B527" t="s">
        <v>37</v>
      </c>
      <c r="C527" t="s">
        <v>39</v>
      </c>
      <c r="D527" s="3">
        <v>60000</v>
      </c>
      <c r="E527">
        <v>5</v>
      </c>
      <c r="F527" t="s">
        <v>13</v>
      </c>
      <c r="G527" t="s">
        <v>28</v>
      </c>
      <c r="H527" t="s">
        <v>15</v>
      </c>
      <c r="I527">
        <v>3</v>
      </c>
      <c r="J527" t="s">
        <v>45</v>
      </c>
      <c r="K527" t="s">
        <v>32</v>
      </c>
      <c r="L527">
        <v>59</v>
      </c>
      <c r="M527" t="str">
        <f t="shared" si="8"/>
        <v>Adult</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Adult</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Adult</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Adult</v>
      </c>
      <c r="N530" t="s">
        <v>18</v>
      </c>
    </row>
    <row r="531" spans="1:14" x14ac:dyDescent="0.25">
      <c r="A531">
        <v>13233</v>
      </c>
      <c r="B531" t="s">
        <v>36</v>
      </c>
      <c r="C531" t="s">
        <v>39</v>
      </c>
      <c r="D531" s="3">
        <v>60000</v>
      </c>
      <c r="E531">
        <v>2</v>
      </c>
      <c r="F531" t="s">
        <v>19</v>
      </c>
      <c r="G531" t="s">
        <v>21</v>
      </c>
      <c r="H531" t="s">
        <v>15</v>
      </c>
      <c r="I531">
        <v>1</v>
      </c>
      <c r="J531" t="s">
        <v>45</v>
      </c>
      <c r="K531" t="s">
        <v>32</v>
      </c>
      <c r="L531">
        <v>57</v>
      </c>
      <c r="M531" t="str">
        <f t="shared" si="8"/>
        <v>Adult</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Adult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Adult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Adult</v>
      </c>
      <c r="N534" t="s">
        <v>15</v>
      </c>
    </row>
    <row r="535" spans="1:14" x14ac:dyDescent="0.25">
      <c r="A535">
        <v>24941</v>
      </c>
      <c r="B535" t="s">
        <v>36</v>
      </c>
      <c r="C535" t="s">
        <v>39</v>
      </c>
      <c r="D535" s="3">
        <v>60000</v>
      </c>
      <c r="E535">
        <v>3</v>
      </c>
      <c r="F535" t="s">
        <v>13</v>
      </c>
      <c r="G535" t="s">
        <v>28</v>
      </c>
      <c r="H535" t="s">
        <v>15</v>
      </c>
      <c r="I535">
        <v>2</v>
      </c>
      <c r="J535" t="s">
        <v>45</v>
      </c>
      <c r="K535" t="s">
        <v>32</v>
      </c>
      <c r="L535">
        <v>66</v>
      </c>
      <c r="M535" t="str">
        <f t="shared" si="8"/>
        <v>Senior</v>
      </c>
      <c r="N535" t="s">
        <v>18</v>
      </c>
    </row>
    <row r="536" spans="1:14" x14ac:dyDescent="0.25">
      <c r="A536">
        <v>24637</v>
      </c>
      <c r="B536" t="s">
        <v>36</v>
      </c>
      <c r="C536" t="s">
        <v>39</v>
      </c>
      <c r="D536" s="3">
        <v>40000</v>
      </c>
      <c r="E536">
        <v>4</v>
      </c>
      <c r="F536" t="s">
        <v>27</v>
      </c>
      <c r="G536" t="s">
        <v>21</v>
      </c>
      <c r="H536" t="s">
        <v>15</v>
      </c>
      <c r="I536">
        <v>2</v>
      </c>
      <c r="J536" t="s">
        <v>45</v>
      </c>
      <c r="K536" t="s">
        <v>32</v>
      </c>
      <c r="L536">
        <v>64</v>
      </c>
      <c r="M536" t="str">
        <f t="shared" si="8"/>
        <v>Senior</v>
      </c>
      <c r="N536" t="s">
        <v>18</v>
      </c>
    </row>
    <row r="537" spans="1:14" x14ac:dyDescent="0.25">
      <c r="A537">
        <v>23893</v>
      </c>
      <c r="B537" t="s">
        <v>36</v>
      </c>
      <c r="C537" t="s">
        <v>39</v>
      </c>
      <c r="D537" s="3">
        <v>50000</v>
      </c>
      <c r="E537">
        <v>3</v>
      </c>
      <c r="F537" t="s">
        <v>13</v>
      </c>
      <c r="G537" t="s">
        <v>14</v>
      </c>
      <c r="H537" t="s">
        <v>15</v>
      </c>
      <c r="I537">
        <v>3</v>
      </c>
      <c r="J537" t="s">
        <v>45</v>
      </c>
      <c r="K537" t="s">
        <v>32</v>
      </c>
      <c r="L537">
        <v>41</v>
      </c>
      <c r="M537" t="str">
        <f t="shared" si="8"/>
        <v>Adult</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Adult</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Adult</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Adult</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Adult</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Adult</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Adult</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Adult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Adult</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Adult</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Adult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Adult</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Adult</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Adult</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Adult</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Adult</v>
      </c>
      <c r="N552" t="s">
        <v>15</v>
      </c>
    </row>
    <row r="553" spans="1:14" x14ac:dyDescent="0.25">
      <c r="A553">
        <v>27393</v>
      </c>
      <c r="B553" t="s">
        <v>36</v>
      </c>
      <c r="C553" t="s">
        <v>38</v>
      </c>
      <c r="D553" s="3">
        <v>50000</v>
      </c>
      <c r="E553">
        <v>4</v>
      </c>
      <c r="F553" t="s">
        <v>13</v>
      </c>
      <c r="G553" t="s">
        <v>28</v>
      </c>
      <c r="H553" t="s">
        <v>15</v>
      </c>
      <c r="I553">
        <v>2</v>
      </c>
      <c r="J553" t="s">
        <v>45</v>
      </c>
      <c r="K553" t="s">
        <v>32</v>
      </c>
      <c r="L553">
        <v>63</v>
      </c>
      <c r="M553" t="str">
        <f t="shared" si="8"/>
        <v>Senior</v>
      </c>
      <c r="N553" t="s">
        <v>18</v>
      </c>
    </row>
    <row r="554" spans="1:14" x14ac:dyDescent="0.25">
      <c r="A554">
        <v>14417</v>
      </c>
      <c r="B554" t="s">
        <v>37</v>
      </c>
      <c r="C554" t="s">
        <v>39</v>
      </c>
      <c r="D554" s="3">
        <v>60000</v>
      </c>
      <c r="E554">
        <v>3</v>
      </c>
      <c r="F554" t="s">
        <v>27</v>
      </c>
      <c r="G554" t="s">
        <v>21</v>
      </c>
      <c r="H554" t="s">
        <v>15</v>
      </c>
      <c r="I554">
        <v>2</v>
      </c>
      <c r="J554" t="s">
        <v>45</v>
      </c>
      <c r="K554" t="s">
        <v>32</v>
      </c>
      <c r="L554">
        <v>54</v>
      </c>
      <c r="M554" t="str">
        <f t="shared" si="8"/>
        <v>Adult</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Senior</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Adult</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Adult</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Adult</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Adult</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Adult</v>
      </c>
      <c r="N560" t="s">
        <v>18</v>
      </c>
    </row>
    <row r="561" spans="1:14" x14ac:dyDescent="0.25">
      <c r="A561">
        <v>15895</v>
      </c>
      <c r="B561" t="s">
        <v>37</v>
      </c>
      <c r="C561" t="s">
        <v>38</v>
      </c>
      <c r="D561" s="3">
        <v>60000</v>
      </c>
      <c r="E561">
        <v>2</v>
      </c>
      <c r="F561" t="s">
        <v>13</v>
      </c>
      <c r="G561" t="s">
        <v>28</v>
      </c>
      <c r="H561" t="s">
        <v>15</v>
      </c>
      <c r="I561">
        <v>0</v>
      </c>
      <c r="J561" t="s">
        <v>45</v>
      </c>
      <c r="K561" t="s">
        <v>32</v>
      </c>
      <c r="L561">
        <v>58</v>
      </c>
      <c r="M561" t="str">
        <f t="shared" si="8"/>
        <v>Adult</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Adult</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Adult</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Adult</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Adult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Adult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Adult</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Senior</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Adult</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Adult</v>
      </c>
      <c r="N570" t="s">
        <v>15</v>
      </c>
    </row>
    <row r="571" spans="1:14" x14ac:dyDescent="0.25">
      <c r="A571">
        <v>26452</v>
      </c>
      <c r="B571" t="s">
        <v>37</v>
      </c>
      <c r="C571" t="s">
        <v>39</v>
      </c>
      <c r="D571" s="3">
        <v>50000</v>
      </c>
      <c r="E571">
        <v>3</v>
      </c>
      <c r="F571" t="s">
        <v>31</v>
      </c>
      <c r="G571" t="s">
        <v>28</v>
      </c>
      <c r="H571" t="s">
        <v>15</v>
      </c>
      <c r="I571">
        <v>2</v>
      </c>
      <c r="J571" t="s">
        <v>45</v>
      </c>
      <c r="K571" t="s">
        <v>32</v>
      </c>
      <c r="L571">
        <v>69</v>
      </c>
      <c r="M571" t="str">
        <f t="shared" si="8"/>
        <v>Senior</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Adult</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Adult</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Adult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Senior</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Adult</v>
      </c>
      <c r="N576" t="s">
        <v>15</v>
      </c>
    </row>
    <row r="577" spans="1:14" x14ac:dyDescent="0.25">
      <c r="A577">
        <v>13388</v>
      </c>
      <c r="B577" t="s">
        <v>37</v>
      </c>
      <c r="C577" t="s">
        <v>39</v>
      </c>
      <c r="D577" s="3">
        <v>60000</v>
      </c>
      <c r="E577">
        <v>2</v>
      </c>
      <c r="F577" t="s">
        <v>19</v>
      </c>
      <c r="G577" t="s">
        <v>21</v>
      </c>
      <c r="H577" t="s">
        <v>15</v>
      </c>
      <c r="I577">
        <v>1</v>
      </c>
      <c r="J577" t="s">
        <v>45</v>
      </c>
      <c r="K577" t="s">
        <v>32</v>
      </c>
      <c r="L577">
        <v>56</v>
      </c>
      <c r="M577" t="str">
        <f t="shared" si="8"/>
        <v>Adult</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Adult</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IF(AND(L579&gt;21,L579&lt;60),"Adult","Senior")</f>
        <v>Adult</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Adult</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Adult</v>
      </c>
      <c r="N581" t="s">
        <v>18</v>
      </c>
    </row>
    <row r="582" spans="1:14" x14ac:dyDescent="0.25">
      <c r="A582">
        <v>20380</v>
      </c>
      <c r="B582" t="s">
        <v>36</v>
      </c>
      <c r="C582" t="s">
        <v>38</v>
      </c>
      <c r="D582" s="3">
        <v>60000</v>
      </c>
      <c r="E582">
        <v>3</v>
      </c>
      <c r="F582" t="s">
        <v>31</v>
      </c>
      <c r="G582" t="s">
        <v>28</v>
      </c>
      <c r="H582" t="s">
        <v>15</v>
      </c>
      <c r="I582">
        <v>2</v>
      </c>
      <c r="J582" t="s">
        <v>45</v>
      </c>
      <c r="K582" t="s">
        <v>32</v>
      </c>
      <c r="L582">
        <v>69</v>
      </c>
      <c r="M582" t="str">
        <f t="shared" si="9"/>
        <v>Senior</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Adult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Adult</v>
      </c>
      <c r="N584" t="s">
        <v>18</v>
      </c>
    </row>
    <row r="585" spans="1:14" x14ac:dyDescent="0.25">
      <c r="A585">
        <v>24943</v>
      </c>
      <c r="B585" t="s">
        <v>36</v>
      </c>
      <c r="C585" t="s">
        <v>39</v>
      </c>
      <c r="D585" s="3">
        <v>60000</v>
      </c>
      <c r="E585">
        <v>3</v>
      </c>
      <c r="F585" t="s">
        <v>13</v>
      </c>
      <c r="G585" t="s">
        <v>28</v>
      </c>
      <c r="H585" t="s">
        <v>15</v>
      </c>
      <c r="I585">
        <v>2</v>
      </c>
      <c r="J585" t="s">
        <v>45</v>
      </c>
      <c r="K585" t="s">
        <v>32</v>
      </c>
      <c r="L585">
        <v>66</v>
      </c>
      <c r="M585" t="str">
        <f t="shared" si="9"/>
        <v>Senior</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Adult</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Adult</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Adult</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Adult</v>
      </c>
      <c r="N589" t="s">
        <v>18</v>
      </c>
    </row>
    <row r="590" spans="1:14" x14ac:dyDescent="0.25">
      <c r="A590">
        <v>16871</v>
      </c>
      <c r="B590" t="s">
        <v>36</v>
      </c>
      <c r="C590" t="s">
        <v>38</v>
      </c>
      <c r="D590" s="3">
        <v>90000</v>
      </c>
      <c r="E590">
        <v>2</v>
      </c>
      <c r="F590" t="s">
        <v>27</v>
      </c>
      <c r="G590" t="s">
        <v>21</v>
      </c>
      <c r="H590" t="s">
        <v>15</v>
      </c>
      <c r="I590">
        <v>1</v>
      </c>
      <c r="J590" t="s">
        <v>45</v>
      </c>
      <c r="K590" t="s">
        <v>32</v>
      </c>
      <c r="L590">
        <v>51</v>
      </c>
      <c r="M590" t="str">
        <f t="shared" si="9"/>
        <v>Adult</v>
      </c>
      <c r="N590" t="s">
        <v>15</v>
      </c>
    </row>
    <row r="591" spans="1:14" x14ac:dyDescent="0.25">
      <c r="A591">
        <v>12100</v>
      </c>
      <c r="B591" t="s">
        <v>37</v>
      </c>
      <c r="C591" t="s">
        <v>39</v>
      </c>
      <c r="D591" s="3">
        <v>60000</v>
      </c>
      <c r="E591">
        <v>2</v>
      </c>
      <c r="F591" t="s">
        <v>13</v>
      </c>
      <c r="G591" t="s">
        <v>28</v>
      </c>
      <c r="H591" t="s">
        <v>15</v>
      </c>
      <c r="I591">
        <v>0</v>
      </c>
      <c r="J591" t="s">
        <v>45</v>
      </c>
      <c r="K591" t="s">
        <v>32</v>
      </c>
      <c r="L591">
        <v>57</v>
      </c>
      <c r="M591" t="str">
        <f t="shared" si="9"/>
        <v>Adult</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Adult</v>
      </c>
      <c r="N592" t="s">
        <v>15</v>
      </c>
    </row>
    <row r="593" spans="1:14" x14ac:dyDescent="0.25">
      <c r="A593">
        <v>18545</v>
      </c>
      <c r="B593" t="s">
        <v>36</v>
      </c>
      <c r="C593" t="s">
        <v>39</v>
      </c>
      <c r="D593" s="3">
        <v>40000</v>
      </c>
      <c r="E593">
        <v>4</v>
      </c>
      <c r="F593" t="s">
        <v>27</v>
      </c>
      <c r="G593" t="s">
        <v>21</v>
      </c>
      <c r="H593" t="s">
        <v>18</v>
      </c>
      <c r="I593">
        <v>2</v>
      </c>
      <c r="J593" t="s">
        <v>45</v>
      </c>
      <c r="K593" t="s">
        <v>32</v>
      </c>
      <c r="L593">
        <v>61</v>
      </c>
      <c r="M593" t="str">
        <f t="shared" si="9"/>
        <v>Senior</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Adult</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Adult</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Senior</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Senior</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Adult</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Adult</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Adult</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Adult</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Adult</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Adult</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Adult</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Adult</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Adult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Adult</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Adult</v>
      </c>
      <c r="N608" t="s">
        <v>18</v>
      </c>
    </row>
    <row r="609" spans="1:14" x14ac:dyDescent="0.25">
      <c r="A609">
        <v>16145</v>
      </c>
      <c r="B609" t="s">
        <v>37</v>
      </c>
      <c r="C609" t="s">
        <v>38</v>
      </c>
      <c r="D609" s="3">
        <v>70000</v>
      </c>
      <c r="E609">
        <v>5</v>
      </c>
      <c r="F609" t="s">
        <v>31</v>
      </c>
      <c r="G609" t="s">
        <v>21</v>
      </c>
      <c r="H609" t="s">
        <v>15</v>
      </c>
      <c r="I609">
        <v>3</v>
      </c>
      <c r="J609" t="s">
        <v>45</v>
      </c>
      <c r="K609" t="s">
        <v>32</v>
      </c>
      <c r="L609">
        <v>46</v>
      </c>
      <c r="M609" t="str">
        <f t="shared" si="9"/>
        <v>Adult</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Adult</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Adult</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Adult</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Adult</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Adult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Adult</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Adult</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Adult</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Adult</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Adult</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Adult</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Adult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Adult</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Adult</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Adult</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Adult</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Adult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Senior</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Adult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Senior</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Adult</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Adult</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Adult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Adult</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Adult</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Adult</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Senior</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Adult</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Adult</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Adult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Senior</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Senior</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Adult</v>
      </c>
      <c r="N642" t="s">
        <v>15</v>
      </c>
    </row>
    <row r="643" spans="1:14" x14ac:dyDescent="0.25">
      <c r="A643">
        <v>21441</v>
      </c>
      <c r="B643" t="s">
        <v>36</v>
      </c>
      <c r="C643" t="s">
        <v>39</v>
      </c>
      <c r="D643" s="3">
        <v>50000</v>
      </c>
      <c r="E643">
        <v>4</v>
      </c>
      <c r="F643" t="s">
        <v>13</v>
      </c>
      <c r="G643" t="s">
        <v>28</v>
      </c>
      <c r="H643" t="s">
        <v>15</v>
      </c>
      <c r="I643">
        <v>2</v>
      </c>
      <c r="J643" t="s">
        <v>45</v>
      </c>
      <c r="K643" t="s">
        <v>32</v>
      </c>
      <c r="L643">
        <v>64</v>
      </c>
      <c r="M643" t="str">
        <f t="shared" ref="M643:M706" si="10">IF(AND(L643&gt;21,L643&lt;60),"Adult","Senior")</f>
        <v>Senior</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Adult</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Adult</v>
      </c>
      <c r="N645" t="s">
        <v>15</v>
      </c>
    </row>
    <row r="646" spans="1:14" x14ac:dyDescent="0.25">
      <c r="A646">
        <v>23368</v>
      </c>
      <c r="B646" t="s">
        <v>36</v>
      </c>
      <c r="C646" t="s">
        <v>38</v>
      </c>
      <c r="D646" s="3">
        <v>60000</v>
      </c>
      <c r="E646">
        <v>5</v>
      </c>
      <c r="F646" t="s">
        <v>13</v>
      </c>
      <c r="G646" t="s">
        <v>14</v>
      </c>
      <c r="H646" t="s">
        <v>15</v>
      </c>
      <c r="I646">
        <v>3</v>
      </c>
      <c r="J646" t="s">
        <v>45</v>
      </c>
      <c r="K646" t="s">
        <v>32</v>
      </c>
      <c r="L646">
        <v>41</v>
      </c>
      <c r="M646" t="str">
        <f t="shared" si="10"/>
        <v>Adult</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Adult</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Adult</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Adult</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Adult</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Adult</v>
      </c>
      <c r="N651" t="s">
        <v>15</v>
      </c>
    </row>
    <row r="652" spans="1:14" x14ac:dyDescent="0.25">
      <c r="A652">
        <v>18435</v>
      </c>
      <c r="B652" t="s">
        <v>37</v>
      </c>
      <c r="C652" t="s">
        <v>38</v>
      </c>
      <c r="D652" s="3">
        <v>70000</v>
      </c>
      <c r="E652">
        <v>5</v>
      </c>
      <c r="F652" t="s">
        <v>31</v>
      </c>
      <c r="G652" t="s">
        <v>28</v>
      </c>
      <c r="H652" t="s">
        <v>15</v>
      </c>
      <c r="I652">
        <v>2</v>
      </c>
      <c r="J652" t="s">
        <v>45</v>
      </c>
      <c r="K652" t="s">
        <v>32</v>
      </c>
      <c r="L652">
        <v>67</v>
      </c>
      <c r="M652" t="str">
        <f t="shared" si="10"/>
        <v>Senior</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Adult</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Adult</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Adult</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Adult</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Adult</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Adult</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Adult</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Adult</v>
      </c>
      <c r="N660" t="s">
        <v>15</v>
      </c>
    </row>
    <row r="661" spans="1:14" x14ac:dyDescent="0.25">
      <c r="A661">
        <v>24643</v>
      </c>
      <c r="B661" t="s">
        <v>37</v>
      </c>
      <c r="C661" t="s">
        <v>38</v>
      </c>
      <c r="D661" s="3">
        <v>60000</v>
      </c>
      <c r="E661">
        <v>4</v>
      </c>
      <c r="F661" t="s">
        <v>13</v>
      </c>
      <c r="G661" t="s">
        <v>28</v>
      </c>
      <c r="H661" t="s">
        <v>15</v>
      </c>
      <c r="I661">
        <v>2</v>
      </c>
      <c r="J661" t="s">
        <v>45</v>
      </c>
      <c r="K661" t="s">
        <v>32</v>
      </c>
      <c r="L661">
        <v>63</v>
      </c>
      <c r="M661" t="str">
        <f t="shared" si="10"/>
        <v>Senior</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Adult</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Adult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Adult</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Adult</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Adult</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Adult</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Adult</v>
      </c>
      <c r="N668" t="s">
        <v>15</v>
      </c>
    </row>
    <row r="669" spans="1:14" x14ac:dyDescent="0.25">
      <c r="A669">
        <v>20505</v>
      </c>
      <c r="B669" t="s">
        <v>36</v>
      </c>
      <c r="C669" t="s">
        <v>38</v>
      </c>
      <c r="D669" s="3">
        <v>40000</v>
      </c>
      <c r="E669">
        <v>5</v>
      </c>
      <c r="F669" t="s">
        <v>27</v>
      </c>
      <c r="G669" t="s">
        <v>21</v>
      </c>
      <c r="H669" t="s">
        <v>18</v>
      </c>
      <c r="I669">
        <v>2</v>
      </c>
      <c r="J669" t="s">
        <v>45</v>
      </c>
      <c r="K669" t="s">
        <v>32</v>
      </c>
      <c r="L669">
        <v>61</v>
      </c>
      <c r="M669" t="str">
        <f t="shared" si="10"/>
        <v>Senior</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Adult</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Adult</v>
      </c>
      <c r="N671" t="s">
        <v>18</v>
      </c>
    </row>
    <row r="672" spans="1:14" x14ac:dyDescent="0.25">
      <c r="A672">
        <v>21471</v>
      </c>
      <c r="B672" t="s">
        <v>36</v>
      </c>
      <c r="C672" t="s">
        <v>39</v>
      </c>
      <c r="D672" s="3">
        <v>70000</v>
      </c>
      <c r="E672">
        <v>2</v>
      </c>
      <c r="F672" t="s">
        <v>19</v>
      </c>
      <c r="G672" t="s">
        <v>21</v>
      </c>
      <c r="H672" t="s">
        <v>15</v>
      </c>
      <c r="I672">
        <v>1</v>
      </c>
      <c r="J672" t="s">
        <v>45</v>
      </c>
      <c r="K672" t="s">
        <v>32</v>
      </c>
      <c r="L672">
        <v>59</v>
      </c>
      <c r="M672" t="str">
        <f t="shared" si="10"/>
        <v>Adult</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Adult</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Adult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Adult</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Adult</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Adult</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Adult</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Adult</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Senior</v>
      </c>
      <c r="N680" t="s">
        <v>18</v>
      </c>
    </row>
    <row r="681" spans="1:14" x14ac:dyDescent="0.25">
      <c r="A681">
        <v>21770</v>
      </c>
      <c r="B681" t="s">
        <v>36</v>
      </c>
      <c r="C681" t="s">
        <v>39</v>
      </c>
      <c r="D681" s="3">
        <v>60000</v>
      </c>
      <c r="E681">
        <v>4</v>
      </c>
      <c r="F681" t="s">
        <v>13</v>
      </c>
      <c r="G681" t="s">
        <v>28</v>
      </c>
      <c r="H681" t="s">
        <v>15</v>
      </c>
      <c r="I681">
        <v>2</v>
      </c>
      <c r="J681" t="s">
        <v>45</v>
      </c>
      <c r="K681" t="s">
        <v>32</v>
      </c>
      <c r="L681">
        <v>60</v>
      </c>
      <c r="M681" t="str">
        <f t="shared" si="10"/>
        <v>Senior</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Adult</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Adult</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Adult</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Adult</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Adult</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Adult</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Adult</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Adult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Adult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Adult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Adult</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Adult</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Adult</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Adult</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Adult</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Adult</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Adult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Adult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Adult</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Adult</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Adult</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Adult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Adult</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Adult</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Adult</v>
      </c>
      <c r="N706" t="s">
        <v>15</v>
      </c>
    </row>
    <row r="707" spans="1:14" x14ac:dyDescent="0.25">
      <c r="A707">
        <v>11199</v>
      </c>
      <c r="B707" t="s">
        <v>36</v>
      </c>
      <c r="C707" t="s">
        <v>38</v>
      </c>
      <c r="D707" s="3">
        <v>70000</v>
      </c>
      <c r="E707">
        <v>4</v>
      </c>
      <c r="F707" t="s">
        <v>13</v>
      </c>
      <c r="G707" t="s">
        <v>28</v>
      </c>
      <c r="H707" t="s">
        <v>15</v>
      </c>
      <c r="I707">
        <v>1</v>
      </c>
      <c r="J707" t="s">
        <v>45</v>
      </c>
      <c r="K707" t="s">
        <v>32</v>
      </c>
      <c r="L707">
        <v>59</v>
      </c>
      <c r="M707" t="str">
        <f t="shared" ref="M707:M770" si="11">IF(AND(L707&gt;21,L707&lt;60),"Adult","Senior")</f>
        <v>Adult</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Adult</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Adult</v>
      </c>
      <c r="N709" t="s">
        <v>15</v>
      </c>
    </row>
    <row r="710" spans="1:14" x14ac:dyDescent="0.25">
      <c r="A710">
        <v>18069</v>
      </c>
      <c r="B710" t="s">
        <v>36</v>
      </c>
      <c r="C710" t="s">
        <v>39</v>
      </c>
      <c r="D710" s="3">
        <v>70000</v>
      </c>
      <c r="E710">
        <v>5</v>
      </c>
      <c r="F710" t="s">
        <v>13</v>
      </c>
      <c r="G710" t="s">
        <v>28</v>
      </c>
      <c r="H710" t="s">
        <v>15</v>
      </c>
      <c r="I710">
        <v>4</v>
      </c>
      <c r="J710" t="s">
        <v>45</v>
      </c>
      <c r="K710" t="s">
        <v>32</v>
      </c>
      <c r="L710">
        <v>60</v>
      </c>
      <c r="M710" t="str">
        <f t="shared" si="11"/>
        <v>Senior</v>
      </c>
      <c r="N710" t="s">
        <v>18</v>
      </c>
    </row>
    <row r="711" spans="1:14" x14ac:dyDescent="0.25">
      <c r="A711">
        <v>23712</v>
      </c>
      <c r="B711" t="s">
        <v>37</v>
      </c>
      <c r="C711" t="s">
        <v>38</v>
      </c>
      <c r="D711" s="3">
        <v>70000</v>
      </c>
      <c r="E711">
        <v>2</v>
      </c>
      <c r="F711" t="s">
        <v>13</v>
      </c>
      <c r="G711" t="s">
        <v>28</v>
      </c>
      <c r="H711" t="s">
        <v>15</v>
      </c>
      <c r="I711">
        <v>1</v>
      </c>
      <c r="J711" t="s">
        <v>45</v>
      </c>
      <c r="K711" t="s">
        <v>32</v>
      </c>
      <c r="L711">
        <v>59</v>
      </c>
      <c r="M711" t="str">
        <f t="shared" si="11"/>
        <v>Adult</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Adult</v>
      </c>
      <c r="N712" t="s">
        <v>15</v>
      </c>
    </row>
    <row r="713" spans="1:14" x14ac:dyDescent="0.25">
      <c r="A713">
        <v>20518</v>
      </c>
      <c r="B713" t="s">
        <v>36</v>
      </c>
      <c r="C713" t="s">
        <v>38</v>
      </c>
      <c r="D713" s="3">
        <v>70000</v>
      </c>
      <c r="E713">
        <v>2</v>
      </c>
      <c r="F713" t="s">
        <v>19</v>
      </c>
      <c r="G713" t="s">
        <v>21</v>
      </c>
      <c r="H713" t="s">
        <v>15</v>
      </c>
      <c r="I713">
        <v>1</v>
      </c>
      <c r="J713" t="s">
        <v>45</v>
      </c>
      <c r="K713" t="s">
        <v>32</v>
      </c>
      <c r="L713">
        <v>58</v>
      </c>
      <c r="M713" t="str">
        <f t="shared" si="11"/>
        <v>Adult</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Adult</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Adult</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Adult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Adult</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Adult</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Adult</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Adult</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Adult</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Senior</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Adult</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Adult</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Adult</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Adult</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Adult</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Adult</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Adult</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Adult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Adult</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Adult</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Adult</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Adult</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Adult</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Adult</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Adult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Adult</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Adult</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Adult</v>
      </c>
      <c r="N740" t="s">
        <v>15</v>
      </c>
    </row>
    <row r="741" spans="1:14" x14ac:dyDescent="0.25">
      <c r="A741">
        <v>11225</v>
      </c>
      <c r="B741" t="s">
        <v>36</v>
      </c>
      <c r="C741" t="s">
        <v>38</v>
      </c>
      <c r="D741" s="3">
        <v>60000</v>
      </c>
      <c r="E741">
        <v>2</v>
      </c>
      <c r="F741" t="s">
        <v>19</v>
      </c>
      <c r="G741" t="s">
        <v>21</v>
      </c>
      <c r="H741" t="s">
        <v>15</v>
      </c>
      <c r="I741">
        <v>1</v>
      </c>
      <c r="J741" t="s">
        <v>45</v>
      </c>
      <c r="K741" t="s">
        <v>32</v>
      </c>
      <c r="L741">
        <v>55</v>
      </c>
      <c r="M741" t="str">
        <f t="shared" si="11"/>
        <v>Adult</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Adult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Adult</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Adult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Adult</v>
      </c>
      <c r="N745" t="s">
        <v>18</v>
      </c>
    </row>
    <row r="746" spans="1:14" x14ac:dyDescent="0.25">
      <c r="A746">
        <v>20535</v>
      </c>
      <c r="B746" t="s">
        <v>36</v>
      </c>
      <c r="C746" t="s">
        <v>38</v>
      </c>
      <c r="D746" s="3">
        <v>70000</v>
      </c>
      <c r="E746">
        <v>4</v>
      </c>
      <c r="F746" t="s">
        <v>19</v>
      </c>
      <c r="G746" t="s">
        <v>21</v>
      </c>
      <c r="H746" t="s">
        <v>15</v>
      </c>
      <c r="I746">
        <v>1</v>
      </c>
      <c r="J746" t="s">
        <v>45</v>
      </c>
      <c r="K746" t="s">
        <v>32</v>
      </c>
      <c r="L746">
        <v>56</v>
      </c>
      <c r="M746" t="str">
        <f t="shared" si="11"/>
        <v>Adult</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Adult</v>
      </c>
      <c r="N747" t="s">
        <v>15</v>
      </c>
    </row>
    <row r="748" spans="1:14" x14ac:dyDescent="0.25">
      <c r="A748">
        <v>28043</v>
      </c>
      <c r="B748" t="s">
        <v>36</v>
      </c>
      <c r="C748" t="s">
        <v>38</v>
      </c>
      <c r="D748" s="3">
        <v>60000</v>
      </c>
      <c r="E748">
        <v>2</v>
      </c>
      <c r="F748" t="s">
        <v>13</v>
      </c>
      <c r="G748" t="s">
        <v>28</v>
      </c>
      <c r="H748" t="s">
        <v>15</v>
      </c>
      <c r="I748">
        <v>0</v>
      </c>
      <c r="J748" t="s">
        <v>45</v>
      </c>
      <c r="K748" t="s">
        <v>32</v>
      </c>
      <c r="L748">
        <v>56</v>
      </c>
      <c r="M748" t="str">
        <f t="shared" si="11"/>
        <v>Adult</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Adult</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Senior</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Adult</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Adult</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Adult</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Adult</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Adult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Adult</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Adult</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Adult</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Adult</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Adult</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Adult</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Adult</v>
      </c>
      <c r="N762" t="s">
        <v>18</v>
      </c>
    </row>
    <row r="763" spans="1:14" x14ac:dyDescent="0.25">
      <c r="A763">
        <v>13216</v>
      </c>
      <c r="B763" t="s">
        <v>36</v>
      </c>
      <c r="C763" t="s">
        <v>38</v>
      </c>
      <c r="D763" s="3">
        <v>60000</v>
      </c>
      <c r="E763">
        <v>5</v>
      </c>
      <c r="F763" t="s">
        <v>13</v>
      </c>
      <c r="G763" t="s">
        <v>28</v>
      </c>
      <c r="H763" t="s">
        <v>15</v>
      </c>
      <c r="I763">
        <v>3</v>
      </c>
      <c r="J763" t="s">
        <v>45</v>
      </c>
      <c r="K763" t="s">
        <v>32</v>
      </c>
      <c r="L763">
        <v>59</v>
      </c>
      <c r="M763" t="str">
        <f t="shared" si="11"/>
        <v>Adult</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Adult</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Adult</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Adult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Adult</v>
      </c>
      <c r="N767" t="s">
        <v>15</v>
      </c>
    </row>
    <row r="768" spans="1:14" x14ac:dyDescent="0.25">
      <c r="A768">
        <v>14608</v>
      </c>
      <c r="B768" t="s">
        <v>36</v>
      </c>
      <c r="C768" t="s">
        <v>39</v>
      </c>
      <c r="D768" s="3">
        <v>50000</v>
      </c>
      <c r="E768">
        <v>4</v>
      </c>
      <c r="F768" t="s">
        <v>13</v>
      </c>
      <c r="G768" t="s">
        <v>14</v>
      </c>
      <c r="H768" t="s">
        <v>15</v>
      </c>
      <c r="I768">
        <v>3</v>
      </c>
      <c r="J768" t="s">
        <v>45</v>
      </c>
      <c r="K768" t="s">
        <v>32</v>
      </c>
      <c r="L768">
        <v>42</v>
      </c>
      <c r="M768" t="str">
        <f t="shared" si="11"/>
        <v>Adult</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Adult</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Adult</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IF(AND(L771&gt;21,L771&lt;60),"Adult","Senior")</f>
        <v>Adult</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Adult</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Adult</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Adult</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Adult</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Adult</v>
      </c>
      <c r="N776" t="s">
        <v>15</v>
      </c>
    </row>
    <row r="777" spans="1:14" x14ac:dyDescent="0.25">
      <c r="A777">
        <v>29030</v>
      </c>
      <c r="B777" t="s">
        <v>36</v>
      </c>
      <c r="C777" t="s">
        <v>39</v>
      </c>
      <c r="D777" s="3">
        <v>70000</v>
      </c>
      <c r="E777">
        <v>2</v>
      </c>
      <c r="F777" t="s">
        <v>29</v>
      </c>
      <c r="G777" t="s">
        <v>14</v>
      </c>
      <c r="H777" t="s">
        <v>15</v>
      </c>
      <c r="I777">
        <v>2</v>
      </c>
      <c r="J777" t="s">
        <v>45</v>
      </c>
      <c r="K777" t="s">
        <v>32</v>
      </c>
      <c r="L777">
        <v>54</v>
      </c>
      <c r="M777" t="str">
        <f t="shared" si="12"/>
        <v>Adult</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Adult</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Adult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Adult</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Adult</v>
      </c>
      <c r="N781" t="s">
        <v>15</v>
      </c>
    </row>
    <row r="782" spans="1:14" x14ac:dyDescent="0.25">
      <c r="A782">
        <v>18105</v>
      </c>
      <c r="B782" t="s">
        <v>36</v>
      </c>
      <c r="C782" t="s">
        <v>38</v>
      </c>
      <c r="D782" s="3">
        <v>60000</v>
      </c>
      <c r="E782">
        <v>2</v>
      </c>
      <c r="F782" t="s">
        <v>19</v>
      </c>
      <c r="G782" t="s">
        <v>21</v>
      </c>
      <c r="H782" t="s">
        <v>15</v>
      </c>
      <c r="I782">
        <v>1</v>
      </c>
      <c r="J782" t="s">
        <v>45</v>
      </c>
      <c r="K782" t="s">
        <v>32</v>
      </c>
      <c r="L782">
        <v>55</v>
      </c>
      <c r="M782" t="str">
        <f t="shared" si="12"/>
        <v>Adult</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Adult</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Adult</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Adult</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Adult</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Adult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Adult</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Adult</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Adult</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Adult</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Adult</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Adult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Adult</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Adult</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Senior</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Adult</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Adult</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Adult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Adult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Adult</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Adult</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Senior</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Adult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Adult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Adult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Adult</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Adult</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Adult</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Adult</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Senior</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Adult</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Adult</v>
      </c>
      <c r="N813" t="s">
        <v>18</v>
      </c>
    </row>
    <row r="814" spans="1:14" x14ac:dyDescent="0.25">
      <c r="A814">
        <v>15749</v>
      </c>
      <c r="B814" t="s">
        <v>37</v>
      </c>
      <c r="C814" t="s">
        <v>38</v>
      </c>
      <c r="D814" s="3">
        <v>70000</v>
      </c>
      <c r="E814">
        <v>4</v>
      </c>
      <c r="F814" t="s">
        <v>13</v>
      </c>
      <c r="G814" t="s">
        <v>28</v>
      </c>
      <c r="H814" t="s">
        <v>15</v>
      </c>
      <c r="I814">
        <v>2</v>
      </c>
      <c r="J814" t="s">
        <v>45</v>
      </c>
      <c r="K814" t="s">
        <v>32</v>
      </c>
      <c r="L814">
        <v>61</v>
      </c>
      <c r="M814" t="str">
        <f t="shared" si="12"/>
        <v>Senior</v>
      </c>
      <c r="N814" t="s">
        <v>18</v>
      </c>
    </row>
    <row r="815" spans="1:14" x14ac:dyDescent="0.25">
      <c r="A815">
        <v>25899</v>
      </c>
      <c r="B815" t="s">
        <v>36</v>
      </c>
      <c r="C815" t="s">
        <v>38</v>
      </c>
      <c r="D815" s="3">
        <v>70000</v>
      </c>
      <c r="E815">
        <v>2</v>
      </c>
      <c r="F815" t="s">
        <v>27</v>
      </c>
      <c r="G815" t="s">
        <v>21</v>
      </c>
      <c r="H815" t="s">
        <v>15</v>
      </c>
      <c r="I815">
        <v>2</v>
      </c>
      <c r="J815" t="s">
        <v>45</v>
      </c>
      <c r="K815" t="s">
        <v>32</v>
      </c>
      <c r="L815">
        <v>53</v>
      </c>
      <c r="M815" t="str">
        <f t="shared" si="12"/>
        <v>Adult</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Senior</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Adult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Adult</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Adult</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Adult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Adult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Adult</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Adult</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Adult</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Adult</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Adult</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Adult</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Adult</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Adult</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Adult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Senior</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Adult</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Adult</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Adult</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IF(AND(L835&gt;21,L835&lt;60),"Adult","Senior")</f>
        <v>Adult</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Adult</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Adult</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Adult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Adult</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Adult</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Adult</v>
      </c>
      <c r="N841" t="s">
        <v>15</v>
      </c>
    </row>
    <row r="842" spans="1:14" x14ac:dyDescent="0.25">
      <c r="A842">
        <v>11233</v>
      </c>
      <c r="B842" t="s">
        <v>36</v>
      </c>
      <c r="C842" t="s">
        <v>39</v>
      </c>
      <c r="D842" s="3">
        <v>70000</v>
      </c>
      <c r="E842">
        <v>4</v>
      </c>
      <c r="F842" t="s">
        <v>19</v>
      </c>
      <c r="G842" t="s">
        <v>21</v>
      </c>
      <c r="H842" t="s">
        <v>15</v>
      </c>
      <c r="I842">
        <v>2</v>
      </c>
      <c r="J842" t="s">
        <v>45</v>
      </c>
      <c r="K842" t="s">
        <v>32</v>
      </c>
      <c r="L842">
        <v>53</v>
      </c>
      <c r="M842" t="str">
        <f t="shared" si="13"/>
        <v>Adult</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Senior</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Adult</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Adult</v>
      </c>
      <c r="N845" t="s">
        <v>18</v>
      </c>
    </row>
    <row r="846" spans="1:14" x14ac:dyDescent="0.25">
      <c r="A846">
        <v>22743</v>
      </c>
      <c r="B846" t="s">
        <v>36</v>
      </c>
      <c r="C846" t="s">
        <v>38</v>
      </c>
      <c r="D846" s="3">
        <v>40000</v>
      </c>
      <c r="E846">
        <v>5</v>
      </c>
      <c r="F846" t="s">
        <v>27</v>
      </c>
      <c r="G846" t="s">
        <v>21</v>
      </c>
      <c r="H846" t="s">
        <v>15</v>
      </c>
      <c r="I846">
        <v>2</v>
      </c>
      <c r="J846" t="s">
        <v>45</v>
      </c>
      <c r="K846" t="s">
        <v>32</v>
      </c>
      <c r="L846">
        <v>60</v>
      </c>
      <c r="M846" t="str">
        <f t="shared" si="13"/>
        <v>Senior</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Adult</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Adult</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Adult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Adult</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Senior</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Senior</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Adult</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Adult</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Adult</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Adult</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Adult</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Adult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Adult</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Adult</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Adult</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Adult</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Adult</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Adult</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Adult</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Adult</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Adult</v>
      </c>
      <c r="N867" t="s">
        <v>15</v>
      </c>
    </row>
    <row r="868" spans="1:14" x14ac:dyDescent="0.25">
      <c r="A868">
        <v>28052</v>
      </c>
      <c r="B868" t="s">
        <v>36</v>
      </c>
      <c r="C868" t="s">
        <v>39</v>
      </c>
      <c r="D868" s="3">
        <v>60000</v>
      </c>
      <c r="E868">
        <v>2</v>
      </c>
      <c r="F868" t="s">
        <v>27</v>
      </c>
      <c r="G868" t="s">
        <v>21</v>
      </c>
      <c r="H868" t="s">
        <v>15</v>
      </c>
      <c r="I868">
        <v>2</v>
      </c>
      <c r="J868" t="s">
        <v>45</v>
      </c>
      <c r="K868" t="s">
        <v>32</v>
      </c>
      <c r="L868">
        <v>55</v>
      </c>
      <c r="M868" t="str">
        <f t="shared" si="13"/>
        <v>Adult</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Adult</v>
      </c>
      <c r="N869" t="s">
        <v>18</v>
      </c>
    </row>
    <row r="870" spans="1:14" x14ac:dyDescent="0.25">
      <c r="A870">
        <v>24955</v>
      </c>
      <c r="B870" t="s">
        <v>37</v>
      </c>
      <c r="C870" t="s">
        <v>39</v>
      </c>
      <c r="D870" s="3">
        <v>30000</v>
      </c>
      <c r="E870">
        <v>5</v>
      </c>
      <c r="F870" t="s">
        <v>29</v>
      </c>
      <c r="G870" t="s">
        <v>14</v>
      </c>
      <c r="H870" t="s">
        <v>15</v>
      </c>
      <c r="I870">
        <v>3</v>
      </c>
      <c r="J870" t="s">
        <v>45</v>
      </c>
      <c r="K870" t="s">
        <v>32</v>
      </c>
      <c r="L870">
        <v>60</v>
      </c>
      <c r="M870" t="str">
        <f t="shared" si="13"/>
        <v>Senior</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Adult</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Adult</v>
      </c>
      <c r="N872" t="s">
        <v>18</v>
      </c>
    </row>
    <row r="873" spans="1:14" x14ac:dyDescent="0.25">
      <c r="A873">
        <v>11219</v>
      </c>
      <c r="B873" t="s">
        <v>36</v>
      </c>
      <c r="C873" t="s">
        <v>39</v>
      </c>
      <c r="D873" s="3">
        <v>60000</v>
      </c>
      <c r="E873">
        <v>2</v>
      </c>
      <c r="F873" t="s">
        <v>27</v>
      </c>
      <c r="G873" t="s">
        <v>21</v>
      </c>
      <c r="H873" t="s">
        <v>15</v>
      </c>
      <c r="I873">
        <v>2</v>
      </c>
      <c r="J873" t="s">
        <v>45</v>
      </c>
      <c r="K873" t="s">
        <v>32</v>
      </c>
      <c r="L873">
        <v>55</v>
      </c>
      <c r="M873" t="str">
        <f t="shared" si="13"/>
        <v>Adult</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Adult</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Adult</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Adult</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Adult</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Adult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Senior</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Senior</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Adult</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Adult</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Senior</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Adult</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Adult</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Senior</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Adult</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Adult</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Adult</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Adult</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Adult</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Adult</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Senior</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Adult</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Adult</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Adult</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Senior</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Adult</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IF(AND(L899&gt;21,L899&lt;60),"Adult","Senior")</f>
        <v>Adult</v>
      </c>
      <c r="N899" t="s">
        <v>18</v>
      </c>
    </row>
    <row r="900" spans="1:14" x14ac:dyDescent="0.25">
      <c r="A900">
        <v>18066</v>
      </c>
      <c r="B900" t="s">
        <v>37</v>
      </c>
      <c r="C900" t="s">
        <v>39</v>
      </c>
      <c r="D900" s="3">
        <v>70000</v>
      </c>
      <c r="E900">
        <v>5</v>
      </c>
      <c r="F900" t="s">
        <v>13</v>
      </c>
      <c r="G900" t="s">
        <v>28</v>
      </c>
      <c r="H900" t="s">
        <v>15</v>
      </c>
      <c r="I900">
        <v>3</v>
      </c>
      <c r="J900" t="s">
        <v>45</v>
      </c>
      <c r="K900" t="s">
        <v>32</v>
      </c>
      <c r="L900">
        <v>60</v>
      </c>
      <c r="M900" t="str">
        <f t="shared" si="14"/>
        <v>Senior</v>
      </c>
      <c r="N900" t="s">
        <v>15</v>
      </c>
    </row>
    <row r="901" spans="1:14" x14ac:dyDescent="0.25">
      <c r="A901">
        <v>28192</v>
      </c>
      <c r="B901" t="s">
        <v>36</v>
      </c>
      <c r="C901" t="s">
        <v>38</v>
      </c>
      <c r="D901" s="3">
        <v>70000</v>
      </c>
      <c r="E901">
        <v>5</v>
      </c>
      <c r="F901" t="s">
        <v>31</v>
      </c>
      <c r="G901" t="s">
        <v>21</v>
      </c>
      <c r="H901" t="s">
        <v>15</v>
      </c>
      <c r="I901">
        <v>3</v>
      </c>
      <c r="J901" t="s">
        <v>45</v>
      </c>
      <c r="K901" t="s">
        <v>32</v>
      </c>
      <c r="L901">
        <v>46</v>
      </c>
      <c r="M901" t="str">
        <f t="shared" si="14"/>
        <v>Adult</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Adult</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Adult</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Adult</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Senior</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Adult</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Adult</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Adult</v>
      </c>
      <c r="N908" t="s">
        <v>15</v>
      </c>
    </row>
    <row r="909" spans="1:14" x14ac:dyDescent="0.25">
      <c r="A909">
        <v>19747</v>
      </c>
      <c r="B909" t="s">
        <v>36</v>
      </c>
      <c r="C909" t="s">
        <v>39</v>
      </c>
      <c r="D909" s="3">
        <v>50000</v>
      </c>
      <c r="E909">
        <v>4</v>
      </c>
      <c r="F909" t="s">
        <v>13</v>
      </c>
      <c r="G909" t="s">
        <v>28</v>
      </c>
      <c r="H909" t="s">
        <v>15</v>
      </c>
      <c r="I909">
        <v>2</v>
      </c>
      <c r="J909" t="s">
        <v>45</v>
      </c>
      <c r="K909" t="s">
        <v>32</v>
      </c>
      <c r="L909">
        <v>63</v>
      </c>
      <c r="M909" t="str">
        <f t="shared" si="14"/>
        <v>Senior</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Adult</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Adult</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Adult</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Senior</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Adult</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Adult</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Adult</v>
      </c>
      <c r="N916" t="s">
        <v>18</v>
      </c>
    </row>
    <row r="917" spans="1:14" x14ac:dyDescent="0.25">
      <c r="A917">
        <v>21752</v>
      </c>
      <c r="B917" t="s">
        <v>36</v>
      </c>
      <c r="C917" t="s">
        <v>39</v>
      </c>
      <c r="D917" s="3">
        <v>60000</v>
      </c>
      <c r="E917">
        <v>3</v>
      </c>
      <c r="F917" t="s">
        <v>31</v>
      </c>
      <c r="G917" t="s">
        <v>28</v>
      </c>
      <c r="H917" t="s">
        <v>15</v>
      </c>
      <c r="I917">
        <v>2</v>
      </c>
      <c r="J917" t="s">
        <v>45</v>
      </c>
      <c r="K917" t="s">
        <v>32</v>
      </c>
      <c r="L917">
        <v>64</v>
      </c>
      <c r="M917" t="str">
        <f t="shared" si="14"/>
        <v>Senior</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Adult</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Adult</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Adult</v>
      </c>
      <c r="N920" t="s">
        <v>15</v>
      </c>
    </row>
    <row r="921" spans="1:14" x14ac:dyDescent="0.25">
      <c r="A921">
        <v>21451</v>
      </c>
      <c r="B921" t="s">
        <v>36</v>
      </c>
      <c r="C921" t="s">
        <v>38</v>
      </c>
      <c r="D921" s="3">
        <v>40000</v>
      </c>
      <c r="E921">
        <v>4</v>
      </c>
      <c r="F921" t="s">
        <v>27</v>
      </c>
      <c r="G921" t="s">
        <v>21</v>
      </c>
      <c r="H921" t="s">
        <v>15</v>
      </c>
      <c r="I921">
        <v>2</v>
      </c>
      <c r="J921" t="s">
        <v>45</v>
      </c>
      <c r="K921" t="s">
        <v>32</v>
      </c>
      <c r="L921">
        <v>61</v>
      </c>
      <c r="M921" t="str">
        <f t="shared" si="14"/>
        <v>Senior</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Adult</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Adult</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Adult</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Adult</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Adult</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Adult</v>
      </c>
      <c r="N927" t="s">
        <v>15</v>
      </c>
    </row>
    <row r="928" spans="1:14" x14ac:dyDescent="0.25">
      <c r="A928">
        <v>26495</v>
      </c>
      <c r="B928" t="s">
        <v>37</v>
      </c>
      <c r="C928" t="s">
        <v>38</v>
      </c>
      <c r="D928" s="3">
        <v>40000</v>
      </c>
      <c r="E928">
        <v>2</v>
      </c>
      <c r="F928" t="s">
        <v>27</v>
      </c>
      <c r="G928" t="s">
        <v>21</v>
      </c>
      <c r="H928" t="s">
        <v>15</v>
      </c>
      <c r="I928">
        <v>2</v>
      </c>
      <c r="J928" t="s">
        <v>45</v>
      </c>
      <c r="K928" t="s">
        <v>32</v>
      </c>
      <c r="L928">
        <v>57</v>
      </c>
      <c r="M928" t="str">
        <f t="shared" si="14"/>
        <v>Adult</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Adult</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Adult</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Adult</v>
      </c>
      <c r="N931" t="s">
        <v>18</v>
      </c>
    </row>
    <row r="932" spans="1:14" x14ac:dyDescent="0.25">
      <c r="A932">
        <v>19543</v>
      </c>
      <c r="B932" t="s">
        <v>36</v>
      </c>
      <c r="C932" t="s">
        <v>39</v>
      </c>
      <c r="D932" s="3">
        <v>70000</v>
      </c>
      <c r="E932">
        <v>5</v>
      </c>
      <c r="F932" t="s">
        <v>31</v>
      </c>
      <c r="G932" t="s">
        <v>21</v>
      </c>
      <c r="H932" t="s">
        <v>18</v>
      </c>
      <c r="I932">
        <v>3</v>
      </c>
      <c r="J932" t="s">
        <v>45</v>
      </c>
      <c r="K932" t="s">
        <v>32</v>
      </c>
      <c r="L932">
        <v>47</v>
      </c>
      <c r="M932" t="str">
        <f t="shared" si="14"/>
        <v>Adult</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Adult</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Adult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Adult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Adult</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Adult</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Senior</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Adult</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Adult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Adult</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Adult</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Adult</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Adult</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Adult</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Adult</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Adult</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Senior</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Adult</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Adult</v>
      </c>
      <c r="N950" t="s">
        <v>18</v>
      </c>
    </row>
    <row r="951" spans="1:14" x14ac:dyDescent="0.25">
      <c r="A951">
        <v>28056</v>
      </c>
      <c r="B951" t="s">
        <v>36</v>
      </c>
      <c r="C951" t="s">
        <v>39</v>
      </c>
      <c r="D951" s="3">
        <v>70000</v>
      </c>
      <c r="E951">
        <v>2</v>
      </c>
      <c r="F951" t="s">
        <v>29</v>
      </c>
      <c r="G951" t="s">
        <v>14</v>
      </c>
      <c r="H951" t="s">
        <v>15</v>
      </c>
      <c r="I951">
        <v>2</v>
      </c>
      <c r="J951" t="s">
        <v>45</v>
      </c>
      <c r="K951" t="s">
        <v>32</v>
      </c>
      <c r="L951">
        <v>53</v>
      </c>
      <c r="M951" t="str">
        <f t="shared" si="14"/>
        <v>Adult</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Adult</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Adult</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Adult</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Adult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Adult</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Adult</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Adult</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Adult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Adult</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Adult</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Adult</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IF(AND(L963&gt;21,L963&lt;60),"Adult","Senior")</f>
        <v>Senior</v>
      </c>
      <c r="N963" t="s">
        <v>18</v>
      </c>
    </row>
    <row r="964" spans="1:14" x14ac:dyDescent="0.25">
      <c r="A964">
        <v>16813</v>
      </c>
      <c r="B964" t="s">
        <v>36</v>
      </c>
      <c r="C964" t="s">
        <v>39</v>
      </c>
      <c r="D964" s="3">
        <v>60000</v>
      </c>
      <c r="E964">
        <v>2</v>
      </c>
      <c r="F964" t="s">
        <v>19</v>
      </c>
      <c r="G964" t="s">
        <v>21</v>
      </c>
      <c r="H964" t="s">
        <v>15</v>
      </c>
      <c r="I964">
        <v>2</v>
      </c>
      <c r="J964" t="s">
        <v>45</v>
      </c>
      <c r="K964" t="s">
        <v>32</v>
      </c>
      <c r="L964">
        <v>55</v>
      </c>
      <c r="M964" t="str">
        <f t="shared" si="15"/>
        <v>Adult</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Senior</v>
      </c>
      <c r="N965" t="s">
        <v>15</v>
      </c>
    </row>
    <row r="966" spans="1:14" x14ac:dyDescent="0.25">
      <c r="A966">
        <v>27434</v>
      </c>
      <c r="B966" t="s">
        <v>37</v>
      </c>
      <c r="C966" t="s">
        <v>39</v>
      </c>
      <c r="D966" s="3">
        <v>70000</v>
      </c>
      <c r="E966">
        <v>4</v>
      </c>
      <c r="F966" t="s">
        <v>19</v>
      </c>
      <c r="G966" t="s">
        <v>21</v>
      </c>
      <c r="H966" t="s">
        <v>15</v>
      </c>
      <c r="I966">
        <v>1</v>
      </c>
      <c r="J966" t="s">
        <v>45</v>
      </c>
      <c r="K966" t="s">
        <v>32</v>
      </c>
      <c r="L966">
        <v>56</v>
      </c>
      <c r="M966" t="str">
        <f t="shared" si="15"/>
        <v>Adult</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Adult</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Adult</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Adult</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Adult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Adult</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Adult</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Adult</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Adult</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Adult</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Adult</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Adult</v>
      </c>
      <c r="N977" t="s">
        <v>15</v>
      </c>
    </row>
    <row r="978" spans="1:14" x14ac:dyDescent="0.25">
      <c r="A978">
        <v>28004</v>
      </c>
      <c r="B978" t="s">
        <v>36</v>
      </c>
      <c r="C978" t="s">
        <v>38</v>
      </c>
      <c r="D978" s="3">
        <v>60000</v>
      </c>
      <c r="E978">
        <v>3</v>
      </c>
      <c r="F978" t="s">
        <v>13</v>
      </c>
      <c r="G978" t="s">
        <v>28</v>
      </c>
      <c r="H978" t="s">
        <v>15</v>
      </c>
      <c r="I978">
        <v>2</v>
      </c>
      <c r="J978" t="s">
        <v>45</v>
      </c>
      <c r="K978" t="s">
        <v>32</v>
      </c>
      <c r="L978">
        <v>66</v>
      </c>
      <c r="M978" t="str">
        <f t="shared" si="15"/>
        <v>Senior</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Senior</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Adult</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Adult</v>
      </c>
      <c r="N981" t="s">
        <v>18</v>
      </c>
    </row>
    <row r="982" spans="1:14" x14ac:dyDescent="0.25">
      <c r="A982">
        <v>18594</v>
      </c>
      <c r="B982" t="s">
        <v>37</v>
      </c>
      <c r="C982" t="s">
        <v>38</v>
      </c>
      <c r="D982" s="3">
        <v>80000</v>
      </c>
      <c r="E982">
        <v>3</v>
      </c>
      <c r="F982" t="s">
        <v>13</v>
      </c>
      <c r="G982" t="s">
        <v>14</v>
      </c>
      <c r="H982" t="s">
        <v>15</v>
      </c>
      <c r="I982">
        <v>3</v>
      </c>
      <c r="J982" t="s">
        <v>45</v>
      </c>
      <c r="K982" t="s">
        <v>32</v>
      </c>
      <c r="L982">
        <v>40</v>
      </c>
      <c r="M982" t="str">
        <f t="shared" si="15"/>
        <v>Adult</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Adult</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Adult</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Adult</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Adult</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Adult</v>
      </c>
      <c r="N987" t="s">
        <v>18</v>
      </c>
    </row>
    <row r="988" spans="1:14" x14ac:dyDescent="0.25">
      <c r="A988">
        <v>23704</v>
      </c>
      <c r="B988" t="s">
        <v>37</v>
      </c>
      <c r="C988" t="s">
        <v>39</v>
      </c>
      <c r="D988" s="3">
        <v>40000</v>
      </c>
      <c r="E988">
        <v>5</v>
      </c>
      <c r="F988" t="s">
        <v>27</v>
      </c>
      <c r="G988" t="s">
        <v>21</v>
      </c>
      <c r="H988" t="s">
        <v>15</v>
      </c>
      <c r="I988">
        <v>4</v>
      </c>
      <c r="J988" t="s">
        <v>45</v>
      </c>
      <c r="K988" t="s">
        <v>32</v>
      </c>
      <c r="L988">
        <v>60</v>
      </c>
      <c r="M988" t="str">
        <f t="shared" si="15"/>
        <v>Senior</v>
      </c>
      <c r="N988" t="s">
        <v>15</v>
      </c>
    </row>
    <row r="989" spans="1:14" x14ac:dyDescent="0.25">
      <c r="A989">
        <v>28972</v>
      </c>
      <c r="B989" t="s">
        <v>37</v>
      </c>
      <c r="C989" t="s">
        <v>38</v>
      </c>
      <c r="D989" s="3">
        <v>60000</v>
      </c>
      <c r="E989">
        <v>3</v>
      </c>
      <c r="F989" t="s">
        <v>31</v>
      </c>
      <c r="G989" t="s">
        <v>28</v>
      </c>
      <c r="H989" t="s">
        <v>15</v>
      </c>
      <c r="I989">
        <v>2</v>
      </c>
      <c r="J989" t="s">
        <v>45</v>
      </c>
      <c r="K989" t="s">
        <v>32</v>
      </c>
      <c r="L989">
        <v>66</v>
      </c>
      <c r="M989" t="str">
        <f t="shared" si="15"/>
        <v>Senior</v>
      </c>
      <c r="N989" t="s">
        <v>18</v>
      </c>
    </row>
    <row r="990" spans="1:14" x14ac:dyDescent="0.25">
      <c r="A990">
        <v>22730</v>
      </c>
      <c r="B990" t="s">
        <v>36</v>
      </c>
      <c r="C990" t="s">
        <v>39</v>
      </c>
      <c r="D990" s="3">
        <v>70000</v>
      </c>
      <c r="E990">
        <v>5</v>
      </c>
      <c r="F990" t="s">
        <v>13</v>
      </c>
      <c r="G990" t="s">
        <v>28</v>
      </c>
      <c r="H990" t="s">
        <v>15</v>
      </c>
      <c r="I990">
        <v>2</v>
      </c>
      <c r="J990" t="s">
        <v>45</v>
      </c>
      <c r="K990" t="s">
        <v>32</v>
      </c>
      <c r="L990">
        <v>63</v>
      </c>
      <c r="M990" t="str">
        <f t="shared" si="15"/>
        <v>Senior</v>
      </c>
      <c r="N990" t="s">
        <v>18</v>
      </c>
    </row>
    <row r="991" spans="1:14" x14ac:dyDescent="0.25">
      <c r="A991">
        <v>29134</v>
      </c>
      <c r="B991" t="s">
        <v>36</v>
      </c>
      <c r="C991" t="s">
        <v>39</v>
      </c>
      <c r="D991" s="3">
        <v>60000</v>
      </c>
      <c r="E991">
        <v>4</v>
      </c>
      <c r="F991" t="s">
        <v>13</v>
      </c>
      <c r="G991" t="s">
        <v>14</v>
      </c>
      <c r="H991" t="s">
        <v>18</v>
      </c>
      <c r="I991">
        <v>3</v>
      </c>
      <c r="J991" t="s">
        <v>45</v>
      </c>
      <c r="K991" t="s">
        <v>32</v>
      </c>
      <c r="L991">
        <v>42</v>
      </c>
      <c r="M991" t="str">
        <f t="shared" si="15"/>
        <v>Adult</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Adult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Adult</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Adult</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Adult</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Adult</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Adult</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Adult</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Adult</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Adult</v>
      </c>
      <c r="N1000" t="s">
        <v>18</v>
      </c>
    </row>
    <row r="1001" spans="1:14" x14ac:dyDescent="0.25">
      <c r="A1001">
        <v>12121</v>
      </c>
      <c r="B1001" t="s">
        <v>37</v>
      </c>
      <c r="C1001" t="s">
        <v>39</v>
      </c>
      <c r="D1001" s="3">
        <v>60000</v>
      </c>
      <c r="E1001">
        <v>3</v>
      </c>
      <c r="F1001" t="s">
        <v>27</v>
      </c>
      <c r="G1001" t="s">
        <v>21</v>
      </c>
      <c r="H1001" t="s">
        <v>15</v>
      </c>
      <c r="I1001">
        <v>2</v>
      </c>
      <c r="J1001" t="s">
        <v>45</v>
      </c>
      <c r="K1001" t="s">
        <v>32</v>
      </c>
      <c r="L1001">
        <v>53</v>
      </c>
      <c r="M1001" t="str">
        <f t="shared" si="15"/>
        <v>Adult</v>
      </c>
      <c r="N1001" t="s">
        <v>15</v>
      </c>
    </row>
  </sheetData>
  <autoFilter ref="A1:N1001" xr:uid="{019D63A7-28C7-43A8-BBED-17372A2DAA2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Sheet4</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917039767720</cp:lastModifiedBy>
  <dcterms:created xsi:type="dcterms:W3CDTF">2022-03-18T02:50:57Z</dcterms:created>
  <dcterms:modified xsi:type="dcterms:W3CDTF">2026-01-27T15:22:59Z</dcterms:modified>
</cp:coreProperties>
</file>