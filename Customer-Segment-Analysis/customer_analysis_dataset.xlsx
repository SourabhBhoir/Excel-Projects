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Saurabh\Downloads\"/>
    </mc:Choice>
  </mc:AlternateContent>
  <xr:revisionPtr revIDLastSave="0" documentId="13_ncr:1_{79EDE886-1C9B-42FD-A495-65B316FEE52D}" xr6:coauthVersionLast="47" xr6:coauthVersionMax="47" xr10:uidLastSave="{00000000-0000-0000-0000-000000000000}"/>
  <bookViews>
    <workbookView xWindow="-120" yWindow="-120" windowWidth="20730" windowHeight="11160" firstSheet="2" activeTab="6" xr2:uid="{00000000-000D-0000-FFFF-FFFF00000000}"/>
  </bookViews>
  <sheets>
    <sheet name="Sheet3" sheetId="3" r:id="rId1"/>
    <sheet name="Raw_Data" sheetId="1" r:id="rId2"/>
    <sheet name="Sheet4" sheetId="4" r:id="rId3"/>
    <sheet name="Sheet1" sheetId="5" r:id="rId4"/>
    <sheet name="Sheet5" sheetId="6" r:id="rId5"/>
    <sheet name="Sheet6" sheetId="7" r:id="rId6"/>
    <sheet name="Dashboard" sheetId="10" r:id="rId7"/>
    <sheet name="Sheet8" sheetId="9" r:id="rId8"/>
    <sheet name="Sheet2" sheetId="2" r:id="rId9"/>
  </sheets>
  <definedNames>
    <definedName name="Slicer_Old_Vs_New_Customer">#N/A</definedName>
    <definedName name="Slicer_Top_20">#N/A</definedName>
  </definedNames>
  <calcPr calcId="191029"/>
  <pivotCaches>
    <pivotCache cacheId="0" r:id="rId10"/>
    <pivotCache cacheId="1" r:id="rId11"/>
    <pivotCache cacheId="1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2"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3" i="2"/>
  <c r="F2" i="2"/>
  <c r="C65" i="2"/>
  <c r="C434" i="2"/>
  <c r="C252" i="2"/>
  <c r="C529" i="2"/>
  <c r="C197" i="2"/>
  <c r="C78" i="2"/>
  <c r="C195" i="2"/>
  <c r="C414" i="2"/>
  <c r="C348" i="2"/>
  <c r="C128" i="2"/>
  <c r="C255" i="2"/>
  <c r="C340" i="2"/>
  <c r="C468" i="2"/>
  <c r="C135" i="2"/>
  <c r="C366" i="2"/>
  <c r="C11" i="2"/>
  <c r="C287" i="2"/>
  <c r="C137" i="2"/>
  <c r="C100" i="2"/>
  <c r="C64" i="2"/>
  <c r="C48" i="2"/>
  <c r="C26" i="2"/>
  <c r="C183" i="2"/>
  <c r="C139" i="2"/>
  <c r="C66" i="2"/>
  <c r="C80" i="2"/>
  <c r="C21" i="2"/>
  <c r="C322" i="2"/>
  <c r="C299" i="2"/>
  <c r="C185" i="2"/>
  <c r="C4" i="2"/>
  <c r="C34" i="2"/>
  <c r="C120" i="2"/>
  <c r="C355" i="2"/>
  <c r="C318" i="2"/>
  <c r="C233" i="2"/>
  <c r="C165" i="2"/>
  <c r="C226" i="2"/>
  <c r="C254" i="2"/>
  <c r="C499" i="2"/>
  <c r="C362" i="2"/>
  <c r="C122" i="2"/>
  <c r="C50" i="2"/>
  <c r="C178" i="2"/>
  <c r="C440" i="2"/>
  <c r="C388" i="2"/>
  <c r="C75" i="2"/>
  <c r="C411" i="2"/>
  <c r="C53" i="2"/>
  <c r="C302" i="2"/>
  <c r="C427" i="2"/>
  <c r="C196" i="2"/>
  <c r="C530" i="2"/>
  <c r="C222" i="2"/>
  <c r="C283" i="2"/>
  <c r="C182" i="2"/>
  <c r="C311" i="2"/>
  <c r="C54" i="2"/>
  <c r="C231" i="2"/>
  <c r="C68" i="2"/>
  <c r="C462" i="2"/>
  <c r="C321" i="2"/>
  <c r="C205" i="2"/>
  <c r="C170" i="2"/>
  <c r="C417" i="2"/>
  <c r="C154" i="2"/>
  <c r="C413" i="2"/>
  <c r="C578" i="2"/>
  <c r="C155" i="2"/>
  <c r="C92" i="2"/>
  <c r="C99" i="2"/>
  <c r="C177" i="2"/>
  <c r="C24" i="2"/>
  <c r="C67" i="2"/>
  <c r="C280" i="2"/>
  <c r="C40" i="2"/>
  <c r="C261" i="2"/>
  <c r="C271" i="2"/>
  <c r="C281" i="2"/>
  <c r="C121" i="2"/>
  <c r="C130" i="2"/>
  <c r="C461" i="2"/>
  <c r="C160" i="2"/>
  <c r="C221" i="2"/>
  <c r="C249" i="2"/>
  <c r="C424" i="2"/>
  <c r="C164" i="2"/>
  <c r="C296" i="2"/>
  <c r="C81" i="2"/>
  <c r="C332" i="2"/>
  <c r="C241" i="2"/>
  <c r="C104" i="2"/>
  <c r="C248" i="2"/>
  <c r="C580" i="2"/>
  <c r="C51" i="2"/>
  <c r="C541" i="2"/>
  <c r="C571" i="2"/>
  <c r="C250" i="2"/>
  <c r="C94" i="2"/>
  <c r="C89" i="2"/>
  <c r="C37" i="2"/>
  <c r="C143" i="2"/>
  <c r="C216" i="2"/>
  <c r="C98" i="2"/>
  <c r="C347" i="2"/>
  <c r="C307" i="2"/>
  <c r="C331" i="2"/>
  <c r="C17" i="2"/>
  <c r="C381" i="2"/>
  <c r="C161" i="2"/>
  <c r="C396" i="2"/>
  <c r="C146" i="2"/>
  <c r="C297" i="2"/>
  <c r="C590" i="2"/>
  <c r="C573" i="2"/>
  <c r="C408" i="2"/>
  <c r="C306" i="2"/>
  <c r="C10" i="2"/>
  <c r="C213" i="2"/>
  <c r="C112" i="2"/>
  <c r="C266" i="2"/>
  <c r="C184" i="2"/>
  <c r="C95" i="2"/>
  <c r="C214" i="2"/>
  <c r="C172" i="2"/>
  <c r="C312" i="2"/>
  <c r="C217" i="2"/>
  <c r="C191" i="2"/>
  <c r="C174" i="2"/>
  <c r="C300" i="2"/>
  <c r="C208" i="2"/>
  <c r="C511" i="2"/>
  <c r="C22" i="2"/>
  <c r="C363" i="2"/>
  <c r="C58" i="2"/>
  <c r="C15" i="2"/>
  <c r="C25" i="2"/>
  <c r="C38" i="2"/>
  <c r="C187" i="2"/>
  <c r="C18" i="2"/>
  <c r="C495" i="2"/>
  <c r="C151" i="2"/>
  <c r="C46" i="2"/>
  <c r="C449" i="2"/>
  <c r="C19" i="2"/>
  <c r="C293" i="2"/>
  <c r="C325" i="2"/>
  <c r="C494" i="2"/>
  <c r="C117" i="2"/>
  <c r="C382" i="2"/>
  <c r="C546" i="2"/>
  <c r="C20" i="2"/>
  <c r="C232" i="2"/>
  <c r="C244" i="2"/>
  <c r="C119" i="2"/>
  <c r="C39" i="2"/>
  <c r="C215" i="2"/>
  <c r="C520" i="2"/>
  <c r="C257" i="2"/>
  <c r="C589" i="2"/>
  <c r="C35" i="2"/>
  <c r="C33" i="2"/>
  <c r="C423" i="2"/>
  <c r="C301" i="2"/>
  <c r="C85" i="2"/>
  <c r="C365" i="2"/>
  <c r="C243" i="2"/>
  <c r="C383" i="2"/>
  <c r="C295" i="2"/>
  <c r="C173" i="2"/>
  <c r="C314" i="2"/>
  <c r="C90" i="2"/>
  <c r="C369" i="2"/>
  <c r="C430" i="2"/>
  <c r="C516" i="2"/>
  <c r="C460" i="2"/>
  <c r="C319" i="2"/>
  <c r="C473" i="2"/>
  <c r="C404" i="2"/>
  <c r="C200" i="2"/>
  <c r="C379" i="2"/>
  <c r="C72" i="2"/>
  <c r="C141" i="2"/>
  <c r="C138" i="2"/>
  <c r="C105" i="2"/>
  <c r="C394" i="2"/>
  <c r="C190" i="2"/>
  <c r="C49" i="2"/>
  <c r="C323" i="2"/>
  <c r="C288" i="2"/>
  <c r="C415" i="2"/>
  <c r="C420" i="2"/>
  <c r="C152" i="2"/>
  <c r="C518" i="2"/>
  <c r="C367" i="2"/>
  <c r="C76" i="2"/>
  <c r="C455" i="2"/>
  <c r="C309" i="2"/>
  <c r="C44" i="2"/>
  <c r="C298" i="2"/>
  <c r="C443" i="2"/>
  <c r="C111" i="2"/>
  <c r="C227" i="2"/>
  <c r="C545" i="2"/>
  <c r="C93" i="2"/>
  <c r="C171" i="2"/>
  <c r="C510" i="2"/>
  <c r="C219" i="2"/>
  <c r="C333" i="2"/>
  <c r="C7" i="2"/>
  <c r="C592" i="2"/>
  <c r="C320" i="2"/>
  <c r="C351" i="2"/>
  <c r="C337" i="2"/>
  <c r="C140" i="2"/>
  <c r="C181" i="2"/>
  <c r="C585" i="2"/>
  <c r="C433" i="2"/>
  <c r="C12" i="2"/>
  <c r="C481" i="2"/>
  <c r="C407" i="2"/>
  <c r="C459" i="2"/>
  <c r="C36" i="2"/>
  <c r="C284" i="2"/>
  <c r="C264" i="2"/>
  <c r="C131" i="2"/>
  <c r="C275" i="2"/>
  <c r="C242" i="2"/>
  <c r="C189" i="2"/>
  <c r="C70" i="2"/>
  <c r="C167" i="2"/>
  <c r="C328" i="2"/>
  <c r="C526" i="2"/>
  <c r="C575" i="2"/>
  <c r="C5" i="2"/>
  <c r="C86" i="2"/>
  <c r="C538" i="2"/>
  <c r="C294" i="2"/>
  <c r="C30" i="2"/>
  <c r="C238" i="2"/>
  <c r="C28" i="2"/>
  <c r="C503" i="2"/>
  <c r="C403" i="2"/>
  <c r="C136" i="2"/>
  <c r="C82" i="2"/>
  <c r="C102" i="2"/>
  <c r="C144" i="2"/>
  <c r="C475" i="2"/>
  <c r="C16" i="2"/>
  <c r="C466" i="2"/>
  <c r="C276" i="2"/>
  <c r="C385" i="2"/>
  <c r="C563" i="2"/>
  <c r="C535" i="2"/>
  <c r="C327" i="2"/>
  <c r="C270" i="2"/>
  <c r="C360" i="2"/>
  <c r="C2" i="2"/>
  <c r="C3" i="2"/>
  <c r="C57" i="2"/>
  <c r="C150" i="2"/>
  <c r="C572" i="2"/>
  <c r="C258" i="2"/>
  <c r="C71" i="2"/>
  <c r="C410" i="2"/>
  <c r="C490" i="2"/>
  <c r="C74" i="2"/>
  <c r="C436" i="2"/>
  <c r="C488" i="2"/>
  <c r="C6" i="2"/>
  <c r="C354" i="2"/>
  <c r="C501" i="2"/>
  <c r="C225" i="2"/>
  <c r="C402" i="2"/>
  <c r="C595" i="2"/>
  <c r="C109" i="2"/>
  <c r="C356" i="2"/>
  <c r="C352" i="2"/>
  <c r="C134" i="2"/>
  <c r="C97" i="2"/>
  <c r="C149" i="2"/>
  <c r="C29" i="2"/>
  <c r="C361" i="2"/>
  <c r="C422" i="2"/>
  <c r="C419" i="2"/>
  <c r="C125" i="2"/>
  <c r="C8" i="2"/>
  <c r="C581" i="2"/>
  <c r="C62" i="2"/>
  <c r="C444" i="2"/>
  <c r="C345" i="2"/>
  <c r="C124" i="2"/>
  <c r="C376" i="2"/>
  <c r="C398" i="2"/>
  <c r="C47" i="2"/>
  <c r="C380" i="2"/>
  <c r="C285" i="2"/>
  <c r="C101" i="2"/>
  <c r="C479" i="2"/>
  <c r="C429" i="2"/>
  <c r="C239" i="2"/>
  <c r="C326" i="2"/>
  <c r="C470" i="2"/>
  <c r="C265" i="2"/>
  <c r="C207" i="2"/>
  <c r="C491" i="2"/>
  <c r="C391" i="2"/>
  <c r="C69" i="2"/>
  <c r="C346" i="2"/>
  <c r="C522" i="2"/>
  <c r="C116" i="2"/>
  <c r="C377" i="2"/>
  <c r="C229" i="2"/>
  <c r="C428" i="2"/>
  <c r="C292" i="2"/>
  <c r="C373" i="2"/>
  <c r="C247" i="2"/>
  <c r="C201" i="2"/>
  <c r="C23" i="2"/>
  <c r="C115" i="2"/>
  <c r="C73" i="2"/>
  <c r="C519" i="2"/>
  <c r="C555" i="2"/>
  <c r="C32" i="2"/>
  <c r="C316" i="2"/>
  <c r="C106" i="2"/>
  <c r="C192" i="2"/>
  <c r="C315" i="2"/>
  <c r="C194" i="2"/>
  <c r="C485" i="2"/>
  <c r="C553" i="2"/>
  <c r="C234" i="2"/>
  <c r="C412" i="2"/>
  <c r="C103" i="2"/>
  <c r="C210" i="2"/>
  <c r="C230" i="2"/>
  <c r="C273" i="2"/>
  <c r="C523" i="2"/>
  <c r="C418" i="2"/>
  <c r="C108" i="2"/>
  <c r="C557" i="2"/>
  <c r="C114" i="2"/>
  <c r="C175" i="2"/>
  <c r="C224" i="2"/>
  <c r="C52" i="2"/>
  <c r="C14" i="2"/>
  <c r="C223" i="2"/>
  <c r="C310" i="2"/>
  <c r="C142" i="2"/>
  <c r="C236" i="2"/>
  <c r="C483" i="2"/>
  <c r="C357" i="2"/>
  <c r="C166" i="2"/>
  <c r="C168" i="2"/>
  <c r="C186" i="2"/>
  <c r="C113" i="2"/>
  <c r="C96" i="2"/>
  <c r="C123" i="2"/>
  <c r="C91" i="2"/>
  <c r="C291" i="2"/>
  <c r="C317" i="2"/>
  <c r="C203" i="2"/>
  <c r="C498" i="2"/>
  <c r="C406" i="2"/>
  <c r="C127" i="2"/>
  <c r="C209" i="2"/>
  <c r="C534" i="2"/>
  <c r="C251" i="2"/>
  <c r="C445" i="2"/>
  <c r="C147" i="2"/>
  <c r="C409" i="2"/>
  <c r="C145" i="2"/>
  <c r="C399" i="2"/>
  <c r="C245" i="2"/>
  <c r="C304" i="2"/>
  <c r="C204" i="2"/>
  <c r="C435" i="2"/>
  <c r="C540" i="2"/>
  <c r="C45" i="2"/>
  <c r="C198" i="2"/>
  <c r="C153" i="2"/>
  <c r="C450" i="2"/>
  <c r="C536" i="2"/>
  <c r="C378" i="2"/>
  <c r="C260" i="2"/>
  <c r="C463" i="2"/>
  <c r="C157" i="2"/>
  <c r="C484" i="2"/>
  <c r="C262" i="2"/>
  <c r="C9" i="2"/>
  <c r="C148" i="2"/>
  <c r="C211" i="2"/>
  <c r="C199" i="2"/>
  <c r="C506" i="2"/>
  <c r="C441" i="2"/>
  <c r="C79" i="2"/>
  <c r="C508" i="2"/>
  <c r="C41" i="2"/>
  <c r="C180" i="2"/>
  <c r="C576" i="2"/>
  <c r="C126" i="2"/>
  <c r="C358" i="2"/>
  <c r="C110" i="2"/>
  <c r="C162" i="2"/>
  <c r="C350" i="2"/>
  <c r="C517" i="2"/>
  <c r="C42" i="2"/>
  <c r="C401" i="2"/>
  <c r="C118" i="2"/>
  <c r="C425" i="2"/>
  <c r="C56" i="2"/>
  <c r="C31" i="2"/>
  <c r="C587" i="2"/>
  <c r="C550" i="2"/>
  <c r="C330" i="2"/>
  <c r="C593" i="2"/>
  <c r="C277" i="2"/>
  <c r="C107" i="2"/>
  <c r="C188" i="2"/>
  <c r="C531" i="2"/>
  <c r="C339" i="2"/>
  <c r="C61" i="2"/>
  <c r="C564" i="2"/>
  <c r="C179" i="2"/>
  <c r="C567" i="2"/>
  <c r="C533" i="2"/>
  <c r="C560" i="2"/>
  <c r="C558" i="2"/>
  <c r="C458" i="2"/>
  <c r="C343" i="2"/>
  <c r="C453" i="2"/>
  <c r="C129" i="2"/>
  <c r="C133" i="2"/>
  <c r="C43" i="2"/>
  <c r="C253" i="2"/>
  <c r="C583" i="2"/>
  <c r="C240" i="2"/>
  <c r="C228" i="2"/>
  <c r="C392" i="2"/>
  <c r="C263" i="2"/>
  <c r="C353" i="2"/>
  <c r="C256" i="2"/>
  <c r="C169" i="2"/>
  <c r="C341" i="2"/>
  <c r="C368" i="2"/>
  <c r="C570" i="2"/>
  <c r="C446" i="2"/>
  <c r="C176" i="2"/>
  <c r="C59" i="2"/>
  <c r="C329" i="2"/>
  <c r="C480" i="2"/>
  <c r="C370" i="2"/>
  <c r="C274" i="2"/>
  <c r="C421" i="2"/>
  <c r="C212" i="2"/>
  <c r="C77" i="2"/>
  <c r="C521" i="2"/>
  <c r="C259" i="2"/>
  <c r="C438" i="2"/>
  <c r="C87" i="2"/>
  <c r="C561" i="2"/>
  <c r="C272" i="2"/>
  <c r="C83" i="2"/>
  <c r="C13" i="2"/>
  <c r="C559" i="2"/>
  <c r="C342" i="2"/>
  <c r="C159" i="2"/>
  <c r="C202" i="2"/>
  <c r="C416" i="2"/>
  <c r="C482" i="2"/>
  <c r="C158" i="2"/>
  <c r="C344" i="2"/>
  <c r="C218" i="2"/>
  <c r="C220" i="2"/>
  <c r="C389" i="2"/>
  <c r="C371" i="2"/>
  <c r="C464" i="2"/>
  <c r="C60" i="2"/>
  <c r="C489" i="2"/>
  <c r="C375" i="2"/>
  <c r="C405" i="2"/>
  <c r="C88" i="2"/>
  <c r="C349" i="2"/>
  <c r="C439" i="2"/>
  <c r="C393" i="2"/>
  <c r="C27" i="2"/>
  <c r="C539" i="2"/>
  <c r="C305" i="2"/>
  <c r="C452" i="2"/>
  <c r="C562" i="2"/>
  <c r="C235" i="2"/>
  <c r="C504" i="2"/>
  <c r="C432" i="2"/>
  <c r="C548" i="2"/>
  <c r="C289" i="2"/>
  <c r="C84" i="2"/>
  <c r="C497" i="2"/>
  <c r="C493" i="2"/>
  <c r="C478" i="2"/>
  <c r="C457" i="2"/>
  <c r="C193" i="2"/>
  <c r="C395" i="2"/>
  <c r="C514" i="2"/>
  <c r="C246" i="2"/>
  <c r="C335" i="2"/>
  <c r="C513" i="2"/>
  <c r="C290" i="2"/>
  <c r="C267" i="2"/>
  <c r="C447" i="2"/>
  <c r="C278" i="2"/>
  <c r="C334" i="2"/>
  <c r="C55" i="2"/>
  <c r="C156" i="2"/>
  <c r="C372" i="2"/>
  <c r="C556" i="2"/>
  <c r="C492" i="2"/>
  <c r="C237" i="2"/>
  <c r="C308" i="2"/>
  <c r="C359" i="2"/>
  <c r="C431" i="2"/>
  <c r="C313" i="2"/>
  <c r="C279" i="2"/>
  <c r="C387" i="2"/>
  <c r="C474" i="2"/>
  <c r="C486" i="2"/>
  <c r="C465" i="2"/>
  <c r="C390" i="2"/>
  <c r="C476" i="2"/>
  <c r="C397" i="2"/>
  <c r="C472" i="2"/>
  <c r="C456" i="2"/>
  <c r="C338" i="2"/>
  <c r="C386" i="2"/>
  <c r="C505" i="2"/>
  <c r="C565" i="2"/>
  <c r="C442" i="2"/>
  <c r="C496" i="2"/>
  <c r="C303" i="2"/>
  <c r="C364" i="2"/>
  <c r="C282" i="2"/>
  <c r="C594" i="2"/>
  <c r="C454" i="2"/>
  <c r="C163" i="2"/>
  <c r="C502" i="2"/>
  <c r="C426" i="2"/>
  <c r="C574" i="2"/>
  <c r="C591" i="2"/>
  <c r="C537" i="2"/>
  <c r="C384" i="2"/>
  <c r="C324" i="2"/>
  <c r="C549" i="2"/>
  <c r="C568" i="2"/>
  <c r="C512" i="2"/>
  <c r="C286" i="2"/>
  <c r="C500" i="2"/>
  <c r="C542" i="2"/>
  <c r="C477" i="2"/>
  <c r="C509" i="2"/>
  <c r="C132" i="2"/>
  <c r="C471" i="2"/>
  <c r="C487" i="2"/>
  <c r="C527" i="2"/>
  <c r="C374" i="2"/>
  <c r="C268" i="2"/>
  <c r="C582" i="2"/>
  <c r="C524" i="2"/>
  <c r="C63" i="2"/>
  <c r="C532" i="2"/>
  <c r="C566" i="2"/>
  <c r="C467" i="2"/>
  <c r="C437" i="2"/>
  <c r="C584" i="2"/>
  <c r="C528" i="2"/>
  <c r="C507" i="2"/>
  <c r="C448" i="2"/>
  <c r="C577" i="2"/>
  <c r="C515" i="2"/>
  <c r="C206" i="2"/>
  <c r="C469" i="2"/>
  <c r="C336" i="2"/>
  <c r="C451" i="2"/>
  <c r="C579" i="2"/>
  <c r="C586" i="2"/>
  <c r="C544" i="2"/>
  <c r="C552" i="2"/>
  <c r="C569" i="2"/>
  <c r="C551" i="2"/>
  <c r="C400" i="2"/>
  <c r="C543" i="2"/>
  <c r="C547" i="2"/>
  <c r="C554" i="2"/>
  <c r="C588" i="2"/>
  <c r="C525" i="2"/>
  <c r="B65" i="2"/>
  <c r="B434" i="2"/>
  <c r="B252" i="2"/>
  <c r="B529" i="2"/>
  <c r="B197" i="2"/>
  <c r="B78" i="2"/>
  <c r="B195" i="2"/>
  <c r="B414" i="2"/>
  <c r="B348" i="2"/>
  <c r="B128" i="2"/>
  <c r="B255" i="2"/>
  <c r="B340" i="2"/>
  <c r="B468" i="2"/>
  <c r="B135" i="2"/>
  <c r="B366" i="2"/>
  <c r="B11" i="2"/>
  <c r="B287" i="2"/>
  <c r="B137" i="2"/>
  <c r="B100" i="2"/>
  <c r="B64" i="2"/>
  <c r="B48" i="2"/>
  <c r="B26" i="2"/>
  <c r="B183" i="2"/>
  <c r="B139" i="2"/>
  <c r="B66" i="2"/>
  <c r="B80" i="2"/>
  <c r="B21" i="2"/>
  <c r="B322" i="2"/>
  <c r="B299" i="2"/>
  <c r="B185" i="2"/>
  <c r="B4" i="2"/>
  <c r="B34" i="2"/>
  <c r="B120" i="2"/>
  <c r="B355" i="2"/>
  <c r="B318" i="2"/>
  <c r="B233" i="2"/>
  <c r="B165" i="2"/>
  <c r="B226" i="2"/>
  <c r="B254" i="2"/>
  <c r="B499" i="2"/>
  <c r="B362" i="2"/>
  <c r="B122" i="2"/>
  <c r="B50" i="2"/>
  <c r="B178" i="2"/>
  <c r="B440" i="2"/>
  <c r="B388" i="2"/>
  <c r="B75" i="2"/>
  <c r="B411" i="2"/>
  <c r="B53" i="2"/>
  <c r="B302" i="2"/>
  <c r="B427" i="2"/>
  <c r="B196" i="2"/>
  <c r="B530" i="2"/>
  <c r="B222" i="2"/>
  <c r="B283" i="2"/>
  <c r="B182" i="2"/>
  <c r="B311" i="2"/>
  <c r="B54" i="2"/>
  <c r="B231" i="2"/>
  <c r="B68" i="2"/>
  <c r="B462" i="2"/>
  <c r="B321" i="2"/>
  <c r="B205" i="2"/>
  <c r="B170" i="2"/>
  <c r="B417" i="2"/>
  <c r="B154" i="2"/>
  <c r="B413" i="2"/>
  <c r="B578" i="2"/>
  <c r="B155" i="2"/>
  <c r="B92" i="2"/>
  <c r="B99" i="2"/>
  <c r="B177" i="2"/>
  <c r="B24" i="2"/>
  <c r="B67" i="2"/>
  <c r="B280" i="2"/>
  <c r="B40" i="2"/>
  <c r="B261" i="2"/>
  <c r="B271" i="2"/>
  <c r="B281" i="2"/>
  <c r="B121" i="2"/>
  <c r="B130" i="2"/>
  <c r="B461" i="2"/>
  <c r="B160" i="2"/>
  <c r="B221" i="2"/>
  <c r="B249" i="2"/>
  <c r="B424" i="2"/>
  <c r="B164" i="2"/>
  <c r="B296" i="2"/>
  <c r="B81" i="2"/>
  <c r="B332" i="2"/>
  <c r="B241" i="2"/>
  <c r="B104" i="2"/>
  <c r="B248" i="2"/>
  <c r="B580" i="2"/>
  <c r="B51" i="2"/>
  <c r="B541" i="2"/>
  <c r="B571" i="2"/>
  <c r="B250" i="2"/>
  <c r="B94" i="2"/>
  <c r="B89" i="2"/>
  <c r="B37" i="2"/>
  <c r="B143" i="2"/>
  <c r="B216" i="2"/>
  <c r="B98" i="2"/>
  <c r="B347" i="2"/>
  <c r="B307" i="2"/>
  <c r="B331" i="2"/>
  <c r="B17" i="2"/>
  <c r="B381" i="2"/>
  <c r="B161" i="2"/>
  <c r="B396" i="2"/>
  <c r="B146" i="2"/>
  <c r="B297" i="2"/>
  <c r="B590" i="2"/>
  <c r="B573" i="2"/>
  <c r="B408" i="2"/>
  <c r="B306" i="2"/>
  <c r="B10" i="2"/>
  <c r="B213" i="2"/>
  <c r="B112" i="2"/>
  <c r="B266" i="2"/>
  <c r="B184" i="2"/>
  <c r="B95" i="2"/>
  <c r="B214" i="2"/>
  <c r="B172" i="2"/>
  <c r="B312" i="2"/>
  <c r="B217" i="2"/>
  <c r="B191" i="2"/>
  <c r="B174" i="2"/>
  <c r="B300" i="2"/>
  <c r="B208" i="2"/>
  <c r="B511" i="2"/>
  <c r="B22" i="2"/>
  <c r="B363" i="2"/>
  <c r="B58" i="2"/>
  <c r="B15" i="2"/>
  <c r="B25" i="2"/>
  <c r="B38" i="2"/>
  <c r="B187" i="2"/>
  <c r="B18" i="2"/>
  <c r="B495" i="2"/>
  <c r="B151" i="2"/>
  <c r="B46" i="2"/>
  <c r="B449" i="2"/>
  <c r="B19" i="2"/>
  <c r="B293" i="2"/>
  <c r="B325" i="2"/>
  <c r="B494" i="2"/>
  <c r="B117" i="2"/>
  <c r="B382" i="2"/>
  <c r="B546" i="2"/>
  <c r="B20" i="2"/>
  <c r="B232" i="2"/>
  <c r="B244" i="2"/>
  <c r="B119" i="2"/>
  <c r="B39" i="2"/>
  <c r="B215" i="2"/>
  <c r="B520" i="2"/>
  <c r="B257" i="2"/>
  <c r="B589" i="2"/>
  <c r="B35" i="2"/>
  <c r="B33" i="2"/>
  <c r="B423" i="2"/>
  <c r="B301" i="2"/>
  <c r="B85" i="2"/>
  <c r="B365" i="2"/>
  <c r="B243" i="2"/>
  <c r="B383" i="2"/>
  <c r="B295" i="2"/>
  <c r="B173" i="2"/>
  <c r="B314" i="2"/>
  <c r="B90" i="2"/>
  <c r="B369" i="2"/>
  <c r="B430" i="2"/>
  <c r="B516" i="2"/>
  <c r="B460" i="2"/>
  <c r="B319" i="2"/>
  <c r="B473" i="2"/>
  <c r="B404" i="2"/>
  <c r="B200" i="2"/>
  <c r="B379" i="2"/>
  <c r="B72" i="2"/>
  <c r="B141" i="2"/>
  <c r="B138" i="2"/>
  <c r="B105" i="2"/>
  <c r="B394" i="2"/>
  <c r="B190" i="2"/>
  <c r="B49" i="2"/>
  <c r="B323" i="2"/>
  <c r="B288" i="2"/>
  <c r="B415" i="2"/>
  <c r="B420" i="2"/>
  <c r="B152" i="2"/>
  <c r="B518" i="2"/>
  <c r="B367" i="2"/>
  <c r="B76" i="2"/>
  <c r="B455" i="2"/>
  <c r="B309" i="2"/>
  <c r="B44" i="2"/>
  <c r="B298" i="2"/>
  <c r="B443" i="2"/>
  <c r="B111" i="2"/>
  <c r="B227" i="2"/>
  <c r="B545" i="2"/>
  <c r="B93" i="2"/>
  <c r="B171" i="2"/>
  <c r="B510" i="2"/>
  <c r="B219" i="2"/>
  <c r="B333" i="2"/>
  <c r="B7" i="2"/>
  <c r="B592" i="2"/>
  <c r="B320" i="2"/>
  <c r="B351" i="2"/>
  <c r="B337" i="2"/>
  <c r="B140" i="2"/>
  <c r="B181" i="2"/>
  <c r="B585" i="2"/>
  <c r="B433" i="2"/>
  <c r="B12" i="2"/>
  <c r="B481" i="2"/>
  <c r="B407" i="2"/>
  <c r="B459" i="2"/>
  <c r="B36" i="2"/>
  <c r="B284" i="2"/>
  <c r="B264" i="2"/>
  <c r="B131" i="2"/>
  <c r="B275" i="2"/>
  <c r="B242" i="2"/>
  <c r="B189" i="2"/>
  <c r="B70" i="2"/>
  <c r="B167" i="2"/>
  <c r="B328" i="2"/>
  <c r="B526" i="2"/>
  <c r="B575" i="2"/>
  <c r="B5" i="2"/>
  <c r="B86" i="2"/>
  <c r="B538" i="2"/>
  <c r="B294" i="2"/>
  <c r="B30" i="2"/>
  <c r="B238" i="2"/>
  <c r="B28" i="2"/>
  <c r="B503" i="2"/>
  <c r="B403" i="2"/>
  <c r="B136" i="2"/>
  <c r="B82" i="2"/>
  <c r="B102" i="2"/>
  <c r="B144" i="2"/>
  <c r="B475" i="2"/>
  <c r="B16" i="2"/>
  <c r="B466" i="2"/>
  <c r="B276" i="2"/>
  <c r="B385" i="2"/>
  <c r="B563" i="2"/>
  <c r="B535" i="2"/>
  <c r="B327" i="2"/>
  <c r="B270" i="2"/>
  <c r="B360" i="2"/>
  <c r="B2" i="2"/>
  <c r="B3" i="2"/>
  <c r="B57" i="2"/>
  <c r="B150" i="2"/>
  <c r="B572" i="2"/>
  <c r="B258" i="2"/>
  <c r="B71" i="2"/>
  <c r="B410" i="2"/>
  <c r="B490" i="2"/>
  <c r="B74" i="2"/>
  <c r="B436" i="2"/>
  <c r="B488" i="2"/>
  <c r="B6" i="2"/>
  <c r="B354" i="2"/>
  <c r="B501" i="2"/>
  <c r="B225" i="2"/>
  <c r="B402" i="2"/>
  <c r="B595" i="2"/>
  <c r="B109" i="2"/>
  <c r="B356" i="2"/>
  <c r="B352" i="2"/>
  <c r="B134" i="2"/>
  <c r="B97" i="2"/>
  <c r="B149" i="2"/>
  <c r="B29" i="2"/>
  <c r="B361" i="2"/>
  <c r="B422" i="2"/>
  <c r="B419" i="2"/>
  <c r="B125" i="2"/>
  <c r="B8" i="2"/>
  <c r="B581" i="2"/>
  <c r="B62" i="2"/>
  <c r="B444" i="2"/>
  <c r="B345" i="2"/>
  <c r="B124" i="2"/>
  <c r="B376" i="2"/>
  <c r="B398" i="2"/>
  <c r="B47" i="2"/>
  <c r="B380" i="2"/>
  <c r="B285" i="2"/>
  <c r="B101" i="2"/>
  <c r="B479" i="2"/>
  <c r="B429" i="2"/>
  <c r="B239" i="2"/>
  <c r="B326" i="2"/>
  <c r="B470" i="2"/>
  <c r="B265" i="2"/>
  <c r="B207" i="2"/>
  <c r="B491" i="2"/>
  <c r="B391" i="2"/>
  <c r="B69" i="2"/>
  <c r="B346" i="2"/>
  <c r="B522" i="2"/>
  <c r="B116" i="2"/>
  <c r="B377" i="2"/>
  <c r="B229" i="2"/>
  <c r="B428" i="2"/>
  <c r="B292" i="2"/>
  <c r="B373" i="2"/>
  <c r="B247" i="2"/>
  <c r="B201" i="2"/>
  <c r="B23" i="2"/>
  <c r="B115" i="2"/>
  <c r="B73" i="2"/>
  <c r="B519" i="2"/>
  <c r="B555" i="2"/>
  <c r="B32" i="2"/>
  <c r="B316" i="2"/>
  <c r="B106" i="2"/>
  <c r="B192" i="2"/>
  <c r="B315" i="2"/>
  <c r="B194" i="2"/>
  <c r="B485" i="2"/>
  <c r="B553" i="2"/>
  <c r="B234" i="2"/>
  <c r="B412" i="2"/>
  <c r="B103" i="2"/>
  <c r="B210" i="2"/>
  <c r="B230" i="2"/>
  <c r="B273" i="2"/>
  <c r="B523" i="2"/>
  <c r="B418" i="2"/>
  <c r="B108" i="2"/>
  <c r="B557" i="2"/>
  <c r="B114" i="2"/>
  <c r="B175" i="2"/>
  <c r="B224" i="2"/>
  <c r="B52" i="2"/>
  <c r="B14" i="2"/>
  <c r="B223" i="2"/>
  <c r="B310" i="2"/>
  <c r="B142" i="2"/>
  <c r="B236" i="2"/>
  <c r="B483" i="2"/>
  <c r="B357" i="2"/>
  <c r="B166" i="2"/>
  <c r="B168" i="2"/>
  <c r="B186" i="2"/>
  <c r="B113" i="2"/>
  <c r="B96" i="2"/>
  <c r="B123" i="2"/>
  <c r="B91" i="2"/>
  <c r="B291" i="2"/>
  <c r="B317" i="2"/>
  <c r="B203" i="2"/>
  <c r="B498" i="2"/>
  <c r="B406" i="2"/>
  <c r="B127" i="2"/>
  <c r="B209" i="2"/>
  <c r="B534" i="2"/>
  <c r="B251" i="2"/>
  <c r="B445" i="2"/>
  <c r="B147" i="2"/>
  <c r="B409" i="2"/>
  <c r="B145" i="2"/>
  <c r="B399" i="2"/>
  <c r="B245" i="2"/>
  <c r="B304" i="2"/>
  <c r="B204" i="2"/>
  <c r="B435" i="2"/>
  <c r="B540" i="2"/>
  <c r="B45" i="2"/>
  <c r="B198" i="2"/>
  <c r="B153" i="2"/>
  <c r="B450" i="2"/>
  <c r="B536" i="2"/>
  <c r="B378" i="2"/>
  <c r="B260" i="2"/>
  <c r="B463" i="2"/>
  <c r="B157" i="2"/>
  <c r="B484" i="2"/>
  <c r="B262" i="2"/>
  <c r="B9" i="2"/>
  <c r="B148" i="2"/>
  <c r="B211" i="2"/>
  <c r="B199" i="2"/>
  <c r="B506" i="2"/>
  <c r="B441" i="2"/>
  <c r="B79" i="2"/>
  <c r="B508" i="2"/>
  <c r="B41" i="2"/>
  <c r="B180" i="2"/>
  <c r="B576" i="2"/>
  <c r="B126" i="2"/>
  <c r="B358" i="2"/>
  <c r="B110" i="2"/>
  <c r="B162" i="2"/>
  <c r="B350" i="2"/>
  <c r="B517" i="2"/>
  <c r="B42" i="2"/>
  <c r="B401" i="2"/>
  <c r="B118" i="2"/>
  <c r="B425" i="2"/>
  <c r="B56" i="2"/>
  <c r="B31" i="2"/>
  <c r="B587" i="2"/>
  <c r="B550" i="2"/>
  <c r="B330" i="2"/>
  <c r="B593" i="2"/>
  <c r="B277" i="2"/>
  <c r="B107" i="2"/>
  <c r="B188" i="2"/>
  <c r="B531" i="2"/>
  <c r="B339" i="2"/>
  <c r="B61" i="2"/>
  <c r="B564" i="2"/>
  <c r="B179" i="2"/>
  <c r="B567" i="2"/>
  <c r="B533" i="2"/>
  <c r="B560" i="2"/>
  <c r="B558" i="2"/>
  <c r="B458" i="2"/>
  <c r="B343" i="2"/>
  <c r="B453" i="2"/>
  <c r="B129" i="2"/>
  <c r="B133" i="2"/>
  <c r="B43" i="2"/>
  <c r="B253" i="2"/>
  <c r="B583" i="2"/>
  <c r="B240" i="2"/>
  <c r="B228" i="2"/>
  <c r="B392" i="2"/>
  <c r="B263" i="2"/>
  <c r="B353" i="2"/>
  <c r="B256" i="2"/>
  <c r="B169" i="2"/>
  <c r="B341" i="2"/>
  <c r="B368" i="2"/>
  <c r="B570" i="2"/>
  <c r="B446" i="2"/>
  <c r="B176" i="2"/>
  <c r="B59" i="2"/>
  <c r="B329" i="2"/>
  <c r="B480" i="2"/>
  <c r="B370" i="2"/>
  <c r="B274" i="2"/>
  <c r="B421" i="2"/>
  <c r="B212" i="2"/>
  <c r="B77" i="2"/>
  <c r="B521" i="2"/>
  <c r="B259" i="2"/>
  <c r="B438" i="2"/>
  <c r="B87" i="2"/>
  <c r="B561" i="2"/>
  <c r="B272" i="2"/>
  <c r="B83" i="2"/>
  <c r="B13" i="2"/>
  <c r="B559" i="2"/>
  <c r="B342" i="2"/>
  <c r="B159" i="2"/>
  <c r="B202" i="2"/>
  <c r="B416" i="2"/>
  <c r="B482" i="2"/>
  <c r="B158" i="2"/>
  <c r="B344" i="2"/>
  <c r="B218" i="2"/>
  <c r="B220" i="2"/>
  <c r="B389" i="2"/>
  <c r="B371" i="2"/>
  <c r="B464" i="2"/>
  <c r="B60" i="2"/>
  <c r="B489" i="2"/>
  <c r="B375" i="2"/>
  <c r="B405" i="2"/>
  <c r="B88" i="2"/>
  <c r="B349" i="2"/>
  <c r="B439" i="2"/>
  <c r="B393" i="2"/>
  <c r="B27" i="2"/>
  <c r="B539" i="2"/>
  <c r="B305" i="2"/>
  <c r="B452" i="2"/>
  <c r="B562" i="2"/>
  <c r="B235" i="2"/>
  <c r="B504" i="2"/>
  <c r="B432" i="2"/>
  <c r="B548" i="2"/>
  <c r="B289" i="2"/>
  <c r="B84" i="2"/>
  <c r="B497" i="2"/>
  <c r="B493" i="2"/>
  <c r="B478" i="2"/>
  <c r="B457" i="2"/>
  <c r="B193" i="2"/>
  <c r="B395" i="2"/>
  <c r="B514" i="2"/>
  <c r="B246" i="2"/>
  <c r="B335" i="2"/>
  <c r="B513" i="2"/>
  <c r="B290" i="2"/>
  <c r="B267" i="2"/>
  <c r="B447" i="2"/>
  <c r="B278" i="2"/>
  <c r="B334" i="2"/>
  <c r="B55" i="2"/>
  <c r="B156" i="2"/>
  <c r="B372" i="2"/>
  <c r="B556" i="2"/>
  <c r="B492" i="2"/>
  <c r="B237" i="2"/>
  <c r="B308" i="2"/>
  <c r="B359" i="2"/>
  <c r="B431" i="2"/>
  <c r="B313" i="2"/>
  <c r="B279" i="2"/>
  <c r="B387" i="2"/>
  <c r="B474" i="2"/>
  <c r="B486" i="2"/>
  <c r="B465" i="2"/>
  <c r="B390" i="2"/>
  <c r="B476" i="2"/>
  <c r="B397" i="2"/>
  <c r="B472" i="2"/>
  <c r="B456" i="2"/>
  <c r="B338" i="2"/>
  <c r="B386" i="2"/>
  <c r="B505" i="2"/>
  <c r="B565" i="2"/>
  <c r="B442" i="2"/>
  <c r="B496" i="2"/>
  <c r="B303" i="2"/>
  <c r="B364" i="2"/>
  <c r="B282" i="2"/>
  <c r="B594" i="2"/>
  <c r="B454" i="2"/>
  <c r="B163" i="2"/>
  <c r="B502" i="2"/>
  <c r="B426" i="2"/>
  <c r="B574" i="2"/>
  <c r="B591" i="2"/>
  <c r="B537" i="2"/>
  <c r="B384" i="2"/>
  <c r="B324" i="2"/>
  <c r="B549" i="2"/>
  <c r="B568" i="2"/>
  <c r="B512" i="2"/>
  <c r="B286" i="2"/>
  <c r="B500" i="2"/>
  <c r="B542" i="2"/>
  <c r="B477" i="2"/>
  <c r="B509" i="2"/>
  <c r="B132" i="2"/>
  <c r="B471" i="2"/>
  <c r="B487" i="2"/>
  <c r="B527" i="2"/>
  <c r="B374" i="2"/>
  <c r="B268" i="2"/>
  <c r="B582" i="2"/>
  <c r="B524" i="2"/>
  <c r="B63" i="2"/>
  <c r="B532" i="2"/>
  <c r="B566" i="2"/>
  <c r="B467" i="2"/>
  <c r="B437" i="2"/>
  <c r="B584" i="2"/>
  <c r="B528" i="2"/>
  <c r="B507" i="2"/>
  <c r="B448" i="2"/>
  <c r="B577" i="2"/>
  <c r="B515" i="2"/>
  <c r="B206" i="2"/>
  <c r="B469" i="2"/>
  <c r="B336" i="2"/>
  <c r="B451" i="2"/>
  <c r="B579" i="2"/>
  <c r="B586" i="2"/>
  <c r="B544" i="2"/>
  <c r="B552" i="2"/>
  <c r="B569" i="2"/>
  <c r="B551" i="2"/>
  <c r="B400" i="2"/>
  <c r="B543" i="2"/>
  <c r="B547" i="2"/>
  <c r="B554" i="2"/>
  <c r="B588" i="2"/>
  <c r="B525" i="2"/>
  <c r="B269" i="2"/>
  <c r="C269" i="2"/>
  <c r="E65" i="2"/>
  <c r="E434" i="2"/>
  <c r="E252" i="2"/>
  <c r="E529" i="2"/>
  <c r="E197" i="2"/>
  <c r="E78" i="2"/>
  <c r="E195" i="2"/>
  <c r="E414" i="2"/>
  <c r="E348" i="2"/>
  <c r="E128" i="2"/>
  <c r="E255" i="2"/>
  <c r="E340" i="2"/>
  <c r="E468" i="2"/>
  <c r="E135" i="2"/>
  <c r="E366" i="2"/>
  <c r="E11" i="2"/>
  <c r="E287" i="2"/>
  <c r="E137" i="2"/>
  <c r="E100" i="2"/>
  <c r="E64" i="2"/>
  <c r="E48" i="2"/>
  <c r="E26" i="2"/>
  <c r="E183" i="2"/>
  <c r="E139" i="2"/>
  <c r="E66" i="2"/>
  <c r="E80" i="2"/>
  <c r="E21" i="2"/>
  <c r="E322" i="2"/>
  <c r="E299" i="2"/>
  <c r="E185" i="2"/>
  <c r="E4" i="2"/>
  <c r="E34" i="2"/>
  <c r="E120" i="2"/>
  <c r="E355" i="2"/>
  <c r="E318" i="2"/>
  <c r="E233" i="2"/>
  <c r="E165" i="2"/>
  <c r="E226" i="2"/>
  <c r="E254" i="2"/>
  <c r="E499" i="2"/>
  <c r="E362" i="2"/>
  <c r="E122" i="2"/>
  <c r="E50" i="2"/>
  <c r="E178" i="2"/>
  <c r="E440" i="2"/>
  <c r="E388" i="2"/>
  <c r="E75" i="2"/>
  <c r="E411" i="2"/>
  <c r="E53" i="2"/>
  <c r="E302" i="2"/>
  <c r="E427" i="2"/>
  <c r="E196" i="2"/>
  <c r="E530" i="2"/>
  <c r="E222" i="2"/>
  <c r="E283" i="2"/>
  <c r="E182" i="2"/>
  <c r="E311" i="2"/>
  <c r="E54" i="2"/>
  <c r="E231" i="2"/>
  <c r="E68" i="2"/>
  <c r="E462" i="2"/>
  <c r="E321" i="2"/>
  <c r="E205" i="2"/>
  <c r="E170" i="2"/>
  <c r="E417" i="2"/>
  <c r="E154" i="2"/>
  <c r="E413" i="2"/>
  <c r="E578" i="2"/>
  <c r="E155" i="2"/>
  <c r="E92" i="2"/>
  <c r="E99" i="2"/>
  <c r="E177" i="2"/>
  <c r="E24" i="2"/>
  <c r="E67" i="2"/>
  <c r="E280" i="2"/>
  <c r="E40" i="2"/>
  <c r="E261" i="2"/>
  <c r="E271" i="2"/>
  <c r="E281" i="2"/>
  <c r="E121" i="2"/>
  <c r="E130" i="2"/>
  <c r="E461" i="2"/>
  <c r="E160" i="2"/>
  <c r="E221" i="2"/>
  <c r="E249" i="2"/>
  <c r="E424" i="2"/>
  <c r="E164" i="2"/>
  <c r="E296" i="2"/>
  <c r="E81" i="2"/>
  <c r="E332" i="2"/>
  <c r="E241" i="2"/>
  <c r="E104" i="2"/>
  <c r="E248" i="2"/>
  <c r="E580" i="2"/>
  <c r="E51" i="2"/>
  <c r="E541" i="2"/>
  <c r="E571" i="2"/>
  <c r="E250" i="2"/>
  <c r="E94" i="2"/>
  <c r="E89" i="2"/>
  <c r="E37" i="2"/>
  <c r="E143" i="2"/>
  <c r="E216" i="2"/>
  <c r="E98" i="2"/>
  <c r="E347" i="2"/>
  <c r="E307" i="2"/>
  <c r="E331" i="2"/>
  <c r="E17" i="2"/>
  <c r="E381" i="2"/>
  <c r="E161" i="2"/>
  <c r="E396" i="2"/>
  <c r="E146" i="2"/>
  <c r="E297" i="2"/>
  <c r="E590" i="2"/>
  <c r="E573" i="2"/>
  <c r="E408" i="2"/>
  <c r="E306" i="2"/>
  <c r="E10" i="2"/>
  <c r="E213" i="2"/>
  <c r="E112" i="2"/>
  <c r="E266" i="2"/>
  <c r="E184" i="2"/>
  <c r="E95" i="2"/>
  <c r="E214" i="2"/>
  <c r="E172" i="2"/>
  <c r="E312" i="2"/>
  <c r="E217" i="2"/>
  <c r="E191" i="2"/>
  <c r="E174" i="2"/>
  <c r="E300" i="2"/>
  <c r="E208" i="2"/>
  <c r="E511" i="2"/>
  <c r="E22" i="2"/>
  <c r="E363" i="2"/>
  <c r="E58" i="2"/>
  <c r="E15" i="2"/>
  <c r="E25" i="2"/>
  <c r="E38" i="2"/>
  <c r="E187" i="2"/>
  <c r="E18" i="2"/>
  <c r="E495" i="2"/>
  <c r="E151" i="2"/>
  <c r="E46" i="2"/>
  <c r="E449" i="2"/>
  <c r="E19" i="2"/>
  <c r="E293" i="2"/>
  <c r="E325" i="2"/>
  <c r="E494" i="2"/>
  <c r="E117" i="2"/>
  <c r="E382" i="2"/>
  <c r="E546" i="2"/>
  <c r="E20" i="2"/>
  <c r="E232" i="2"/>
  <c r="E244" i="2"/>
  <c r="E119" i="2"/>
  <c r="E39" i="2"/>
  <c r="E215" i="2"/>
  <c r="E520" i="2"/>
  <c r="E257" i="2"/>
  <c r="E589" i="2"/>
  <c r="E35" i="2"/>
  <c r="E33" i="2"/>
  <c r="E423" i="2"/>
  <c r="E301" i="2"/>
  <c r="E85" i="2"/>
  <c r="E365" i="2"/>
  <c r="E243" i="2"/>
  <c r="E383" i="2"/>
  <c r="E295" i="2"/>
  <c r="E173" i="2"/>
  <c r="E314" i="2"/>
  <c r="E90" i="2"/>
  <c r="E369" i="2"/>
  <c r="E430" i="2"/>
  <c r="E516" i="2"/>
  <c r="E460" i="2"/>
  <c r="E319" i="2"/>
  <c r="E473" i="2"/>
  <c r="E404" i="2"/>
  <c r="E200" i="2"/>
  <c r="E379" i="2"/>
  <c r="E72" i="2"/>
  <c r="E141" i="2"/>
  <c r="E138" i="2"/>
  <c r="E105" i="2"/>
  <c r="E394" i="2"/>
  <c r="E190" i="2"/>
  <c r="E49" i="2"/>
  <c r="E323" i="2"/>
  <c r="E288" i="2"/>
  <c r="E415" i="2"/>
  <c r="E420" i="2"/>
  <c r="E152" i="2"/>
  <c r="E518" i="2"/>
  <c r="E367" i="2"/>
  <c r="E76" i="2"/>
  <c r="E455" i="2"/>
  <c r="E309" i="2"/>
  <c r="E44" i="2"/>
  <c r="E298" i="2"/>
  <c r="E443" i="2"/>
  <c r="E111" i="2"/>
  <c r="E227" i="2"/>
  <c r="E545" i="2"/>
  <c r="E93" i="2"/>
  <c r="E171" i="2"/>
  <c r="E510" i="2"/>
  <c r="E219" i="2"/>
  <c r="E333" i="2"/>
  <c r="E7" i="2"/>
  <c r="E592" i="2"/>
  <c r="E320" i="2"/>
  <c r="E351" i="2"/>
  <c r="E337" i="2"/>
  <c r="E140" i="2"/>
  <c r="E181" i="2"/>
  <c r="E585" i="2"/>
  <c r="E433" i="2"/>
  <c r="E12" i="2"/>
  <c r="E481" i="2"/>
  <c r="E407" i="2"/>
  <c r="E459" i="2"/>
  <c r="E36" i="2"/>
  <c r="E284" i="2"/>
  <c r="E264" i="2"/>
  <c r="E131" i="2"/>
  <c r="E275" i="2"/>
  <c r="E242" i="2"/>
  <c r="E189" i="2"/>
  <c r="E70" i="2"/>
  <c r="E167" i="2"/>
  <c r="E328" i="2"/>
  <c r="E526" i="2"/>
  <c r="E575" i="2"/>
  <c r="E5" i="2"/>
  <c r="E86" i="2"/>
  <c r="E538" i="2"/>
  <c r="E294" i="2"/>
  <c r="E30" i="2"/>
  <c r="E238" i="2"/>
  <c r="E28" i="2"/>
  <c r="E503" i="2"/>
  <c r="E403" i="2"/>
  <c r="E136" i="2"/>
  <c r="E82" i="2"/>
  <c r="E102" i="2"/>
  <c r="E144" i="2"/>
  <c r="E475" i="2"/>
  <c r="E16" i="2"/>
  <c r="E466" i="2"/>
  <c r="E276" i="2"/>
  <c r="E385" i="2"/>
  <c r="E563" i="2"/>
  <c r="E535" i="2"/>
  <c r="E327" i="2"/>
  <c r="E270" i="2"/>
  <c r="E360" i="2"/>
  <c r="E2" i="2"/>
  <c r="E3" i="2"/>
  <c r="E57" i="2"/>
  <c r="E150" i="2"/>
  <c r="E572" i="2"/>
  <c r="E258" i="2"/>
  <c r="E71" i="2"/>
  <c r="E410" i="2"/>
  <c r="E490" i="2"/>
  <c r="E74" i="2"/>
  <c r="E436" i="2"/>
  <c r="E488" i="2"/>
  <c r="E6" i="2"/>
  <c r="E354" i="2"/>
  <c r="E501" i="2"/>
  <c r="E225" i="2"/>
  <c r="E402" i="2"/>
  <c r="E595" i="2"/>
  <c r="E109" i="2"/>
  <c r="E356" i="2"/>
  <c r="E352" i="2"/>
  <c r="E134" i="2"/>
  <c r="E97" i="2"/>
  <c r="E149" i="2"/>
  <c r="E29" i="2"/>
  <c r="E361" i="2"/>
  <c r="E422" i="2"/>
  <c r="E419" i="2"/>
  <c r="E125" i="2"/>
  <c r="E8" i="2"/>
  <c r="E581" i="2"/>
  <c r="E62" i="2"/>
  <c r="E444" i="2"/>
  <c r="E345" i="2"/>
  <c r="E124" i="2"/>
  <c r="E376" i="2"/>
  <c r="E398" i="2"/>
  <c r="E47" i="2"/>
  <c r="E380" i="2"/>
  <c r="E285" i="2"/>
  <c r="E101" i="2"/>
  <c r="E479" i="2"/>
  <c r="E429" i="2"/>
  <c r="E239" i="2"/>
  <c r="E326" i="2"/>
  <c r="E470" i="2"/>
  <c r="E265" i="2"/>
  <c r="E207" i="2"/>
  <c r="E491" i="2"/>
  <c r="E391" i="2"/>
  <c r="E69" i="2"/>
  <c r="E346" i="2"/>
  <c r="E522" i="2"/>
  <c r="E116" i="2"/>
  <c r="E377" i="2"/>
  <c r="E229" i="2"/>
  <c r="E428" i="2"/>
  <c r="E292" i="2"/>
  <c r="E373" i="2"/>
  <c r="E247" i="2"/>
  <c r="E201" i="2"/>
  <c r="E23" i="2"/>
  <c r="E115" i="2"/>
  <c r="E73" i="2"/>
  <c r="E519" i="2"/>
  <c r="E555" i="2"/>
  <c r="E32" i="2"/>
  <c r="E316" i="2"/>
  <c r="E106" i="2"/>
  <c r="E192" i="2"/>
  <c r="E315" i="2"/>
  <c r="E194" i="2"/>
  <c r="E485" i="2"/>
  <c r="E553" i="2"/>
  <c r="E234" i="2"/>
  <c r="E412" i="2"/>
  <c r="E103" i="2"/>
  <c r="E210" i="2"/>
  <c r="E230" i="2"/>
  <c r="E273" i="2"/>
  <c r="E523" i="2"/>
  <c r="E418" i="2"/>
  <c r="E108" i="2"/>
  <c r="E557" i="2"/>
  <c r="E114" i="2"/>
  <c r="E175" i="2"/>
  <c r="E224" i="2"/>
  <c r="E52" i="2"/>
  <c r="E14" i="2"/>
  <c r="E223" i="2"/>
  <c r="E310" i="2"/>
  <c r="E142" i="2"/>
  <c r="E236" i="2"/>
  <c r="E483" i="2"/>
  <c r="E357" i="2"/>
  <c r="E166" i="2"/>
  <c r="E168" i="2"/>
  <c r="E186" i="2"/>
  <c r="E113" i="2"/>
  <c r="E96" i="2"/>
  <c r="E123" i="2"/>
  <c r="E91" i="2"/>
  <c r="E291" i="2"/>
  <c r="E317" i="2"/>
  <c r="E203" i="2"/>
  <c r="E498" i="2"/>
  <c r="E406" i="2"/>
  <c r="E127" i="2"/>
  <c r="E209" i="2"/>
  <c r="E534" i="2"/>
  <c r="E251" i="2"/>
  <c r="E445" i="2"/>
  <c r="E147" i="2"/>
  <c r="E409" i="2"/>
  <c r="E145" i="2"/>
  <c r="E399" i="2"/>
  <c r="E245" i="2"/>
  <c r="E304" i="2"/>
  <c r="E204" i="2"/>
  <c r="E435" i="2"/>
  <c r="E540" i="2"/>
  <c r="E45" i="2"/>
  <c r="E198" i="2"/>
  <c r="E153" i="2"/>
  <c r="E450" i="2"/>
  <c r="E536" i="2"/>
  <c r="E378" i="2"/>
  <c r="E260" i="2"/>
  <c r="E463" i="2"/>
  <c r="E157" i="2"/>
  <c r="E484" i="2"/>
  <c r="E262" i="2"/>
  <c r="E9" i="2"/>
  <c r="E148" i="2"/>
  <c r="E211" i="2"/>
  <c r="E199" i="2"/>
  <c r="E506" i="2"/>
  <c r="E441" i="2"/>
  <c r="E79" i="2"/>
  <c r="E508" i="2"/>
  <c r="E41" i="2"/>
  <c r="E180" i="2"/>
  <c r="E576" i="2"/>
  <c r="E126" i="2"/>
  <c r="E358" i="2"/>
  <c r="E110" i="2"/>
  <c r="E162" i="2"/>
  <c r="E350" i="2"/>
  <c r="E517" i="2"/>
  <c r="E42" i="2"/>
  <c r="E401" i="2"/>
  <c r="E118" i="2"/>
  <c r="E425" i="2"/>
  <c r="E56" i="2"/>
  <c r="E31" i="2"/>
  <c r="E587" i="2"/>
  <c r="E550" i="2"/>
  <c r="E330" i="2"/>
  <c r="E593" i="2"/>
  <c r="E277" i="2"/>
  <c r="E107" i="2"/>
  <c r="E188" i="2"/>
  <c r="E531" i="2"/>
  <c r="E339" i="2"/>
  <c r="E61" i="2"/>
  <c r="E564" i="2"/>
  <c r="E179" i="2"/>
  <c r="E567" i="2"/>
  <c r="E533" i="2"/>
  <c r="E560" i="2"/>
  <c r="E558" i="2"/>
  <c r="E458" i="2"/>
  <c r="E343" i="2"/>
  <c r="E453" i="2"/>
  <c r="E129" i="2"/>
  <c r="E133" i="2"/>
  <c r="E43" i="2"/>
  <c r="E253" i="2"/>
  <c r="E583" i="2"/>
  <c r="E240" i="2"/>
  <c r="E228" i="2"/>
  <c r="E392" i="2"/>
  <c r="E263" i="2"/>
  <c r="E353" i="2"/>
  <c r="E256" i="2"/>
  <c r="E169" i="2"/>
  <c r="E341" i="2"/>
  <c r="E368" i="2"/>
  <c r="E570" i="2"/>
  <c r="E446" i="2"/>
  <c r="E176" i="2"/>
  <c r="E59" i="2"/>
  <c r="E329" i="2"/>
  <c r="E480" i="2"/>
  <c r="E370" i="2"/>
  <c r="E274" i="2"/>
  <c r="E421" i="2"/>
  <c r="E212" i="2"/>
  <c r="E77" i="2"/>
  <c r="E521" i="2"/>
  <c r="E259" i="2"/>
  <c r="E438" i="2"/>
  <c r="E87" i="2"/>
  <c r="E561" i="2"/>
  <c r="E272" i="2"/>
  <c r="E83" i="2"/>
  <c r="E13" i="2"/>
  <c r="E559" i="2"/>
  <c r="E342" i="2"/>
  <c r="E159" i="2"/>
  <c r="E202" i="2"/>
  <c r="E416" i="2"/>
  <c r="E482" i="2"/>
  <c r="E158" i="2"/>
  <c r="E344" i="2"/>
  <c r="E218" i="2"/>
  <c r="E220" i="2"/>
  <c r="E389" i="2"/>
  <c r="E371" i="2"/>
  <c r="E464" i="2"/>
  <c r="E60" i="2"/>
  <c r="E489" i="2"/>
  <c r="E375" i="2"/>
  <c r="E405" i="2"/>
  <c r="E88" i="2"/>
  <c r="E349" i="2"/>
  <c r="E439" i="2"/>
  <c r="E393" i="2"/>
  <c r="E27" i="2"/>
  <c r="E539" i="2"/>
  <c r="E305" i="2"/>
  <c r="E452" i="2"/>
  <c r="E562" i="2"/>
  <c r="E235" i="2"/>
  <c r="E504" i="2"/>
  <c r="E432" i="2"/>
  <c r="E548" i="2"/>
  <c r="E289" i="2"/>
  <c r="E84" i="2"/>
  <c r="E497" i="2"/>
  <c r="E493" i="2"/>
  <c r="E478" i="2"/>
  <c r="E457" i="2"/>
  <c r="E193" i="2"/>
  <c r="E395" i="2"/>
  <c r="E514" i="2"/>
  <c r="E246" i="2"/>
  <c r="E335" i="2"/>
  <c r="E513" i="2"/>
  <c r="E290" i="2"/>
  <c r="E267" i="2"/>
  <c r="E447" i="2"/>
  <c r="E278" i="2"/>
  <c r="E334" i="2"/>
  <c r="E55" i="2"/>
  <c r="E156" i="2"/>
  <c r="E372" i="2"/>
  <c r="E556" i="2"/>
  <c r="E492" i="2"/>
  <c r="E237" i="2"/>
  <c r="E308" i="2"/>
  <c r="E359" i="2"/>
  <c r="E431" i="2"/>
  <c r="E313" i="2"/>
  <c r="E279" i="2"/>
  <c r="E387" i="2"/>
  <c r="E474" i="2"/>
  <c r="E486" i="2"/>
  <c r="E465" i="2"/>
  <c r="E390" i="2"/>
  <c r="E476" i="2"/>
  <c r="E397" i="2"/>
  <c r="E472" i="2"/>
  <c r="E456" i="2"/>
  <c r="E338" i="2"/>
  <c r="E386" i="2"/>
  <c r="E505" i="2"/>
  <c r="E565" i="2"/>
  <c r="E442" i="2"/>
  <c r="E496" i="2"/>
  <c r="E303" i="2"/>
  <c r="E364" i="2"/>
  <c r="E282" i="2"/>
  <c r="E594" i="2"/>
  <c r="E454" i="2"/>
  <c r="E163" i="2"/>
  <c r="E502" i="2"/>
  <c r="E426" i="2"/>
  <c r="E574" i="2"/>
  <c r="E591" i="2"/>
  <c r="E537" i="2"/>
  <c r="E384" i="2"/>
  <c r="E324" i="2"/>
  <c r="E549" i="2"/>
  <c r="E568" i="2"/>
  <c r="E512" i="2"/>
  <c r="E286" i="2"/>
  <c r="E500" i="2"/>
  <c r="E542" i="2"/>
  <c r="E477" i="2"/>
  <c r="E509" i="2"/>
  <c r="E132" i="2"/>
  <c r="E471" i="2"/>
  <c r="E487" i="2"/>
  <c r="E527" i="2"/>
  <c r="E374" i="2"/>
  <c r="E268" i="2"/>
  <c r="E582" i="2"/>
  <c r="E524" i="2"/>
  <c r="E63" i="2"/>
  <c r="E532" i="2"/>
  <c r="E566" i="2"/>
  <c r="E467" i="2"/>
  <c r="E437" i="2"/>
  <c r="E584" i="2"/>
  <c r="E528" i="2"/>
  <c r="E507" i="2"/>
  <c r="E448" i="2"/>
  <c r="E577" i="2"/>
  <c r="E515" i="2"/>
  <c r="E206" i="2"/>
  <c r="E469" i="2"/>
  <c r="E336" i="2"/>
  <c r="E451" i="2"/>
  <c r="E579" i="2"/>
  <c r="E586" i="2"/>
  <c r="E544" i="2"/>
  <c r="E552" i="2"/>
  <c r="E569" i="2"/>
  <c r="E551" i="2"/>
  <c r="E400" i="2"/>
  <c r="E543" i="2"/>
  <c r="E547" i="2"/>
  <c r="E554" i="2"/>
  <c r="E588" i="2"/>
  <c r="E525" i="2"/>
  <c r="E269" i="2"/>
  <c r="D269" i="2" l="1"/>
  <c r="D525" i="2"/>
  <c r="D588" i="2"/>
  <c r="D554" i="2"/>
  <c r="D547" i="2"/>
  <c r="D543" i="2"/>
  <c r="D400" i="2"/>
  <c r="D551" i="2"/>
  <c r="D569" i="2"/>
  <c r="D552" i="2"/>
  <c r="D544" i="2"/>
  <c r="D586" i="2"/>
  <c r="D579" i="2"/>
  <c r="D451" i="2"/>
  <c r="D336" i="2"/>
  <c r="D469" i="2"/>
  <c r="D206" i="2"/>
  <c r="D515" i="2"/>
  <c r="D577" i="2"/>
  <c r="D448" i="2"/>
  <c r="D507" i="2"/>
  <c r="D528" i="2"/>
  <c r="D584" i="2"/>
  <c r="D437" i="2"/>
  <c r="D467" i="2"/>
  <c r="D566" i="2"/>
  <c r="D532" i="2"/>
  <c r="D63" i="2"/>
  <c r="D524" i="2"/>
  <c r="D582" i="2"/>
  <c r="D268" i="2"/>
  <c r="D374" i="2"/>
  <c r="D527" i="2"/>
  <c r="D487" i="2"/>
  <c r="D471" i="2"/>
  <c r="D132" i="2"/>
  <c r="D509" i="2"/>
  <c r="D477" i="2"/>
  <c r="D542" i="2"/>
  <c r="D500" i="2"/>
  <c r="D286" i="2"/>
  <c r="D512" i="2"/>
  <c r="D568" i="2"/>
  <c r="D549" i="2"/>
  <c r="D324" i="2"/>
  <c r="D384" i="2"/>
  <c r="D537" i="2"/>
  <c r="D591" i="2"/>
  <c r="D574" i="2"/>
  <c r="D426" i="2"/>
  <c r="D502" i="2"/>
  <c r="D163" i="2"/>
  <c r="D454" i="2"/>
  <c r="D594" i="2"/>
  <c r="D282" i="2"/>
  <c r="D364" i="2"/>
  <c r="D303" i="2"/>
  <c r="D496" i="2"/>
  <c r="D442" i="2"/>
  <c r="D565" i="2"/>
  <c r="D505" i="2"/>
  <c r="D386" i="2"/>
  <c r="D338" i="2"/>
  <c r="D456" i="2"/>
  <c r="D472" i="2"/>
  <c r="D397" i="2"/>
  <c r="D476" i="2"/>
  <c r="D390" i="2"/>
  <c r="D465" i="2"/>
  <c r="D486" i="2"/>
  <c r="D474" i="2"/>
  <c r="D387" i="2"/>
  <c r="D279" i="2"/>
  <c r="D313" i="2"/>
  <c r="D431" i="2"/>
  <c r="D359" i="2"/>
  <c r="D308" i="2"/>
  <c r="D237" i="2"/>
  <c r="D492" i="2"/>
  <c r="D556" i="2"/>
  <c r="D372" i="2"/>
  <c r="D156" i="2"/>
  <c r="D55" i="2"/>
  <c r="D334" i="2"/>
  <c r="D278" i="2"/>
  <c r="D447" i="2"/>
  <c r="D267" i="2"/>
  <c r="D290" i="2"/>
  <c r="D513" i="2"/>
  <c r="D335" i="2"/>
  <c r="D246" i="2"/>
  <c r="D514" i="2"/>
  <c r="D395" i="2"/>
  <c r="D193" i="2"/>
  <c r="D457" i="2"/>
  <c r="D478" i="2"/>
  <c r="D493" i="2"/>
  <c r="D497" i="2"/>
  <c r="D84" i="2"/>
  <c r="D289" i="2"/>
  <c r="D548" i="2"/>
  <c r="D432" i="2"/>
  <c r="D504" i="2"/>
  <c r="D235" i="2"/>
  <c r="D562" i="2"/>
  <c r="D452" i="2"/>
  <c r="D305" i="2"/>
  <c r="D539" i="2"/>
  <c r="D27" i="2"/>
  <c r="D393" i="2"/>
  <c r="D439" i="2"/>
  <c r="D349" i="2"/>
  <c r="D88" i="2"/>
  <c r="D405" i="2"/>
  <c r="D375" i="2"/>
  <c r="D489" i="2"/>
  <c r="D60" i="2"/>
  <c r="D464" i="2"/>
  <c r="D371" i="2"/>
  <c r="D389" i="2"/>
  <c r="D220" i="2"/>
  <c r="D218" i="2"/>
  <c r="D344" i="2"/>
  <c r="D158" i="2"/>
  <c r="D482" i="2"/>
  <c r="D416" i="2"/>
  <c r="D202" i="2"/>
  <c r="D159" i="2"/>
  <c r="D342" i="2"/>
  <c r="D559" i="2"/>
  <c r="D13" i="2"/>
  <c r="D83" i="2"/>
  <c r="D272" i="2"/>
  <c r="D561" i="2"/>
  <c r="D87" i="2"/>
  <c r="D438" i="2"/>
  <c r="D259" i="2"/>
  <c r="D521" i="2"/>
  <c r="D77" i="2"/>
  <c r="D212" i="2"/>
  <c r="D421" i="2"/>
  <c r="D274" i="2"/>
  <c r="D370" i="2"/>
  <c r="D480" i="2"/>
  <c r="D329" i="2"/>
  <c r="D59" i="2"/>
  <c r="D176" i="2"/>
  <c r="D446" i="2"/>
  <c r="D570" i="2"/>
  <c r="D368" i="2"/>
  <c r="D341" i="2"/>
  <c r="D169" i="2"/>
  <c r="D256" i="2"/>
  <c r="D353" i="2"/>
  <c r="D263" i="2"/>
  <c r="D392" i="2"/>
  <c r="D228" i="2"/>
  <c r="D240" i="2"/>
  <c r="D583" i="2"/>
  <c r="D253" i="2"/>
  <c r="D43" i="2"/>
  <c r="D133" i="2"/>
  <c r="D129" i="2"/>
  <c r="D453" i="2"/>
  <c r="D343" i="2"/>
  <c r="D458" i="2"/>
  <c r="D558" i="2"/>
  <c r="D560" i="2"/>
  <c r="D533" i="2"/>
  <c r="D567" i="2"/>
  <c r="D179" i="2"/>
  <c r="D564" i="2"/>
  <c r="D61" i="2"/>
  <c r="D339" i="2"/>
  <c r="D531" i="2"/>
  <c r="D188" i="2"/>
  <c r="D107" i="2"/>
  <c r="D277" i="2"/>
  <c r="D593" i="2"/>
  <c r="D330" i="2"/>
  <c r="D550" i="2"/>
  <c r="D587" i="2"/>
  <c r="D31" i="2"/>
  <c r="D56" i="2"/>
  <c r="D425" i="2"/>
  <c r="D118" i="2"/>
  <c r="D401" i="2"/>
  <c r="D42" i="2"/>
  <c r="D517" i="2"/>
  <c r="D350" i="2"/>
  <c r="D162" i="2"/>
  <c r="D110" i="2"/>
  <c r="D358" i="2"/>
  <c r="D126" i="2"/>
  <c r="D576" i="2"/>
  <c r="D180" i="2"/>
  <c r="D41" i="2"/>
  <c r="D508" i="2"/>
  <c r="D79" i="2"/>
  <c r="D441" i="2"/>
  <c r="D506" i="2"/>
  <c r="D199" i="2"/>
  <c r="D211" i="2"/>
  <c r="D148" i="2"/>
  <c r="D9" i="2"/>
  <c r="D262" i="2"/>
  <c r="D484" i="2"/>
  <c r="D157" i="2"/>
  <c r="D463" i="2"/>
  <c r="D260" i="2"/>
  <c r="D378" i="2"/>
  <c r="D536" i="2"/>
  <c r="D450" i="2"/>
  <c r="D153" i="2"/>
  <c r="D198" i="2"/>
  <c r="D45" i="2"/>
  <c r="D540" i="2"/>
  <c r="D435" i="2"/>
  <c r="D204" i="2"/>
  <c r="D304" i="2"/>
  <c r="D245" i="2"/>
  <c r="D399" i="2"/>
  <c r="D145" i="2"/>
  <c r="D409" i="2"/>
  <c r="D147" i="2"/>
  <c r="D445" i="2"/>
  <c r="D251" i="2"/>
  <c r="D534" i="2"/>
  <c r="D209" i="2"/>
  <c r="D127" i="2"/>
  <c r="D406" i="2"/>
  <c r="D498" i="2"/>
  <c r="D203" i="2"/>
  <c r="D317" i="2"/>
  <c r="D291" i="2"/>
  <c r="D91" i="2"/>
  <c r="D123" i="2"/>
  <c r="D96" i="2"/>
  <c r="D113" i="2"/>
  <c r="D186" i="2"/>
  <c r="D168" i="2"/>
  <c r="D166" i="2"/>
  <c r="D357" i="2"/>
  <c r="D483" i="2"/>
  <c r="D236" i="2"/>
  <c r="D142" i="2"/>
  <c r="D310" i="2"/>
  <c r="D223" i="2"/>
  <c r="D14" i="2"/>
  <c r="D52" i="2"/>
  <c r="D224" i="2"/>
  <c r="D175" i="2"/>
  <c r="D114" i="2"/>
  <c r="D557" i="2"/>
  <c r="D108" i="2"/>
  <c r="D418" i="2"/>
  <c r="D523" i="2"/>
  <c r="D273" i="2"/>
  <c r="D230" i="2"/>
  <c r="D210" i="2"/>
  <c r="D103" i="2"/>
  <c r="D412" i="2"/>
  <c r="D234" i="2"/>
  <c r="D553" i="2"/>
  <c r="D485" i="2"/>
  <c r="D194" i="2"/>
  <c r="D315" i="2"/>
  <c r="D192" i="2"/>
  <c r="D106" i="2"/>
  <c r="D316" i="2"/>
  <c r="D32" i="2"/>
  <c r="D555" i="2"/>
  <c r="D519" i="2"/>
  <c r="D73" i="2"/>
  <c r="D115" i="2"/>
  <c r="D23" i="2"/>
  <c r="D201" i="2"/>
  <c r="D247" i="2"/>
  <c r="D373" i="2"/>
  <c r="D292" i="2"/>
  <c r="D428" i="2"/>
  <c r="D229" i="2"/>
  <c r="D377" i="2"/>
  <c r="D116" i="2"/>
  <c r="D522" i="2"/>
  <c r="D346" i="2"/>
  <c r="D69" i="2"/>
  <c r="D391" i="2"/>
  <c r="D491" i="2"/>
  <c r="D207" i="2"/>
  <c r="D265" i="2"/>
  <c r="D470" i="2"/>
  <c r="D326" i="2"/>
  <c r="D239" i="2"/>
  <c r="D429" i="2"/>
  <c r="D479" i="2"/>
  <c r="D101" i="2"/>
  <c r="D285" i="2"/>
  <c r="D380" i="2"/>
  <c r="D47" i="2"/>
  <c r="D398" i="2"/>
  <c r="D376" i="2"/>
  <c r="D124" i="2"/>
  <c r="D345" i="2"/>
  <c r="D444" i="2"/>
  <c r="D62" i="2"/>
  <c r="D581" i="2"/>
  <c r="D8" i="2"/>
  <c r="D125" i="2"/>
  <c r="D419" i="2"/>
  <c r="D422" i="2"/>
  <c r="D361" i="2"/>
  <c r="D29" i="2"/>
  <c r="D149" i="2"/>
  <c r="D97" i="2"/>
  <c r="D134" i="2"/>
  <c r="D352" i="2"/>
  <c r="D356" i="2"/>
  <c r="D109" i="2"/>
  <c r="D595" i="2"/>
  <c r="D402" i="2"/>
  <c r="D225" i="2"/>
  <c r="D501" i="2"/>
  <c r="D354" i="2"/>
  <c r="D6" i="2"/>
  <c r="D488" i="2"/>
  <c r="D436" i="2"/>
  <c r="D74" i="2"/>
  <c r="D490" i="2"/>
  <c r="D410" i="2"/>
  <c r="D71" i="2"/>
  <c r="D258" i="2"/>
  <c r="D572" i="2"/>
  <c r="D150" i="2"/>
  <c r="D57" i="2"/>
  <c r="D3" i="2"/>
  <c r="D2" i="2"/>
  <c r="D360" i="2"/>
  <c r="D270" i="2"/>
  <c r="D327" i="2"/>
  <c r="D535" i="2"/>
  <c r="D563" i="2"/>
  <c r="D385" i="2"/>
  <c r="D276" i="2"/>
  <c r="D466" i="2"/>
  <c r="D16" i="2"/>
  <c r="D475" i="2"/>
  <c r="D144" i="2"/>
  <c r="D102" i="2"/>
  <c r="D82" i="2"/>
  <c r="D136" i="2"/>
  <c r="D403" i="2"/>
  <c r="D503" i="2"/>
  <c r="D28" i="2"/>
  <c r="D238" i="2"/>
  <c r="D30" i="2"/>
  <c r="D294" i="2"/>
  <c r="D538" i="2"/>
  <c r="D86" i="2"/>
  <c r="D5" i="2"/>
  <c r="D575" i="2"/>
  <c r="D526" i="2"/>
  <c r="D328" i="2"/>
  <c r="D167" i="2"/>
  <c r="D70" i="2"/>
  <c r="D189" i="2"/>
  <c r="D242" i="2"/>
  <c r="D275" i="2"/>
  <c r="D131" i="2"/>
  <c r="D264" i="2"/>
  <c r="D284" i="2"/>
  <c r="D36" i="2"/>
  <c r="D459" i="2"/>
  <c r="D407" i="2"/>
  <c r="D481" i="2"/>
  <c r="D12" i="2"/>
  <c r="D433" i="2"/>
  <c r="D585" i="2"/>
  <c r="D181" i="2"/>
  <c r="D140" i="2"/>
  <c r="D337" i="2"/>
  <c r="D351" i="2"/>
  <c r="D320" i="2"/>
  <c r="D592" i="2"/>
  <c r="D7" i="2"/>
  <c r="D333" i="2"/>
  <c r="D219" i="2"/>
  <c r="D510" i="2"/>
  <c r="D171" i="2"/>
  <c r="D93" i="2"/>
  <c r="D545" i="2"/>
  <c r="D227" i="2"/>
  <c r="D111" i="2"/>
  <c r="D443" i="2"/>
  <c r="D298" i="2"/>
  <c r="D44" i="2"/>
  <c r="D309" i="2"/>
  <c r="D455" i="2"/>
  <c r="D76" i="2"/>
  <c r="D367" i="2"/>
  <c r="D518" i="2"/>
  <c r="D152" i="2"/>
  <c r="D420" i="2"/>
  <c r="D415" i="2"/>
  <c r="D288" i="2"/>
  <c r="D323" i="2"/>
  <c r="D49" i="2"/>
  <c r="D190" i="2"/>
  <c r="D394" i="2"/>
  <c r="D105" i="2"/>
  <c r="D138" i="2"/>
  <c r="D141" i="2"/>
  <c r="D72" i="2"/>
  <c r="D379" i="2"/>
  <c r="D200" i="2"/>
  <c r="D404" i="2"/>
  <c r="D473" i="2"/>
  <c r="D319" i="2"/>
  <c r="D460" i="2"/>
  <c r="D516" i="2"/>
  <c r="D430" i="2"/>
  <c r="D369" i="2"/>
  <c r="D90" i="2"/>
  <c r="D314" i="2"/>
  <c r="D173" i="2"/>
  <c r="D295" i="2"/>
  <c r="D383" i="2"/>
  <c r="D243" i="2"/>
  <c r="D365" i="2"/>
  <c r="D85" i="2"/>
  <c r="D301" i="2"/>
  <c r="D423" i="2"/>
  <c r="D33" i="2"/>
  <c r="D35" i="2"/>
  <c r="D589" i="2"/>
  <c r="D257" i="2"/>
  <c r="D520" i="2"/>
  <c r="D215" i="2"/>
  <c r="D39" i="2"/>
  <c r="D119" i="2"/>
  <c r="D244" i="2"/>
  <c r="D232" i="2"/>
  <c r="D20" i="2"/>
  <c r="D546" i="2"/>
  <c r="D382" i="2"/>
  <c r="D117" i="2"/>
  <c r="D494" i="2"/>
  <c r="D325" i="2"/>
  <c r="D293" i="2"/>
  <c r="D19" i="2"/>
  <c r="D449" i="2"/>
  <c r="D46" i="2"/>
  <c r="D151" i="2"/>
  <c r="D495" i="2"/>
  <c r="D18" i="2"/>
  <c r="D187" i="2"/>
  <c r="D38" i="2"/>
  <c r="D25" i="2"/>
  <c r="D15" i="2"/>
  <c r="D58" i="2"/>
  <c r="D363" i="2"/>
  <c r="D22" i="2"/>
  <c r="D511" i="2"/>
  <c r="D208" i="2"/>
  <c r="D300" i="2"/>
  <c r="D174" i="2"/>
  <c r="D191" i="2"/>
  <c r="D217" i="2"/>
  <c r="D312" i="2"/>
  <c r="D172" i="2"/>
  <c r="D214" i="2"/>
  <c r="D95" i="2"/>
  <c r="D184" i="2"/>
  <c r="D266" i="2"/>
  <c r="D112" i="2"/>
  <c r="D213" i="2"/>
  <c r="D10" i="2"/>
  <c r="D306" i="2"/>
  <c r="D408" i="2"/>
  <c r="D573" i="2"/>
  <c r="D590" i="2"/>
  <c r="D297" i="2"/>
  <c r="D146" i="2"/>
  <c r="D396" i="2"/>
  <c r="D161" i="2"/>
  <c r="D381" i="2"/>
  <c r="D17" i="2"/>
  <c r="D331" i="2"/>
  <c r="D307" i="2"/>
  <c r="D347" i="2"/>
  <c r="D98" i="2"/>
  <c r="D216" i="2"/>
  <c r="D143" i="2"/>
  <c r="D37" i="2"/>
  <c r="D89" i="2"/>
  <c r="D94" i="2"/>
  <c r="D250" i="2"/>
  <c r="D571" i="2"/>
  <c r="D541" i="2"/>
  <c r="D51" i="2"/>
  <c r="D580" i="2"/>
  <c r="D248" i="2"/>
  <c r="D104" i="2"/>
  <c r="D241" i="2"/>
  <c r="D332" i="2"/>
  <c r="D81" i="2"/>
  <c r="D296" i="2"/>
  <c r="D164" i="2"/>
  <c r="D424" i="2"/>
  <c r="D249" i="2"/>
  <c r="D221" i="2"/>
  <c r="D160" i="2"/>
  <c r="D461" i="2"/>
  <c r="D130" i="2"/>
  <c r="D121" i="2"/>
  <c r="D281" i="2"/>
  <c r="D271" i="2"/>
  <c r="D261" i="2"/>
  <c r="D40" i="2"/>
  <c r="D280" i="2"/>
  <c r="D67" i="2"/>
  <c r="D24" i="2"/>
  <c r="D177" i="2"/>
  <c r="D99" i="2"/>
  <c r="D92" i="2"/>
  <c r="D155" i="2"/>
  <c r="D578" i="2"/>
  <c r="D413" i="2"/>
  <c r="D154" i="2"/>
  <c r="D417" i="2"/>
  <c r="D170" i="2"/>
  <c r="D205" i="2"/>
  <c r="D321" i="2"/>
  <c r="D462" i="2"/>
  <c r="D68" i="2"/>
  <c r="D231" i="2"/>
  <c r="D54" i="2"/>
  <c r="D311" i="2"/>
  <c r="D182" i="2"/>
  <c r="D283" i="2"/>
  <c r="D222" i="2"/>
  <c r="D530" i="2"/>
  <c r="D196" i="2"/>
  <c r="D427" i="2"/>
  <c r="D302" i="2"/>
  <c r="D53" i="2"/>
  <c r="D411" i="2"/>
  <c r="D75" i="2"/>
  <c r="D388" i="2"/>
  <c r="D440" i="2"/>
  <c r="D178" i="2"/>
  <c r="D50" i="2"/>
  <c r="D122" i="2"/>
  <c r="D362" i="2"/>
  <c r="D499" i="2"/>
  <c r="D254" i="2"/>
  <c r="D226" i="2"/>
  <c r="D165" i="2"/>
  <c r="D233" i="2"/>
  <c r="D318" i="2"/>
  <c r="D355" i="2"/>
  <c r="D120" i="2"/>
  <c r="D34" i="2"/>
  <c r="D4" i="2"/>
  <c r="D185" i="2"/>
  <c r="D299" i="2"/>
  <c r="D322" i="2"/>
  <c r="D21" i="2"/>
  <c r="D80" i="2"/>
  <c r="D66" i="2"/>
  <c r="D139" i="2"/>
  <c r="D183" i="2"/>
  <c r="D26" i="2"/>
  <c r="D48" i="2"/>
  <c r="D64" i="2"/>
  <c r="D100" i="2"/>
  <c r="D137" i="2"/>
  <c r="D287" i="2"/>
  <c r="D11" i="2"/>
  <c r="D366" i="2"/>
  <c r="D135" i="2"/>
  <c r="D468" i="2"/>
  <c r="D340" i="2"/>
  <c r="D255" i="2"/>
  <c r="D128" i="2"/>
  <c r="D348" i="2"/>
  <c r="D414" i="2"/>
  <c r="D195" i="2"/>
  <c r="D78" i="2"/>
  <c r="D197" i="2"/>
  <c r="D529" i="2"/>
  <c r="D252" i="2"/>
  <c r="D434" i="2"/>
  <c r="D65" i="2"/>
</calcChain>
</file>

<file path=xl/sharedStrings.xml><?xml version="1.0" encoding="utf-8"?>
<sst xmlns="http://schemas.openxmlformats.org/spreadsheetml/2006/main" count="6042" uniqueCount="31">
  <si>
    <t>CustomerID</t>
  </si>
  <si>
    <t>OrderID</t>
  </si>
  <si>
    <t>OrderDate</t>
  </si>
  <si>
    <t>Age</t>
  </si>
  <si>
    <t>Gender</t>
  </si>
  <si>
    <t>Region</t>
  </si>
  <si>
    <t>OrderAmount</t>
  </si>
  <si>
    <t>Female</t>
  </si>
  <si>
    <t>Male</t>
  </si>
  <si>
    <t>North</t>
  </si>
  <si>
    <t>East</t>
  </si>
  <si>
    <t>West</t>
  </si>
  <si>
    <t>South</t>
  </si>
  <si>
    <t>Total_Orders</t>
  </si>
  <si>
    <t>Total_Revenue</t>
  </si>
  <si>
    <t>Avg_Order_Value</t>
  </si>
  <si>
    <t>Old_Vs_New_Customer</t>
  </si>
  <si>
    <t>Row Labels</t>
  </si>
  <si>
    <t>Grand Total</t>
  </si>
  <si>
    <t>Sum of CustomerID</t>
  </si>
  <si>
    <t>New</t>
  </si>
  <si>
    <t>Repeat</t>
  </si>
  <si>
    <t>Cumulative_Revenue</t>
  </si>
  <si>
    <t>Revenue_%</t>
  </si>
  <si>
    <t>Top_20%</t>
  </si>
  <si>
    <t>Total Sales</t>
  </si>
  <si>
    <t>Others</t>
  </si>
  <si>
    <t>Top Customers</t>
  </si>
  <si>
    <t>Sum of Total_Revenue</t>
  </si>
  <si>
    <t>Sum of Cumulative_Revenue</t>
  </si>
  <si>
    <t>Sum of Avg_Order_Value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</si>
</sst>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0" fontId="0" fillId="0" borderId="0" xfId="0" applyNumberFormat="1"/>
    <xf numFmtId="0" fontId="0" fillId="0" borderId="0" xfId="0" applyNumberFormat="1"/>
  </cellXfs>
  <cellStyles count="1">
    <cellStyle name="Normal" xfId="0" builtinId="0"/>
  </cellStyles>
  <dxfs count="12">
    <dxf>
      <numFmt numFmtId="2" formatCode="0.00"/>
    </dxf>
    <dxf>
      <numFmt numFmtId="2" formatCode="0.00"/>
    </dxf>
    <dxf>
      <numFmt numFmtId="14"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Sales</a:t>
            </a:r>
          </a:p>
        </c:rich>
      </c:tx>
      <c:layout>
        <c:manualLayout>
          <c:xMode val="edge"/>
          <c:yMode val="edge"/>
          <c:x val="0.40445122484689416"/>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91447944007001"/>
          <c:y val="0.24939596092155147"/>
          <c:w val="0.66634470691163605"/>
          <c:h val="0.53774387576552929"/>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"$"#,##0.00</c:formatCode>
                <c:ptCount val="4"/>
                <c:pt idx="0">
                  <c:v>1861378</c:v>
                </c:pt>
                <c:pt idx="1">
                  <c:v>2018159</c:v>
                </c:pt>
                <c:pt idx="2">
                  <c:v>1889789</c:v>
                </c:pt>
                <c:pt idx="3">
                  <c:v>1877565</c:v>
                </c:pt>
              </c:numCache>
            </c:numRef>
          </c:val>
          <c:extLst>
            <c:ext xmlns:c16="http://schemas.microsoft.com/office/drawing/2014/chart" uri="{C3380CC4-5D6E-409C-BE32-E72D297353CC}">
              <c16:uniqueId val="{00000000-C83D-4EB4-A49D-73D3CAD80A3F}"/>
            </c:ext>
          </c:extLst>
        </c:ser>
        <c:dLbls>
          <c:dLblPos val="outEnd"/>
          <c:showLegendKey val="0"/>
          <c:showVal val="1"/>
          <c:showCatName val="0"/>
          <c:showSerName val="0"/>
          <c:showPercent val="0"/>
          <c:showBubbleSize val="0"/>
        </c:dLbls>
        <c:gapWidth val="219"/>
        <c:overlap val="-27"/>
        <c:axId val="927136896"/>
        <c:axId val="927136416"/>
      </c:barChart>
      <c:catAx>
        <c:axId val="92713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136416"/>
        <c:crosses val="autoZero"/>
        <c:auto val="1"/>
        <c:lblAlgn val="ctr"/>
        <c:lblOffset val="100"/>
        <c:noMultiLvlLbl val="0"/>
      </c:catAx>
      <c:valAx>
        <c:axId val="92713641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92713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 Vs New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8A-4854-89EC-EEB266DF31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8A-4854-89EC-EEB266DF31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New</c:v>
                </c:pt>
                <c:pt idx="1">
                  <c:v>Repeat</c:v>
                </c:pt>
              </c:strCache>
            </c:strRef>
          </c:cat>
          <c:val>
            <c:numRef>
              <c:f>Sheet4!$B$4:$B$6</c:f>
              <c:numCache>
                <c:formatCode>0.00</c:formatCode>
                <c:ptCount val="2"/>
                <c:pt idx="0">
                  <c:v>36325</c:v>
                </c:pt>
                <c:pt idx="1">
                  <c:v>736323</c:v>
                </c:pt>
              </c:numCache>
            </c:numRef>
          </c:val>
          <c:extLst>
            <c:ext xmlns:c16="http://schemas.microsoft.com/office/drawing/2014/chart" uri="{C3380CC4-5D6E-409C-BE32-E72D297353CC}">
              <c16:uniqueId val="{00000000-650D-460A-8680-31B311B213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 Of Customers Gen</a:t>
            </a:r>
            <a:r>
              <a:rPr lang="en-US" baseline="0"/>
              <a:t> 80%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Sheet1!$B$3</c:f>
              <c:strCache>
                <c:ptCount val="1"/>
                <c:pt idx="0">
                  <c:v>Sum of Total_Revenue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Sheet1!$A$4:$A$5</c:f>
              <c:strCache>
                <c:ptCount val="2"/>
                <c:pt idx="0">
                  <c:v>Others</c:v>
                </c:pt>
                <c:pt idx="1">
                  <c:v>Top Customers</c:v>
                </c:pt>
              </c:strCache>
            </c:strRef>
          </c:cat>
          <c:val>
            <c:numRef>
              <c:f>Sheet1!$B$4:$B$5</c:f>
              <c:numCache>
                <c:formatCode>0.00</c:formatCode>
                <c:ptCount val="2"/>
                <c:pt idx="0">
                  <c:v>1537175</c:v>
                </c:pt>
                <c:pt idx="1">
                  <c:v>6109716</c:v>
                </c:pt>
              </c:numCache>
            </c:numRef>
          </c:val>
          <c:extLst>
            <c:ext xmlns:c16="http://schemas.microsoft.com/office/drawing/2014/chart" uri="{C3380CC4-5D6E-409C-BE32-E72D297353CC}">
              <c16:uniqueId val="{00000000-FEA8-4BBF-ACB8-632294E9E82B}"/>
            </c:ext>
          </c:extLst>
        </c:ser>
        <c:ser>
          <c:idx val="1"/>
          <c:order val="1"/>
          <c:tx>
            <c:strRef>
              <c:f>Sheet1!$C$3</c:f>
              <c:strCache>
                <c:ptCount val="1"/>
                <c:pt idx="0">
                  <c:v>Sum of CustomerID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Sheet1!$A$4:$A$5</c:f>
              <c:strCache>
                <c:ptCount val="2"/>
                <c:pt idx="0">
                  <c:v>Others</c:v>
                </c:pt>
                <c:pt idx="1">
                  <c:v>Top Customers</c:v>
                </c:pt>
              </c:strCache>
            </c:strRef>
          </c:cat>
          <c:val>
            <c:numRef>
              <c:f>Sheet1!$C$4:$C$5</c:f>
              <c:numCache>
                <c:formatCode>0.00</c:formatCode>
                <c:ptCount val="2"/>
                <c:pt idx="0">
                  <c:v>308983</c:v>
                </c:pt>
                <c:pt idx="1">
                  <c:v>463665</c:v>
                </c:pt>
              </c:numCache>
            </c:numRef>
          </c:val>
          <c:extLst>
            <c:ext xmlns:c16="http://schemas.microsoft.com/office/drawing/2014/chart" uri="{C3380CC4-5D6E-409C-BE32-E72D297353CC}">
              <c16:uniqueId val="{00000001-FEA8-4BBF-ACB8-632294E9E82B}"/>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Loyalty vs.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Sheet5!$A$4:$A$5</c:f>
              <c:strCache>
                <c:ptCount val="2"/>
                <c:pt idx="0">
                  <c:v>New</c:v>
                </c:pt>
                <c:pt idx="1">
                  <c:v>Repeat</c:v>
                </c:pt>
              </c:strCache>
            </c:strRef>
          </c:cat>
          <c:val>
            <c:numRef>
              <c:f>Sheet5!$B$4:$B$5</c:f>
              <c:numCache>
                <c:formatCode>General</c:formatCode>
                <c:ptCount val="2"/>
                <c:pt idx="0">
                  <c:v>77204</c:v>
                </c:pt>
                <c:pt idx="1">
                  <c:v>7569687</c:v>
                </c:pt>
              </c:numCache>
            </c:numRef>
          </c:val>
          <c:extLst>
            <c:ext xmlns:c16="http://schemas.microsoft.com/office/drawing/2014/chart" uri="{C3380CC4-5D6E-409C-BE32-E72D297353CC}">
              <c16:uniqueId val="{00000000-572E-4C06-AB32-DC4236653A50}"/>
            </c:ext>
          </c:extLst>
        </c:ser>
        <c:dLbls>
          <c:showLegendKey val="0"/>
          <c:showVal val="0"/>
          <c:showCatName val="0"/>
          <c:showSerName val="0"/>
          <c:showPercent val="0"/>
          <c:showBubbleSize val="0"/>
        </c:dLbls>
        <c:gapWidth val="219"/>
        <c:overlap val="-27"/>
        <c:axId val="1003294896"/>
        <c:axId val="1003296336"/>
      </c:barChart>
      <c:catAx>
        <c:axId val="100329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Old Vs New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96336"/>
        <c:crosses val="autoZero"/>
        <c:auto val="1"/>
        <c:lblAlgn val="ctr"/>
        <c:lblOffset val="100"/>
        <c:noMultiLvlLbl val="0"/>
      </c:catAx>
      <c:valAx>
        <c:axId val="1003296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9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[customer_analysis_dataset.xlsx]Sheet6!PivotTable3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759405074366"/>
          <c:y val="0.29106262758821816"/>
          <c:w val="0.68391863517060369"/>
          <c:h val="0.50415609507144943"/>
        </c:manualLayout>
      </c:layout>
      <c:lineChart>
        <c:grouping val="standard"/>
        <c:varyColors val="0"/>
        <c:ser>
          <c:idx val="0"/>
          <c:order val="0"/>
          <c:tx>
            <c:strRef>
              <c:f>Sheet6!$B$3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Sheet6!$A$4:$A$598</c:f>
              <c:strCache>
                <c:ptCount val="594"/>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1053</c:v>
                </c:pt>
                <c:pt idx="52">
                  <c:v>1054</c:v>
                </c:pt>
                <c:pt idx="53">
                  <c:v>1055</c:v>
                </c:pt>
                <c:pt idx="54">
                  <c:v>1056</c:v>
                </c:pt>
                <c:pt idx="55">
                  <c:v>1057</c:v>
                </c:pt>
                <c:pt idx="56">
                  <c:v>1058</c:v>
                </c:pt>
                <c:pt idx="57">
                  <c:v>1059</c:v>
                </c:pt>
                <c:pt idx="58">
                  <c:v>1060</c:v>
                </c:pt>
                <c:pt idx="59">
                  <c:v>1061</c:v>
                </c:pt>
                <c:pt idx="60">
                  <c:v>1062</c:v>
                </c:pt>
                <c:pt idx="61">
                  <c:v>1063</c:v>
                </c:pt>
                <c:pt idx="62">
                  <c:v>1064</c:v>
                </c:pt>
                <c:pt idx="63">
                  <c:v>1065</c:v>
                </c:pt>
                <c:pt idx="64">
                  <c:v>1066</c:v>
                </c:pt>
                <c:pt idx="65">
                  <c:v>1067</c:v>
                </c:pt>
                <c:pt idx="66">
                  <c:v>1068</c:v>
                </c:pt>
                <c:pt idx="67">
                  <c:v>1069</c:v>
                </c:pt>
                <c:pt idx="68">
                  <c:v>1070</c:v>
                </c:pt>
                <c:pt idx="69">
                  <c:v>1072</c:v>
                </c:pt>
                <c:pt idx="70">
                  <c:v>1073</c:v>
                </c:pt>
                <c:pt idx="71">
                  <c:v>1074</c:v>
                </c:pt>
                <c:pt idx="72">
                  <c:v>1075</c:v>
                </c:pt>
                <c:pt idx="73">
                  <c:v>1076</c:v>
                </c:pt>
                <c:pt idx="74">
                  <c:v>1077</c:v>
                </c:pt>
                <c:pt idx="75">
                  <c:v>1078</c:v>
                </c:pt>
                <c:pt idx="76">
                  <c:v>1079</c:v>
                </c:pt>
                <c:pt idx="77">
                  <c:v>1080</c:v>
                </c:pt>
                <c:pt idx="78">
                  <c:v>1081</c:v>
                </c:pt>
                <c:pt idx="79">
                  <c:v>1082</c:v>
                </c:pt>
                <c:pt idx="80">
                  <c:v>1083</c:v>
                </c:pt>
                <c:pt idx="81">
                  <c:v>1084</c:v>
                </c:pt>
                <c:pt idx="82">
                  <c:v>1085</c:v>
                </c:pt>
                <c:pt idx="83">
                  <c:v>1086</c:v>
                </c:pt>
                <c:pt idx="84">
                  <c:v>1087</c:v>
                </c:pt>
                <c:pt idx="85">
                  <c:v>1088</c:v>
                </c:pt>
                <c:pt idx="86">
                  <c:v>1089</c:v>
                </c:pt>
                <c:pt idx="87">
                  <c:v>1090</c:v>
                </c:pt>
                <c:pt idx="88">
                  <c:v>1091</c:v>
                </c:pt>
                <c:pt idx="89">
                  <c:v>1092</c:v>
                </c:pt>
                <c:pt idx="90">
                  <c:v>1093</c:v>
                </c:pt>
                <c:pt idx="91">
                  <c:v>1094</c:v>
                </c:pt>
                <c:pt idx="92">
                  <c:v>1095</c:v>
                </c:pt>
                <c:pt idx="93">
                  <c:v>1096</c:v>
                </c:pt>
                <c:pt idx="94">
                  <c:v>1097</c:v>
                </c:pt>
                <c:pt idx="95">
                  <c:v>1098</c:v>
                </c:pt>
                <c:pt idx="96">
                  <c:v>1099</c:v>
                </c:pt>
                <c:pt idx="97">
                  <c:v>1100</c:v>
                </c:pt>
                <c:pt idx="98">
                  <c:v>1101</c:v>
                </c:pt>
                <c:pt idx="99">
                  <c:v>1102</c:v>
                </c:pt>
                <c:pt idx="100">
                  <c:v>1103</c:v>
                </c:pt>
                <c:pt idx="101">
                  <c:v>1104</c:v>
                </c:pt>
                <c:pt idx="102">
                  <c:v>1105</c:v>
                </c:pt>
                <c:pt idx="103">
                  <c:v>1106</c:v>
                </c:pt>
                <c:pt idx="104">
                  <c:v>1107</c:v>
                </c:pt>
                <c:pt idx="105">
                  <c:v>1108</c:v>
                </c:pt>
                <c:pt idx="106">
                  <c:v>1109</c:v>
                </c:pt>
                <c:pt idx="107">
                  <c:v>1110</c:v>
                </c:pt>
                <c:pt idx="108">
                  <c:v>1111</c:v>
                </c:pt>
                <c:pt idx="109">
                  <c:v>1112</c:v>
                </c:pt>
                <c:pt idx="110">
                  <c:v>1113</c:v>
                </c:pt>
                <c:pt idx="111">
                  <c:v>1114</c:v>
                </c:pt>
                <c:pt idx="112">
                  <c:v>1115</c:v>
                </c:pt>
                <c:pt idx="113">
                  <c:v>1116</c:v>
                </c:pt>
                <c:pt idx="114">
                  <c:v>1117</c:v>
                </c:pt>
                <c:pt idx="115">
                  <c:v>1118</c:v>
                </c:pt>
                <c:pt idx="116">
                  <c:v>1119</c:v>
                </c:pt>
                <c:pt idx="117">
                  <c:v>1120</c:v>
                </c:pt>
                <c:pt idx="118">
                  <c:v>1121</c:v>
                </c:pt>
                <c:pt idx="119">
                  <c:v>1122</c:v>
                </c:pt>
                <c:pt idx="120">
                  <c:v>1123</c:v>
                </c:pt>
                <c:pt idx="121">
                  <c:v>1124</c:v>
                </c:pt>
                <c:pt idx="122">
                  <c:v>1125</c:v>
                </c:pt>
                <c:pt idx="123">
                  <c:v>1126</c:v>
                </c:pt>
                <c:pt idx="124">
                  <c:v>1127</c:v>
                </c:pt>
                <c:pt idx="125">
                  <c:v>1128</c:v>
                </c:pt>
                <c:pt idx="126">
                  <c:v>1129</c:v>
                </c:pt>
                <c:pt idx="127">
                  <c:v>1130</c:v>
                </c:pt>
                <c:pt idx="128">
                  <c:v>1131</c:v>
                </c:pt>
                <c:pt idx="129">
                  <c:v>1132</c:v>
                </c:pt>
                <c:pt idx="130">
                  <c:v>1133</c:v>
                </c:pt>
                <c:pt idx="131">
                  <c:v>1134</c:v>
                </c:pt>
                <c:pt idx="132">
                  <c:v>1135</c:v>
                </c:pt>
                <c:pt idx="133">
                  <c:v>1136</c:v>
                </c:pt>
                <c:pt idx="134">
                  <c:v>1137</c:v>
                </c:pt>
                <c:pt idx="135">
                  <c:v>1138</c:v>
                </c:pt>
                <c:pt idx="136">
                  <c:v>1139</c:v>
                </c:pt>
                <c:pt idx="137">
                  <c:v>1140</c:v>
                </c:pt>
                <c:pt idx="138">
                  <c:v>1141</c:v>
                </c:pt>
                <c:pt idx="139">
                  <c:v>1142</c:v>
                </c:pt>
                <c:pt idx="140">
                  <c:v>1143</c:v>
                </c:pt>
                <c:pt idx="141">
                  <c:v>1144</c:v>
                </c:pt>
                <c:pt idx="142">
                  <c:v>1145</c:v>
                </c:pt>
                <c:pt idx="143">
                  <c:v>1146</c:v>
                </c:pt>
                <c:pt idx="144">
                  <c:v>1147</c:v>
                </c:pt>
                <c:pt idx="145">
                  <c:v>1148</c:v>
                </c:pt>
                <c:pt idx="146">
                  <c:v>1149</c:v>
                </c:pt>
                <c:pt idx="147">
                  <c:v>1150</c:v>
                </c:pt>
                <c:pt idx="148">
                  <c:v>1151</c:v>
                </c:pt>
                <c:pt idx="149">
                  <c:v>1152</c:v>
                </c:pt>
                <c:pt idx="150">
                  <c:v>1153</c:v>
                </c:pt>
                <c:pt idx="151">
                  <c:v>1154</c:v>
                </c:pt>
                <c:pt idx="152">
                  <c:v>1155</c:v>
                </c:pt>
                <c:pt idx="153">
                  <c:v>1156</c:v>
                </c:pt>
                <c:pt idx="154">
                  <c:v>1157</c:v>
                </c:pt>
                <c:pt idx="155">
                  <c:v>1158</c:v>
                </c:pt>
                <c:pt idx="156">
                  <c:v>1159</c:v>
                </c:pt>
                <c:pt idx="157">
                  <c:v>1160</c:v>
                </c:pt>
                <c:pt idx="158">
                  <c:v>1161</c:v>
                </c:pt>
                <c:pt idx="159">
                  <c:v>1162</c:v>
                </c:pt>
                <c:pt idx="160">
                  <c:v>1163</c:v>
                </c:pt>
                <c:pt idx="161">
                  <c:v>1164</c:v>
                </c:pt>
                <c:pt idx="162">
                  <c:v>1165</c:v>
                </c:pt>
                <c:pt idx="163">
                  <c:v>1166</c:v>
                </c:pt>
                <c:pt idx="164">
                  <c:v>1167</c:v>
                </c:pt>
                <c:pt idx="165">
                  <c:v>1168</c:v>
                </c:pt>
                <c:pt idx="166">
                  <c:v>1169</c:v>
                </c:pt>
                <c:pt idx="167">
                  <c:v>1170</c:v>
                </c:pt>
                <c:pt idx="168">
                  <c:v>1171</c:v>
                </c:pt>
                <c:pt idx="169">
                  <c:v>1172</c:v>
                </c:pt>
                <c:pt idx="170">
                  <c:v>1173</c:v>
                </c:pt>
                <c:pt idx="171">
                  <c:v>1174</c:v>
                </c:pt>
                <c:pt idx="172">
                  <c:v>1175</c:v>
                </c:pt>
                <c:pt idx="173">
                  <c:v>1176</c:v>
                </c:pt>
                <c:pt idx="174">
                  <c:v>1177</c:v>
                </c:pt>
                <c:pt idx="175">
                  <c:v>1178</c:v>
                </c:pt>
                <c:pt idx="176">
                  <c:v>1179</c:v>
                </c:pt>
                <c:pt idx="177">
                  <c:v>1180</c:v>
                </c:pt>
                <c:pt idx="178">
                  <c:v>1181</c:v>
                </c:pt>
                <c:pt idx="179">
                  <c:v>1182</c:v>
                </c:pt>
                <c:pt idx="180">
                  <c:v>1183</c:v>
                </c:pt>
                <c:pt idx="181">
                  <c:v>1184</c:v>
                </c:pt>
                <c:pt idx="182">
                  <c:v>1185</c:v>
                </c:pt>
                <c:pt idx="183">
                  <c:v>1186</c:v>
                </c:pt>
                <c:pt idx="184">
                  <c:v>1187</c:v>
                </c:pt>
                <c:pt idx="185">
                  <c:v>1188</c:v>
                </c:pt>
                <c:pt idx="186">
                  <c:v>1189</c:v>
                </c:pt>
                <c:pt idx="187">
                  <c:v>1190</c:v>
                </c:pt>
                <c:pt idx="188">
                  <c:v>1191</c:v>
                </c:pt>
                <c:pt idx="189">
                  <c:v>1192</c:v>
                </c:pt>
                <c:pt idx="190">
                  <c:v>1193</c:v>
                </c:pt>
                <c:pt idx="191">
                  <c:v>1194</c:v>
                </c:pt>
                <c:pt idx="192">
                  <c:v>1195</c:v>
                </c:pt>
                <c:pt idx="193">
                  <c:v>1196</c:v>
                </c:pt>
                <c:pt idx="194">
                  <c:v>1198</c:v>
                </c:pt>
                <c:pt idx="195">
                  <c:v>1199</c:v>
                </c:pt>
                <c:pt idx="196">
                  <c:v>1200</c:v>
                </c:pt>
                <c:pt idx="197">
                  <c:v>1201</c:v>
                </c:pt>
                <c:pt idx="198">
                  <c:v>1202</c:v>
                </c:pt>
                <c:pt idx="199">
                  <c:v>1203</c:v>
                </c:pt>
                <c:pt idx="200">
                  <c:v>1204</c:v>
                </c:pt>
                <c:pt idx="201">
                  <c:v>1205</c:v>
                </c:pt>
                <c:pt idx="202">
                  <c:v>1206</c:v>
                </c:pt>
                <c:pt idx="203">
                  <c:v>1207</c:v>
                </c:pt>
                <c:pt idx="204">
                  <c:v>1208</c:v>
                </c:pt>
                <c:pt idx="205">
                  <c:v>1209</c:v>
                </c:pt>
                <c:pt idx="206">
                  <c:v>1210</c:v>
                </c:pt>
                <c:pt idx="207">
                  <c:v>1211</c:v>
                </c:pt>
                <c:pt idx="208">
                  <c:v>1212</c:v>
                </c:pt>
                <c:pt idx="209">
                  <c:v>1213</c:v>
                </c:pt>
                <c:pt idx="210">
                  <c:v>1214</c:v>
                </c:pt>
                <c:pt idx="211">
                  <c:v>1215</c:v>
                </c:pt>
                <c:pt idx="212">
                  <c:v>1216</c:v>
                </c:pt>
                <c:pt idx="213">
                  <c:v>1217</c:v>
                </c:pt>
                <c:pt idx="214">
                  <c:v>1218</c:v>
                </c:pt>
                <c:pt idx="215">
                  <c:v>1219</c:v>
                </c:pt>
                <c:pt idx="216">
                  <c:v>1220</c:v>
                </c:pt>
                <c:pt idx="217">
                  <c:v>1221</c:v>
                </c:pt>
                <c:pt idx="218">
                  <c:v>1222</c:v>
                </c:pt>
                <c:pt idx="219">
                  <c:v>1223</c:v>
                </c:pt>
                <c:pt idx="220">
                  <c:v>1224</c:v>
                </c:pt>
                <c:pt idx="221">
                  <c:v>1225</c:v>
                </c:pt>
                <c:pt idx="222">
                  <c:v>1226</c:v>
                </c:pt>
                <c:pt idx="223">
                  <c:v>1227</c:v>
                </c:pt>
                <c:pt idx="224">
                  <c:v>1228</c:v>
                </c:pt>
                <c:pt idx="225">
                  <c:v>1229</c:v>
                </c:pt>
                <c:pt idx="226">
                  <c:v>1230</c:v>
                </c:pt>
                <c:pt idx="227">
                  <c:v>1231</c:v>
                </c:pt>
                <c:pt idx="228">
                  <c:v>1232</c:v>
                </c:pt>
                <c:pt idx="229">
                  <c:v>1233</c:v>
                </c:pt>
                <c:pt idx="230">
                  <c:v>1234</c:v>
                </c:pt>
                <c:pt idx="231">
                  <c:v>1235</c:v>
                </c:pt>
                <c:pt idx="232">
                  <c:v>1236</c:v>
                </c:pt>
                <c:pt idx="233">
                  <c:v>1237</c:v>
                </c:pt>
                <c:pt idx="234">
                  <c:v>1238</c:v>
                </c:pt>
                <c:pt idx="235">
                  <c:v>1239</c:v>
                </c:pt>
                <c:pt idx="236">
                  <c:v>1240</c:v>
                </c:pt>
                <c:pt idx="237">
                  <c:v>1241</c:v>
                </c:pt>
                <c:pt idx="238">
                  <c:v>1242</c:v>
                </c:pt>
                <c:pt idx="239">
                  <c:v>1243</c:v>
                </c:pt>
                <c:pt idx="240">
                  <c:v>1244</c:v>
                </c:pt>
                <c:pt idx="241">
                  <c:v>1245</c:v>
                </c:pt>
                <c:pt idx="242">
                  <c:v>1246</c:v>
                </c:pt>
                <c:pt idx="243">
                  <c:v>1247</c:v>
                </c:pt>
                <c:pt idx="244">
                  <c:v>1248</c:v>
                </c:pt>
                <c:pt idx="245">
                  <c:v>1249</c:v>
                </c:pt>
                <c:pt idx="246">
                  <c:v>1250</c:v>
                </c:pt>
                <c:pt idx="247">
                  <c:v>1251</c:v>
                </c:pt>
                <c:pt idx="248">
                  <c:v>1252</c:v>
                </c:pt>
                <c:pt idx="249">
                  <c:v>1253</c:v>
                </c:pt>
                <c:pt idx="250">
                  <c:v>1254</c:v>
                </c:pt>
                <c:pt idx="251">
                  <c:v>1255</c:v>
                </c:pt>
                <c:pt idx="252">
                  <c:v>1256</c:v>
                </c:pt>
                <c:pt idx="253">
                  <c:v>1257</c:v>
                </c:pt>
                <c:pt idx="254">
                  <c:v>1258</c:v>
                </c:pt>
                <c:pt idx="255">
                  <c:v>1259</c:v>
                </c:pt>
                <c:pt idx="256">
                  <c:v>1260</c:v>
                </c:pt>
                <c:pt idx="257">
                  <c:v>1261</c:v>
                </c:pt>
                <c:pt idx="258">
                  <c:v>1262</c:v>
                </c:pt>
                <c:pt idx="259">
                  <c:v>1263</c:v>
                </c:pt>
                <c:pt idx="260">
                  <c:v>1264</c:v>
                </c:pt>
                <c:pt idx="261">
                  <c:v>1265</c:v>
                </c:pt>
                <c:pt idx="262">
                  <c:v>1266</c:v>
                </c:pt>
                <c:pt idx="263">
                  <c:v>1267</c:v>
                </c:pt>
                <c:pt idx="264">
                  <c:v>1268</c:v>
                </c:pt>
                <c:pt idx="265">
                  <c:v>1269</c:v>
                </c:pt>
                <c:pt idx="266">
                  <c:v>1270</c:v>
                </c:pt>
                <c:pt idx="267">
                  <c:v>1271</c:v>
                </c:pt>
                <c:pt idx="268">
                  <c:v>1272</c:v>
                </c:pt>
                <c:pt idx="269">
                  <c:v>1273</c:v>
                </c:pt>
                <c:pt idx="270">
                  <c:v>1274</c:v>
                </c:pt>
                <c:pt idx="271">
                  <c:v>1275</c:v>
                </c:pt>
                <c:pt idx="272">
                  <c:v>1276</c:v>
                </c:pt>
                <c:pt idx="273">
                  <c:v>1277</c:v>
                </c:pt>
                <c:pt idx="274">
                  <c:v>1278</c:v>
                </c:pt>
                <c:pt idx="275">
                  <c:v>1279</c:v>
                </c:pt>
                <c:pt idx="276">
                  <c:v>1280</c:v>
                </c:pt>
                <c:pt idx="277">
                  <c:v>1281</c:v>
                </c:pt>
                <c:pt idx="278">
                  <c:v>1282</c:v>
                </c:pt>
                <c:pt idx="279">
                  <c:v>1283</c:v>
                </c:pt>
                <c:pt idx="280">
                  <c:v>1284</c:v>
                </c:pt>
                <c:pt idx="281">
                  <c:v>1285</c:v>
                </c:pt>
                <c:pt idx="282">
                  <c:v>1286</c:v>
                </c:pt>
                <c:pt idx="283">
                  <c:v>1287</c:v>
                </c:pt>
                <c:pt idx="284">
                  <c:v>1288</c:v>
                </c:pt>
                <c:pt idx="285">
                  <c:v>1289</c:v>
                </c:pt>
                <c:pt idx="286">
                  <c:v>1290</c:v>
                </c:pt>
                <c:pt idx="287">
                  <c:v>1291</c:v>
                </c:pt>
                <c:pt idx="288">
                  <c:v>1292</c:v>
                </c:pt>
                <c:pt idx="289">
                  <c:v>1293</c:v>
                </c:pt>
                <c:pt idx="290">
                  <c:v>1294</c:v>
                </c:pt>
                <c:pt idx="291">
                  <c:v>1295</c:v>
                </c:pt>
                <c:pt idx="292">
                  <c:v>1296</c:v>
                </c:pt>
                <c:pt idx="293">
                  <c:v>1297</c:v>
                </c:pt>
                <c:pt idx="294">
                  <c:v>1298</c:v>
                </c:pt>
                <c:pt idx="295">
                  <c:v>1300</c:v>
                </c:pt>
                <c:pt idx="296">
                  <c:v>1301</c:v>
                </c:pt>
                <c:pt idx="297">
                  <c:v>1302</c:v>
                </c:pt>
                <c:pt idx="298">
                  <c:v>1303</c:v>
                </c:pt>
                <c:pt idx="299">
                  <c:v>1304</c:v>
                </c:pt>
                <c:pt idx="300">
                  <c:v>1305</c:v>
                </c:pt>
                <c:pt idx="301">
                  <c:v>1306</c:v>
                </c:pt>
                <c:pt idx="302">
                  <c:v>1307</c:v>
                </c:pt>
                <c:pt idx="303">
                  <c:v>1308</c:v>
                </c:pt>
                <c:pt idx="304">
                  <c:v>1309</c:v>
                </c:pt>
                <c:pt idx="305">
                  <c:v>1310</c:v>
                </c:pt>
                <c:pt idx="306">
                  <c:v>1311</c:v>
                </c:pt>
                <c:pt idx="307">
                  <c:v>1312</c:v>
                </c:pt>
                <c:pt idx="308">
                  <c:v>1313</c:v>
                </c:pt>
                <c:pt idx="309">
                  <c:v>1314</c:v>
                </c:pt>
                <c:pt idx="310">
                  <c:v>1315</c:v>
                </c:pt>
                <c:pt idx="311">
                  <c:v>1316</c:v>
                </c:pt>
                <c:pt idx="312">
                  <c:v>1317</c:v>
                </c:pt>
                <c:pt idx="313">
                  <c:v>1318</c:v>
                </c:pt>
                <c:pt idx="314">
                  <c:v>1319</c:v>
                </c:pt>
                <c:pt idx="315">
                  <c:v>1320</c:v>
                </c:pt>
                <c:pt idx="316">
                  <c:v>1321</c:v>
                </c:pt>
                <c:pt idx="317">
                  <c:v>1322</c:v>
                </c:pt>
                <c:pt idx="318">
                  <c:v>1323</c:v>
                </c:pt>
                <c:pt idx="319">
                  <c:v>1324</c:v>
                </c:pt>
                <c:pt idx="320">
                  <c:v>1325</c:v>
                </c:pt>
                <c:pt idx="321">
                  <c:v>1326</c:v>
                </c:pt>
                <c:pt idx="322">
                  <c:v>1327</c:v>
                </c:pt>
                <c:pt idx="323">
                  <c:v>1328</c:v>
                </c:pt>
                <c:pt idx="324">
                  <c:v>1329</c:v>
                </c:pt>
                <c:pt idx="325">
                  <c:v>1330</c:v>
                </c:pt>
                <c:pt idx="326">
                  <c:v>1331</c:v>
                </c:pt>
                <c:pt idx="327">
                  <c:v>1332</c:v>
                </c:pt>
                <c:pt idx="328">
                  <c:v>1333</c:v>
                </c:pt>
                <c:pt idx="329">
                  <c:v>1334</c:v>
                </c:pt>
                <c:pt idx="330">
                  <c:v>1335</c:v>
                </c:pt>
                <c:pt idx="331">
                  <c:v>1336</c:v>
                </c:pt>
                <c:pt idx="332">
                  <c:v>1337</c:v>
                </c:pt>
                <c:pt idx="333">
                  <c:v>1338</c:v>
                </c:pt>
                <c:pt idx="334">
                  <c:v>1339</c:v>
                </c:pt>
                <c:pt idx="335">
                  <c:v>1340</c:v>
                </c:pt>
                <c:pt idx="336">
                  <c:v>1341</c:v>
                </c:pt>
                <c:pt idx="337">
                  <c:v>1342</c:v>
                </c:pt>
                <c:pt idx="338">
                  <c:v>1343</c:v>
                </c:pt>
                <c:pt idx="339">
                  <c:v>1344</c:v>
                </c:pt>
                <c:pt idx="340">
                  <c:v>1345</c:v>
                </c:pt>
                <c:pt idx="341">
                  <c:v>1346</c:v>
                </c:pt>
                <c:pt idx="342">
                  <c:v>1347</c:v>
                </c:pt>
                <c:pt idx="343">
                  <c:v>1348</c:v>
                </c:pt>
                <c:pt idx="344">
                  <c:v>1349</c:v>
                </c:pt>
                <c:pt idx="345">
                  <c:v>1350</c:v>
                </c:pt>
                <c:pt idx="346">
                  <c:v>1351</c:v>
                </c:pt>
                <c:pt idx="347">
                  <c:v>1352</c:v>
                </c:pt>
                <c:pt idx="348">
                  <c:v>1353</c:v>
                </c:pt>
                <c:pt idx="349">
                  <c:v>1354</c:v>
                </c:pt>
                <c:pt idx="350">
                  <c:v>1355</c:v>
                </c:pt>
                <c:pt idx="351">
                  <c:v>1356</c:v>
                </c:pt>
                <c:pt idx="352">
                  <c:v>1357</c:v>
                </c:pt>
                <c:pt idx="353">
                  <c:v>1358</c:v>
                </c:pt>
                <c:pt idx="354">
                  <c:v>1359</c:v>
                </c:pt>
                <c:pt idx="355">
                  <c:v>1360</c:v>
                </c:pt>
                <c:pt idx="356">
                  <c:v>1361</c:v>
                </c:pt>
                <c:pt idx="357">
                  <c:v>1362</c:v>
                </c:pt>
                <c:pt idx="358">
                  <c:v>1363</c:v>
                </c:pt>
                <c:pt idx="359">
                  <c:v>1364</c:v>
                </c:pt>
                <c:pt idx="360">
                  <c:v>1365</c:v>
                </c:pt>
                <c:pt idx="361">
                  <c:v>1366</c:v>
                </c:pt>
                <c:pt idx="362">
                  <c:v>1367</c:v>
                </c:pt>
                <c:pt idx="363">
                  <c:v>1368</c:v>
                </c:pt>
                <c:pt idx="364">
                  <c:v>1369</c:v>
                </c:pt>
                <c:pt idx="365">
                  <c:v>1370</c:v>
                </c:pt>
                <c:pt idx="366">
                  <c:v>1371</c:v>
                </c:pt>
                <c:pt idx="367">
                  <c:v>1372</c:v>
                </c:pt>
                <c:pt idx="368">
                  <c:v>1373</c:v>
                </c:pt>
                <c:pt idx="369">
                  <c:v>1374</c:v>
                </c:pt>
                <c:pt idx="370">
                  <c:v>1375</c:v>
                </c:pt>
                <c:pt idx="371">
                  <c:v>1376</c:v>
                </c:pt>
                <c:pt idx="372">
                  <c:v>1377</c:v>
                </c:pt>
                <c:pt idx="373">
                  <c:v>1378</c:v>
                </c:pt>
                <c:pt idx="374">
                  <c:v>1379</c:v>
                </c:pt>
                <c:pt idx="375">
                  <c:v>1380</c:v>
                </c:pt>
                <c:pt idx="376">
                  <c:v>1381</c:v>
                </c:pt>
                <c:pt idx="377">
                  <c:v>1382</c:v>
                </c:pt>
                <c:pt idx="378">
                  <c:v>1383</c:v>
                </c:pt>
                <c:pt idx="379">
                  <c:v>1384</c:v>
                </c:pt>
                <c:pt idx="380">
                  <c:v>1385</c:v>
                </c:pt>
                <c:pt idx="381">
                  <c:v>1386</c:v>
                </c:pt>
                <c:pt idx="382">
                  <c:v>1387</c:v>
                </c:pt>
                <c:pt idx="383">
                  <c:v>1388</c:v>
                </c:pt>
                <c:pt idx="384">
                  <c:v>1389</c:v>
                </c:pt>
                <c:pt idx="385">
                  <c:v>1390</c:v>
                </c:pt>
                <c:pt idx="386">
                  <c:v>1391</c:v>
                </c:pt>
                <c:pt idx="387">
                  <c:v>1392</c:v>
                </c:pt>
                <c:pt idx="388">
                  <c:v>1393</c:v>
                </c:pt>
                <c:pt idx="389">
                  <c:v>1394</c:v>
                </c:pt>
                <c:pt idx="390">
                  <c:v>1395</c:v>
                </c:pt>
                <c:pt idx="391">
                  <c:v>1396</c:v>
                </c:pt>
                <c:pt idx="392">
                  <c:v>1397</c:v>
                </c:pt>
                <c:pt idx="393">
                  <c:v>1398</c:v>
                </c:pt>
                <c:pt idx="394">
                  <c:v>1399</c:v>
                </c:pt>
                <c:pt idx="395">
                  <c:v>1400</c:v>
                </c:pt>
                <c:pt idx="396">
                  <c:v>1401</c:v>
                </c:pt>
                <c:pt idx="397">
                  <c:v>1402</c:v>
                </c:pt>
                <c:pt idx="398">
                  <c:v>1403</c:v>
                </c:pt>
                <c:pt idx="399">
                  <c:v>1404</c:v>
                </c:pt>
                <c:pt idx="400">
                  <c:v>1405</c:v>
                </c:pt>
                <c:pt idx="401">
                  <c:v>1406</c:v>
                </c:pt>
                <c:pt idx="402">
                  <c:v>1407</c:v>
                </c:pt>
                <c:pt idx="403">
                  <c:v>1408</c:v>
                </c:pt>
                <c:pt idx="404">
                  <c:v>1409</c:v>
                </c:pt>
                <c:pt idx="405">
                  <c:v>1410</c:v>
                </c:pt>
                <c:pt idx="406">
                  <c:v>1411</c:v>
                </c:pt>
                <c:pt idx="407">
                  <c:v>1412</c:v>
                </c:pt>
                <c:pt idx="408">
                  <c:v>1413</c:v>
                </c:pt>
                <c:pt idx="409">
                  <c:v>1414</c:v>
                </c:pt>
                <c:pt idx="410">
                  <c:v>1415</c:v>
                </c:pt>
                <c:pt idx="411">
                  <c:v>1416</c:v>
                </c:pt>
                <c:pt idx="412">
                  <c:v>1417</c:v>
                </c:pt>
                <c:pt idx="413">
                  <c:v>1418</c:v>
                </c:pt>
                <c:pt idx="414">
                  <c:v>1419</c:v>
                </c:pt>
                <c:pt idx="415">
                  <c:v>1420</c:v>
                </c:pt>
                <c:pt idx="416">
                  <c:v>1421</c:v>
                </c:pt>
                <c:pt idx="417">
                  <c:v>1422</c:v>
                </c:pt>
                <c:pt idx="418">
                  <c:v>1423</c:v>
                </c:pt>
                <c:pt idx="419">
                  <c:v>1424</c:v>
                </c:pt>
                <c:pt idx="420">
                  <c:v>1425</c:v>
                </c:pt>
                <c:pt idx="421">
                  <c:v>1426</c:v>
                </c:pt>
                <c:pt idx="422">
                  <c:v>1427</c:v>
                </c:pt>
                <c:pt idx="423">
                  <c:v>1428</c:v>
                </c:pt>
                <c:pt idx="424">
                  <c:v>1429</c:v>
                </c:pt>
                <c:pt idx="425">
                  <c:v>1430</c:v>
                </c:pt>
                <c:pt idx="426">
                  <c:v>1431</c:v>
                </c:pt>
                <c:pt idx="427">
                  <c:v>1432</c:v>
                </c:pt>
                <c:pt idx="428">
                  <c:v>1434</c:v>
                </c:pt>
                <c:pt idx="429">
                  <c:v>1435</c:v>
                </c:pt>
                <c:pt idx="430">
                  <c:v>1436</c:v>
                </c:pt>
                <c:pt idx="431">
                  <c:v>1437</c:v>
                </c:pt>
                <c:pt idx="432">
                  <c:v>1438</c:v>
                </c:pt>
                <c:pt idx="433">
                  <c:v>1439</c:v>
                </c:pt>
                <c:pt idx="434">
                  <c:v>1440</c:v>
                </c:pt>
                <c:pt idx="435">
                  <c:v>1441</c:v>
                </c:pt>
                <c:pt idx="436">
                  <c:v>1442</c:v>
                </c:pt>
                <c:pt idx="437">
                  <c:v>1443</c:v>
                </c:pt>
                <c:pt idx="438">
                  <c:v>1444</c:v>
                </c:pt>
                <c:pt idx="439">
                  <c:v>1445</c:v>
                </c:pt>
                <c:pt idx="440">
                  <c:v>1446</c:v>
                </c:pt>
                <c:pt idx="441">
                  <c:v>1447</c:v>
                </c:pt>
                <c:pt idx="442">
                  <c:v>1448</c:v>
                </c:pt>
                <c:pt idx="443">
                  <c:v>1449</c:v>
                </c:pt>
                <c:pt idx="444">
                  <c:v>1450</c:v>
                </c:pt>
                <c:pt idx="445">
                  <c:v>1451</c:v>
                </c:pt>
                <c:pt idx="446">
                  <c:v>1452</c:v>
                </c:pt>
                <c:pt idx="447">
                  <c:v>1453</c:v>
                </c:pt>
                <c:pt idx="448">
                  <c:v>1454</c:v>
                </c:pt>
                <c:pt idx="449">
                  <c:v>1455</c:v>
                </c:pt>
                <c:pt idx="450">
                  <c:v>1456</c:v>
                </c:pt>
                <c:pt idx="451">
                  <c:v>1457</c:v>
                </c:pt>
                <c:pt idx="452">
                  <c:v>1458</c:v>
                </c:pt>
                <c:pt idx="453">
                  <c:v>1459</c:v>
                </c:pt>
                <c:pt idx="454">
                  <c:v>1460</c:v>
                </c:pt>
                <c:pt idx="455">
                  <c:v>1461</c:v>
                </c:pt>
                <c:pt idx="456">
                  <c:v>1462</c:v>
                </c:pt>
                <c:pt idx="457">
                  <c:v>1463</c:v>
                </c:pt>
                <c:pt idx="458">
                  <c:v>1464</c:v>
                </c:pt>
                <c:pt idx="459">
                  <c:v>1465</c:v>
                </c:pt>
                <c:pt idx="460">
                  <c:v>1466</c:v>
                </c:pt>
                <c:pt idx="461">
                  <c:v>1467</c:v>
                </c:pt>
                <c:pt idx="462">
                  <c:v>1468</c:v>
                </c:pt>
                <c:pt idx="463">
                  <c:v>1469</c:v>
                </c:pt>
                <c:pt idx="464">
                  <c:v>1470</c:v>
                </c:pt>
                <c:pt idx="465">
                  <c:v>1471</c:v>
                </c:pt>
                <c:pt idx="466">
                  <c:v>1472</c:v>
                </c:pt>
                <c:pt idx="467">
                  <c:v>1473</c:v>
                </c:pt>
                <c:pt idx="468">
                  <c:v>1474</c:v>
                </c:pt>
                <c:pt idx="469">
                  <c:v>1475</c:v>
                </c:pt>
                <c:pt idx="470">
                  <c:v>1476</c:v>
                </c:pt>
                <c:pt idx="471">
                  <c:v>1477</c:v>
                </c:pt>
                <c:pt idx="472">
                  <c:v>1478</c:v>
                </c:pt>
                <c:pt idx="473">
                  <c:v>1479</c:v>
                </c:pt>
                <c:pt idx="474">
                  <c:v>1480</c:v>
                </c:pt>
                <c:pt idx="475">
                  <c:v>1481</c:v>
                </c:pt>
                <c:pt idx="476">
                  <c:v>1482</c:v>
                </c:pt>
                <c:pt idx="477">
                  <c:v>1483</c:v>
                </c:pt>
                <c:pt idx="478">
                  <c:v>1484</c:v>
                </c:pt>
                <c:pt idx="479">
                  <c:v>1485</c:v>
                </c:pt>
                <c:pt idx="480">
                  <c:v>1486</c:v>
                </c:pt>
                <c:pt idx="481">
                  <c:v>1487</c:v>
                </c:pt>
                <c:pt idx="482">
                  <c:v>1488</c:v>
                </c:pt>
                <c:pt idx="483">
                  <c:v>1489</c:v>
                </c:pt>
                <c:pt idx="484">
                  <c:v>1490</c:v>
                </c:pt>
                <c:pt idx="485">
                  <c:v>1491</c:v>
                </c:pt>
                <c:pt idx="486">
                  <c:v>1492</c:v>
                </c:pt>
                <c:pt idx="487">
                  <c:v>1493</c:v>
                </c:pt>
                <c:pt idx="488">
                  <c:v>1494</c:v>
                </c:pt>
                <c:pt idx="489">
                  <c:v>1495</c:v>
                </c:pt>
                <c:pt idx="490">
                  <c:v>1496</c:v>
                </c:pt>
                <c:pt idx="491">
                  <c:v>1497</c:v>
                </c:pt>
                <c:pt idx="492">
                  <c:v>1498</c:v>
                </c:pt>
                <c:pt idx="493">
                  <c:v>1499</c:v>
                </c:pt>
                <c:pt idx="494">
                  <c:v>1500</c:v>
                </c:pt>
                <c:pt idx="495">
                  <c:v>1501</c:v>
                </c:pt>
                <c:pt idx="496">
                  <c:v>1502</c:v>
                </c:pt>
                <c:pt idx="497">
                  <c:v>1503</c:v>
                </c:pt>
                <c:pt idx="498">
                  <c:v>1504</c:v>
                </c:pt>
                <c:pt idx="499">
                  <c:v>1505</c:v>
                </c:pt>
                <c:pt idx="500">
                  <c:v>1506</c:v>
                </c:pt>
                <c:pt idx="501">
                  <c:v>1507</c:v>
                </c:pt>
                <c:pt idx="502">
                  <c:v>1508</c:v>
                </c:pt>
                <c:pt idx="503">
                  <c:v>1509</c:v>
                </c:pt>
                <c:pt idx="504">
                  <c:v>1510</c:v>
                </c:pt>
                <c:pt idx="505">
                  <c:v>1511</c:v>
                </c:pt>
                <c:pt idx="506">
                  <c:v>1512</c:v>
                </c:pt>
                <c:pt idx="507">
                  <c:v>1513</c:v>
                </c:pt>
                <c:pt idx="508">
                  <c:v>1514</c:v>
                </c:pt>
                <c:pt idx="509">
                  <c:v>1515</c:v>
                </c:pt>
                <c:pt idx="510">
                  <c:v>1516</c:v>
                </c:pt>
                <c:pt idx="511">
                  <c:v>1517</c:v>
                </c:pt>
                <c:pt idx="512">
                  <c:v>1518</c:v>
                </c:pt>
                <c:pt idx="513">
                  <c:v>1519</c:v>
                </c:pt>
                <c:pt idx="514">
                  <c:v>1520</c:v>
                </c:pt>
                <c:pt idx="515">
                  <c:v>1521</c:v>
                </c:pt>
                <c:pt idx="516">
                  <c:v>1522</c:v>
                </c:pt>
                <c:pt idx="517">
                  <c:v>1523</c:v>
                </c:pt>
                <c:pt idx="518">
                  <c:v>1524</c:v>
                </c:pt>
                <c:pt idx="519">
                  <c:v>1525</c:v>
                </c:pt>
                <c:pt idx="520">
                  <c:v>1526</c:v>
                </c:pt>
                <c:pt idx="521">
                  <c:v>1527</c:v>
                </c:pt>
                <c:pt idx="522">
                  <c:v>1528</c:v>
                </c:pt>
                <c:pt idx="523">
                  <c:v>1529</c:v>
                </c:pt>
                <c:pt idx="524">
                  <c:v>1530</c:v>
                </c:pt>
                <c:pt idx="525">
                  <c:v>1531</c:v>
                </c:pt>
                <c:pt idx="526">
                  <c:v>1532</c:v>
                </c:pt>
                <c:pt idx="527">
                  <c:v>1533</c:v>
                </c:pt>
                <c:pt idx="528">
                  <c:v>1534</c:v>
                </c:pt>
                <c:pt idx="529">
                  <c:v>1535</c:v>
                </c:pt>
                <c:pt idx="530">
                  <c:v>1536</c:v>
                </c:pt>
                <c:pt idx="531">
                  <c:v>1537</c:v>
                </c:pt>
                <c:pt idx="532">
                  <c:v>1538</c:v>
                </c:pt>
                <c:pt idx="533">
                  <c:v>1539</c:v>
                </c:pt>
                <c:pt idx="534">
                  <c:v>1540</c:v>
                </c:pt>
                <c:pt idx="535">
                  <c:v>1541</c:v>
                </c:pt>
                <c:pt idx="536">
                  <c:v>1542</c:v>
                </c:pt>
                <c:pt idx="537">
                  <c:v>1543</c:v>
                </c:pt>
                <c:pt idx="538">
                  <c:v>1544</c:v>
                </c:pt>
                <c:pt idx="539">
                  <c:v>1545</c:v>
                </c:pt>
                <c:pt idx="540">
                  <c:v>1546</c:v>
                </c:pt>
                <c:pt idx="541">
                  <c:v>1547</c:v>
                </c:pt>
                <c:pt idx="542">
                  <c:v>1548</c:v>
                </c:pt>
                <c:pt idx="543">
                  <c:v>1549</c:v>
                </c:pt>
                <c:pt idx="544">
                  <c:v>1550</c:v>
                </c:pt>
                <c:pt idx="545">
                  <c:v>1551</c:v>
                </c:pt>
                <c:pt idx="546">
                  <c:v>1552</c:v>
                </c:pt>
                <c:pt idx="547">
                  <c:v>1553</c:v>
                </c:pt>
                <c:pt idx="548">
                  <c:v>1554</c:v>
                </c:pt>
                <c:pt idx="549">
                  <c:v>1555</c:v>
                </c:pt>
                <c:pt idx="550">
                  <c:v>1556</c:v>
                </c:pt>
                <c:pt idx="551">
                  <c:v>1557</c:v>
                </c:pt>
                <c:pt idx="552">
                  <c:v>1558</c:v>
                </c:pt>
                <c:pt idx="553">
                  <c:v>1559</c:v>
                </c:pt>
                <c:pt idx="554">
                  <c:v>1560</c:v>
                </c:pt>
                <c:pt idx="555">
                  <c:v>1561</c:v>
                </c:pt>
                <c:pt idx="556">
                  <c:v>1562</c:v>
                </c:pt>
                <c:pt idx="557">
                  <c:v>1563</c:v>
                </c:pt>
                <c:pt idx="558">
                  <c:v>1564</c:v>
                </c:pt>
                <c:pt idx="559">
                  <c:v>1565</c:v>
                </c:pt>
                <c:pt idx="560">
                  <c:v>1566</c:v>
                </c:pt>
                <c:pt idx="561">
                  <c:v>1567</c:v>
                </c:pt>
                <c:pt idx="562">
                  <c:v>1568</c:v>
                </c:pt>
                <c:pt idx="563">
                  <c:v>1569</c:v>
                </c:pt>
                <c:pt idx="564">
                  <c:v>1570</c:v>
                </c:pt>
                <c:pt idx="565">
                  <c:v>1571</c:v>
                </c:pt>
                <c:pt idx="566">
                  <c:v>1572</c:v>
                </c:pt>
                <c:pt idx="567">
                  <c:v>1573</c:v>
                </c:pt>
                <c:pt idx="568">
                  <c:v>1574</c:v>
                </c:pt>
                <c:pt idx="569">
                  <c:v>1575</c:v>
                </c:pt>
                <c:pt idx="570">
                  <c:v>1576</c:v>
                </c:pt>
                <c:pt idx="571">
                  <c:v>1577</c:v>
                </c:pt>
                <c:pt idx="572">
                  <c:v>1578</c:v>
                </c:pt>
                <c:pt idx="573">
                  <c:v>1579</c:v>
                </c:pt>
                <c:pt idx="574">
                  <c:v>1580</c:v>
                </c:pt>
                <c:pt idx="575">
                  <c:v>1581</c:v>
                </c:pt>
                <c:pt idx="576">
                  <c:v>1582</c:v>
                </c:pt>
                <c:pt idx="577">
                  <c:v>1583</c:v>
                </c:pt>
                <c:pt idx="578">
                  <c:v>1584</c:v>
                </c:pt>
                <c:pt idx="579">
                  <c:v>1585</c:v>
                </c:pt>
                <c:pt idx="580">
                  <c:v>1586</c:v>
                </c:pt>
                <c:pt idx="581">
                  <c:v>1587</c:v>
                </c:pt>
                <c:pt idx="582">
                  <c:v>1588</c:v>
                </c:pt>
                <c:pt idx="583">
                  <c:v>1589</c:v>
                </c:pt>
                <c:pt idx="584">
                  <c:v>1590</c:v>
                </c:pt>
                <c:pt idx="585">
                  <c:v>1591</c:v>
                </c:pt>
                <c:pt idx="586">
                  <c:v>1592</c:v>
                </c:pt>
                <c:pt idx="587">
                  <c:v>1593</c:v>
                </c:pt>
                <c:pt idx="588">
                  <c:v>1594</c:v>
                </c:pt>
                <c:pt idx="589">
                  <c:v>1595</c:v>
                </c:pt>
                <c:pt idx="590">
                  <c:v>1596</c:v>
                </c:pt>
                <c:pt idx="591">
                  <c:v>1597</c:v>
                </c:pt>
                <c:pt idx="592">
                  <c:v>1598</c:v>
                </c:pt>
                <c:pt idx="593">
                  <c:v>1599</c:v>
                </c:pt>
              </c:strCache>
            </c:strRef>
          </c:cat>
          <c:val>
            <c:numRef>
              <c:f>Sheet6!$B$4:$B$598</c:f>
              <c:numCache>
                <c:formatCode>General</c:formatCode>
                <c:ptCount val="594"/>
                <c:pt idx="0">
                  <c:v>4554231</c:v>
                </c:pt>
                <c:pt idx="1">
                  <c:v>3835656</c:v>
                </c:pt>
                <c:pt idx="2">
                  <c:v>6750088</c:v>
                </c:pt>
                <c:pt idx="3">
                  <c:v>7562437</c:v>
                </c:pt>
                <c:pt idx="4">
                  <c:v>4353494</c:v>
                </c:pt>
                <c:pt idx="5">
                  <c:v>7592485</c:v>
                </c:pt>
                <c:pt idx="6">
                  <c:v>2734172</c:v>
                </c:pt>
                <c:pt idx="7">
                  <c:v>3165637</c:v>
                </c:pt>
                <c:pt idx="8">
                  <c:v>7377054</c:v>
                </c:pt>
                <c:pt idx="9">
                  <c:v>2312976</c:v>
                </c:pt>
                <c:pt idx="10">
                  <c:v>6243082</c:v>
                </c:pt>
                <c:pt idx="11">
                  <c:v>812191</c:v>
                </c:pt>
                <c:pt idx="12">
                  <c:v>4871482</c:v>
                </c:pt>
                <c:pt idx="13">
                  <c:v>2807556</c:v>
                </c:pt>
                <c:pt idx="14">
                  <c:v>5106653</c:v>
                </c:pt>
                <c:pt idx="15">
                  <c:v>7294491</c:v>
                </c:pt>
                <c:pt idx="16">
                  <c:v>2252838</c:v>
                </c:pt>
                <c:pt idx="17">
                  <c:v>7637633</c:v>
                </c:pt>
                <c:pt idx="18">
                  <c:v>2411900</c:v>
                </c:pt>
                <c:pt idx="19">
                  <c:v>2970996</c:v>
                </c:pt>
                <c:pt idx="20">
                  <c:v>4069038</c:v>
                </c:pt>
                <c:pt idx="21">
                  <c:v>1688286</c:v>
                </c:pt>
                <c:pt idx="22">
                  <c:v>1860363</c:v>
                </c:pt>
                <c:pt idx="23">
                  <c:v>7645111</c:v>
                </c:pt>
                <c:pt idx="24">
                  <c:v>5029599</c:v>
                </c:pt>
                <c:pt idx="25">
                  <c:v>6036135</c:v>
                </c:pt>
                <c:pt idx="26">
                  <c:v>5576793</c:v>
                </c:pt>
                <c:pt idx="27">
                  <c:v>4803481</c:v>
                </c:pt>
                <c:pt idx="28">
                  <c:v>2678692</c:v>
                </c:pt>
                <c:pt idx="29">
                  <c:v>6937283</c:v>
                </c:pt>
                <c:pt idx="30">
                  <c:v>7124112</c:v>
                </c:pt>
                <c:pt idx="31">
                  <c:v>7566024</c:v>
                </c:pt>
                <c:pt idx="32">
                  <c:v>7496851</c:v>
                </c:pt>
                <c:pt idx="33">
                  <c:v>6520361</c:v>
                </c:pt>
                <c:pt idx="34">
                  <c:v>4053862</c:v>
                </c:pt>
                <c:pt idx="35">
                  <c:v>6601656</c:v>
                </c:pt>
                <c:pt idx="36">
                  <c:v>6792284</c:v>
                </c:pt>
                <c:pt idx="37">
                  <c:v>7387553</c:v>
                </c:pt>
                <c:pt idx="38">
                  <c:v>992043</c:v>
                </c:pt>
                <c:pt idx="39">
                  <c:v>3787614</c:v>
                </c:pt>
                <c:pt idx="40">
                  <c:v>1092066</c:v>
                </c:pt>
                <c:pt idx="41">
                  <c:v>5993780</c:v>
                </c:pt>
                <c:pt idx="42">
                  <c:v>2332849</c:v>
                </c:pt>
                <c:pt idx="43">
                  <c:v>7246769</c:v>
                </c:pt>
                <c:pt idx="44">
                  <c:v>7642179</c:v>
                </c:pt>
                <c:pt idx="45">
                  <c:v>4397115</c:v>
                </c:pt>
                <c:pt idx="46">
                  <c:v>785827</c:v>
                </c:pt>
                <c:pt idx="47">
                  <c:v>7604553</c:v>
                </c:pt>
                <c:pt idx="48">
                  <c:v>4511708</c:v>
                </c:pt>
                <c:pt idx="49">
                  <c:v>7339566</c:v>
                </c:pt>
                <c:pt idx="50">
                  <c:v>5796476</c:v>
                </c:pt>
                <c:pt idx="51">
                  <c:v>2372415</c:v>
                </c:pt>
                <c:pt idx="52">
                  <c:v>6565662</c:v>
                </c:pt>
                <c:pt idx="53">
                  <c:v>4382603</c:v>
                </c:pt>
                <c:pt idx="54">
                  <c:v>6120167</c:v>
                </c:pt>
                <c:pt idx="55">
                  <c:v>7371794</c:v>
                </c:pt>
                <c:pt idx="56">
                  <c:v>3060255</c:v>
                </c:pt>
                <c:pt idx="57">
                  <c:v>5456580</c:v>
                </c:pt>
                <c:pt idx="58">
                  <c:v>6398995</c:v>
                </c:pt>
                <c:pt idx="59">
                  <c:v>6881936</c:v>
                </c:pt>
                <c:pt idx="60">
                  <c:v>6341438</c:v>
                </c:pt>
                <c:pt idx="61">
                  <c:v>3474480</c:v>
                </c:pt>
                <c:pt idx="62">
                  <c:v>7264977</c:v>
                </c:pt>
                <c:pt idx="63">
                  <c:v>5233337</c:v>
                </c:pt>
                <c:pt idx="64">
                  <c:v>6379871</c:v>
                </c:pt>
                <c:pt idx="65">
                  <c:v>7532683</c:v>
                </c:pt>
                <c:pt idx="66">
                  <c:v>7090038</c:v>
                </c:pt>
                <c:pt idx="67">
                  <c:v>3304331</c:v>
                </c:pt>
                <c:pt idx="68">
                  <c:v>5646918</c:v>
                </c:pt>
                <c:pt idx="69">
                  <c:v>7442381</c:v>
                </c:pt>
                <c:pt idx="70">
                  <c:v>3803711</c:v>
                </c:pt>
                <c:pt idx="71">
                  <c:v>6775475</c:v>
                </c:pt>
                <c:pt idx="72">
                  <c:v>221785</c:v>
                </c:pt>
                <c:pt idx="73">
                  <c:v>6141010</c:v>
                </c:pt>
                <c:pt idx="74">
                  <c:v>7103750</c:v>
                </c:pt>
                <c:pt idx="75">
                  <c:v>3252506</c:v>
                </c:pt>
                <c:pt idx="76">
                  <c:v>6502036</c:v>
                </c:pt>
                <c:pt idx="77">
                  <c:v>7558812</c:v>
                </c:pt>
                <c:pt idx="78">
                  <c:v>4440388</c:v>
                </c:pt>
                <c:pt idx="79">
                  <c:v>7221992</c:v>
                </c:pt>
                <c:pt idx="80">
                  <c:v>4844470</c:v>
                </c:pt>
                <c:pt idx="81">
                  <c:v>371931</c:v>
                </c:pt>
                <c:pt idx="82">
                  <c:v>6913709</c:v>
                </c:pt>
                <c:pt idx="83">
                  <c:v>2622433</c:v>
                </c:pt>
                <c:pt idx="84">
                  <c:v>4411565</c:v>
                </c:pt>
                <c:pt idx="85">
                  <c:v>4898236</c:v>
                </c:pt>
                <c:pt idx="86">
                  <c:v>5003649</c:v>
                </c:pt>
                <c:pt idx="87">
                  <c:v>6151419</c:v>
                </c:pt>
                <c:pt idx="88">
                  <c:v>7196653</c:v>
                </c:pt>
                <c:pt idx="89">
                  <c:v>1881750</c:v>
                </c:pt>
                <c:pt idx="90">
                  <c:v>7322980</c:v>
                </c:pt>
                <c:pt idx="91">
                  <c:v>7607303</c:v>
                </c:pt>
                <c:pt idx="92">
                  <c:v>4762314</c:v>
                </c:pt>
                <c:pt idx="93">
                  <c:v>5432177</c:v>
                </c:pt>
                <c:pt idx="94">
                  <c:v>6921586</c:v>
                </c:pt>
                <c:pt idx="95">
                  <c:v>4084204</c:v>
                </c:pt>
                <c:pt idx="96">
                  <c:v>1017205</c:v>
                </c:pt>
                <c:pt idx="97">
                  <c:v>7083140</c:v>
                </c:pt>
                <c:pt idx="98">
                  <c:v>6282717</c:v>
                </c:pt>
                <c:pt idx="99">
                  <c:v>2070058</c:v>
                </c:pt>
                <c:pt idx="100">
                  <c:v>5081015</c:v>
                </c:pt>
                <c:pt idx="101">
                  <c:v>3095558</c:v>
                </c:pt>
                <c:pt idx="102">
                  <c:v>6583684</c:v>
                </c:pt>
                <c:pt idx="103">
                  <c:v>4568262</c:v>
                </c:pt>
                <c:pt idx="104">
                  <c:v>4857979</c:v>
                </c:pt>
                <c:pt idx="105">
                  <c:v>5333320</c:v>
                </c:pt>
                <c:pt idx="106">
                  <c:v>1753178</c:v>
                </c:pt>
                <c:pt idx="107">
                  <c:v>7631994</c:v>
                </c:pt>
                <c:pt idx="108">
                  <c:v>4990631</c:v>
                </c:pt>
                <c:pt idx="109">
                  <c:v>6474260</c:v>
                </c:pt>
                <c:pt idx="110">
                  <c:v>705859</c:v>
                </c:pt>
                <c:pt idx="111">
                  <c:v>3440718</c:v>
                </c:pt>
                <c:pt idx="112">
                  <c:v>6698615</c:v>
                </c:pt>
                <c:pt idx="113">
                  <c:v>5704959</c:v>
                </c:pt>
                <c:pt idx="114">
                  <c:v>2431403</c:v>
                </c:pt>
                <c:pt idx="115">
                  <c:v>458866</c:v>
                </c:pt>
                <c:pt idx="116">
                  <c:v>2212587</c:v>
                </c:pt>
                <c:pt idx="117">
                  <c:v>4114503</c:v>
                </c:pt>
                <c:pt idx="118">
                  <c:v>7617849</c:v>
                </c:pt>
                <c:pt idx="119">
                  <c:v>1945207</c:v>
                </c:pt>
                <c:pt idx="120">
                  <c:v>7517036</c:v>
                </c:pt>
                <c:pt idx="121">
                  <c:v>4338774</c:v>
                </c:pt>
                <c:pt idx="122">
                  <c:v>7427806</c:v>
                </c:pt>
                <c:pt idx="123">
                  <c:v>4610200</c:v>
                </c:pt>
                <c:pt idx="124">
                  <c:v>3200493</c:v>
                </c:pt>
                <c:pt idx="125">
                  <c:v>3819707</c:v>
                </c:pt>
                <c:pt idx="126">
                  <c:v>2953031</c:v>
                </c:pt>
                <c:pt idx="127">
                  <c:v>542251</c:v>
                </c:pt>
                <c:pt idx="128">
                  <c:v>3042574</c:v>
                </c:pt>
                <c:pt idx="129">
                  <c:v>3992836</c:v>
                </c:pt>
                <c:pt idx="130">
                  <c:v>2697213</c:v>
                </c:pt>
                <c:pt idx="131">
                  <c:v>6689942</c:v>
                </c:pt>
                <c:pt idx="132">
                  <c:v>7627610</c:v>
                </c:pt>
                <c:pt idx="133">
                  <c:v>7620425</c:v>
                </c:pt>
                <c:pt idx="134">
                  <c:v>1578848</c:v>
                </c:pt>
                <c:pt idx="135">
                  <c:v>7048165</c:v>
                </c:pt>
                <c:pt idx="136">
                  <c:v>4425977</c:v>
                </c:pt>
                <c:pt idx="137">
                  <c:v>6975416</c:v>
                </c:pt>
                <c:pt idx="138">
                  <c:v>5144945</c:v>
                </c:pt>
                <c:pt idx="139">
                  <c:v>6929447</c:v>
                </c:pt>
                <c:pt idx="140">
                  <c:v>1774657</c:v>
                </c:pt>
                <c:pt idx="141">
                  <c:v>1067246</c:v>
                </c:pt>
                <c:pt idx="142">
                  <c:v>3574821</c:v>
                </c:pt>
                <c:pt idx="143">
                  <c:v>5358193</c:v>
                </c:pt>
                <c:pt idx="144">
                  <c:v>916136</c:v>
                </c:pt>
                <c:pt idx="145">
                  <c:v>6733027</c:v>
                </c:pt>
                <c:pt idx="146">
                  <c:v>2546823</c:v>
                </c:pt>
                <c:pt idx="147">
                  <c:v>7615242</c:v>
                </c:pt>
                <c:pt idx="148">
                  <c:v>6192524</c:v>
                </c:pt>
                <c:pt idx="149">
                  <c:v>7117351</c:v>
                </c:pt>
                <c:pt idx="150">
                  <c:v>3961982</c:v>
                </c:pt>
                <c:pt idx="151">
                  <c:v>32724</c:v>
                </c:pt>
                <c:pt idx="152">
                  <c:v>7170763</c:v>
                </c:pt>
                <c:pt idx="153">
                  <c:v>2049367</c:v>
                </c:pt>
                <c:pt idx="154">
                  <c:v>4977586</c:v>
                </c:pt>
                <c:pt idx="155">
                  <c:v>7345040</c:v>
                </c:pt>
                <c:pt idx="156">
                  <c:v>1534318</c:v>
                </c:pt>
                <c:pt idx="157">
                  <c:v>282606</c:v>
                </c:pt>
                <c:pt idx="158">
                  <c:v>732612</c:v>
                </c:pt>
                <c:pt idx="159">
                  <c:v>4190002</c:v>
                </c:pt>
                <c:pt idx="160">
                  <c:v>1307655</c:v>
                </c:pt>
                <c:pt idx="161">
                  <c:v>5068189</c:v>
                </c:pt>
                <c:pt idx="162">
                  <c:v>1838945</c:v>
                </c:pt>
                <c:pt idx="163">
                  <c:v>6322095</c:v>
                </c:pt>
                <c:pt idx="164">
                  <c:v>4497478</c:v>
                </c:pt>
                <c:pt idx="165">
                  <c:v>3024766</c:v>
                </c:pt>
                <c:pt idx="166">
                  <c:v>7437530</c:v>
                </c:pt>
                <c:pt idx="167">
                  <c:v>4789777</c:v>
                </c:pt>
                <c:pt idx="168">
                  <c:v>7644154</c:v>
                </c:pt>
                <c:pt idx="169">
                  <c:v>3657464</c:v>
                </c:pt>
                <c:pt idx="170">
                  <c:v>2450817</c:v>
                </c:pt>
                <c:pt idx="171">
                  <c:v>6272849</c:v>
                </c:pt>
                <c:pt idx="172">
                  <c:v>7177264</c:v>
                </c:pt>
                <c:pt idx="173">
                  <c:v>7019484</c:v>
                </c:pt>
                <c:pt idx="174">
                  <c:v>7157662</c:v>
                </c:pt>
                <c:pt idx="175">
                  <c:v>4638028</c:v>
                </c:pt>
                <c:pt idx="176">
                  <c:v>5940258</c:v>
                </c:pt>
                <c:pt idx="177">
                  <c:v>7215764</c:v>
                </c:pt>
                <c:pt idx="178">
                  <c:v>7645804</c:v>
                </c:pt>
                <c:pt idx="179">
                  <c:v>4023429</c:v>
                </c:pt>
                <c:pt idx="180">
                  <c:v>252329</c:v>
                </c:pt>
                <c:pt idx="181">
                  <c:v>6360703</c:v>
                </c:pt>
                <c:pt idx="182">
                  <c:v>7528796</c:v>
                </c:pt>
                <c:pt idx="183">
                  <c:v>7408069</c:v>
                </c:pt>
                <c:pt idx="184">
                  <c:v>7397994</c:v>
                </c:pt>
                <c:pt idx="185">
                  <c:v>678901</c:v>
                </c:pt>
                <c:pt idx="186">
                  <c:v>7470359</c:v>
                </c:pt>
                <c:pt idx="187">
                  <c:v>941519</c:v>
                </c:pt>
                <c:pt idx="188">
                  <c:v>6046676</c:v>
                </c:pt>
                <c:pt idx="189">
                  <c:v>1644801</c:v>
                </c:pt>
                <c:pt idx="190">
                  <c:v>7595594</c:v>
                </c:pt>
                <c:pt idx="191">
                  <c:v>4129638</c:v>
                </c:pt>
                <c:pt idx="192">
                  <c:v>6663780</c:v>
                </c:pt>
                <c:pt idx="193">
                  <c:v>838498</c:v>
                </c:pt>
                <c:pt idx="194">
                  <c:v>2752594</c:v>
                </c:pt>
                <c:pt idx="195">
                  <c:v>7586163</c:v>
                </c:pt>
                <c:pt idx="196">
                  <c:v>7004932</c:v>
                </c:pt>
                <c:pt idx="197">
                  <c:v>1353570</c:v>
                </c:pt>
                <c:pt idx="198">
                  <c:v>3641001</c:v>
                </c:pt>
                <c:pt idx="199">
                  <c:v>2715710</c:v>
                </c:pt>
                <c:pt idx="200">
                  <c:v>4938093</c:v>
                </c:pt>
                <c:pt idx="201">
                  <c:v>7190210</c:v>
                </c:pt>
                <c:pt idx="202">
                  <c:v>7447115</c:v>
                </c:pt>
                <c:pt idx="203">
                  <c:v>5830205</c:v>
                </c:pt>
                <c:pt idx="204">
                  <c:v>7026732</c:v>
                </c:pt>
                <c:pt idx="205">
                  <c:v>6025572</c:v>
                </c:pt>
                <c:pt idx="206">
                  <c:v>6715890</c:v>
                </c:pt>
                <c:pt idx="207">
                  <c:v>6849867</c:v>
                </c:pt>
                <c:pt idx="208">
                  <c:v>7640799</c:v>
                </c:pt>
                <c:pt idx="209">
                  <c:v>2660043</c:v>
                </c:pt>
                <c:pt idx="210">
                  <c:v>2880505</c:v>
                </c:pt>
                <c:pt idx="211">
                  <c:v>6655006</c:v>
                </c:pt>
                <c:pt idx="212">
                  <c:v>1141450</c:v>
                </c:pt>
                <c:pt idx="213">
                  <c:v>3755354</c:v>
                </c:pt>
                <c:pt idx="214">
                  <c:v>2352643</c:v>
                </c:pt>
                <c:pt idx="215">
                  <c:v>7625267</c:v>
                </c:pt>
                <c:pt idx="216">
                  <c:v>1237251</c:v>
                </c:pt>
                <c:pt idx="217">
                  <c:v>7355835</c:v>
                </c:pt>
                <c:pt idx="218">
                  <c:v>5972470</c:v>
                </c:pt>
                <c:pt idx="219">
                  <c:v>159474</c:v>
                </c:pt>
                <c:pt idx="220">
                  <c:v>5670183</c:v>
                </c:pt>
                <c:pt idx="221">
                  <c:v>5611938</c:v>
                </c:pt>
                <c:pt idx="222">
                  <c:v>1189840</c:v>
                </c:pt>
                <c:pt idx="223">
                  <c:v>2489495</c:v>
                </c:pt>
                <c:pt idx="224">
                  <c:v>5819006</c:v>
                </c:pt>
                <c:pt idx="225">
                  <c:v>3722883</c:v>
                </c:pt>
                <c:pt idx="226">
                  <c:v>6212860</c:v>
                </c:pt>
                <c:pt idx="227">
                  <c:v>2470175</c:v>
                </c:pt>
                <c:pt idx="228">
                  <c:v>7076230</c:v>
                </c:pt>
                <c:pt idx="229">
                  <c:v>430079</c:v>
                </c:pt>
                <c:pt idx="230">
                  <c:v>6172019</c:v>
                </c:pt>
                <c:pt idx="231">
                  <c:v>6312271</c:v>
                </c:pt>
                <c:pt idx="232">
                  <c:v>6833536</c:v>
                </c:pt>
                <c:pt idx="233">
                  <c:v>6389435</c:v>
                </c:pt>
                <c:pt idx="234">
                  <c:v>7417994</c:v>
                </c:pt>
                <c:pt idx="235">
                  <c:v>4159896</c:v>
                </c:pt>
                <c:pt idx="236">
                  <c:v>7536513</c:v>
                </c:pt>
                <c:pt idx="237">
                  <c:v>6492813</c:v>
                </c:pt>
                <c:pt idx="238">
                  <c:v>1330725</c:v>
                </c:pt>
                <c:pt idx="239">
                  <c:v>4309215</c:v>
                </c:pt>
                <c:pt idx="240">
                  <c:v>5681802</c:v>
                </c:pt>
                <c:pt idx="241">
                  <c:v>7361193</c:v>
                </c:pt>
                <c:pt idx="242">
                  <c:v>6592682</c:v>
                </c:pt>
                <c:pt idx="243">
                  <c:v>5762430</c:v>
                </c:pt>
                <c:pt idx="244">
                  <c:v>7432676</c:v>
                </c:pt>
                <c:pt idx="245">
                  <c:v>7474917</c:v>
                </c:pt>
                <c:pt idx="246">
                  <c:v>5517261</c:v>
                </c:pt>
                <c:pt idx="247">
                  <c:v>2825842</c:v>
                </c:pt>
                <c:pt idx="248">
                  <c:v>7622871</c:v>
                </c:pt>
                <c:pt idx="249">
                  <c:v>1987077</c:v>
                </c:pt>
                <c:pt idx="250">
                  <c:v>2192435</c:v>
                </c:pt>
                <c:pt idx="251">
                  <c:v>7639217</c:v>
                </c:pt>
                <c:pt idx="252">
                  <c:v>5896802</c:v>
                </c:pt>
                <c:pt idx="253">
                  <c:v>7382312</c:v>
                </c:pt>
                <c:pt idx="254">
                  <c:v>6547593</c:v>
                </c:pt>
                <c:pt idx="255">
                  <c:v>5468746</c:v>
                </c:pt>
                <c:pt idx="256">
                  <c:v>1622839</c:v>
                </c:pt>
                <c:pt idx="257">
                  <c:v>1166050</c:v>
                </c:pt>
                <c:pt idx="258">
                  <c:v>5623636</c:v>
                </c:pt>
                <c:pt idx="259">
                  <c:v>5407650</c:v>
                </c:pt>
                <c:pt idx="260">
                  <c:v>5395318</c:v>
                </c:pt>
                <c:pt idx="261">
                  <c:v>5773790</c:v>
                </c:pt>
                <c:pt idx="262">
                  <c:v>5055347</c:v>
                </c:pt>
                <c:pt idx="263">
                  <c:v>7555145</c:v>
                </c:pt>
                <c:pt idx="264">
                  <c:v>514730</c:v>
                </c:pt>
                <c:pt idx="265">
                  <c:v>7306034</c:v>
                </c:pt>
                <c:pt idx="266">
                  <c:v>6681250</c:v>
                </c:pt>
                <c:pt idx="267">
                  <c:v>6825361</c:v>
                </c:pt>
                <c:pt idx="268">
                  <c:v>7579783</c:v>
                </c:pt>
                <c:pt idx="269">
                  <c:v>1260863</c:v>
                </c:pt>
                <c:pt idx="270">
                  <c:v>4884864</c:v>
                </c:pt>
                <c:pt idx="271">
                  <c:v>7270993</c:v>
                </c:pt>
                <c:pt idx="272">
                  <c:v>5751055</c:v>
                </c:pt>
                <c:pt idx="273">
                  <c:v>1284418</c:v>
                </c:pt>
                <c:pt idx="274">
                  <c:v>6464957</c:v>
                </c:pt>
                <c:pt idx="275">
                  <c:v>6511204</c:v>
                </c:pt>
                <c:pt idx="276">
                  <c:v>4748564</c:v>
                </c:pt>
                <c:pt idx="277">
                  <c:v>4099362</c:v>
                </c:pt>
                <c:pt idx="278">
                  <c:v>7276978</c:v>
                </c:pt>
                <c:pt idx="279">
                  <c:v>3706615</c:v>
                </c:pt>
                <c:pt idx="280">
                  <c:v>5444411</c:v>
                </c:pt>
                <c:pt idx="281">
                  <c:v>1489503</c:v>
                </c:pt>
                <c:pt idx="282">
                  <c:v>3457607</c:v>
                </c:pt>
                <c:pt idx="283">
                  <c:v>5529269</c:v>
                </c:pt>
                <c:pt idx="284">
                  <c:v>342343</c:v>
                </c:pt>
                <c:pt idx="285">
                  <c:v>2007858</c:v>
                </c:pt>
                <c:pt idx="286">
                  <c:v>6529454</c:v>
                </c:pt>
                <c:pt idx="287">
                  <c:v>6455588</c:v>
                </c:pt>
                <c:pt idx="288">
                  <c:v>7164220</c:v>
                </c:pt>
                <c:pt idx="289">
                  <c:v>5195597</c:v>
                </c:pt>
                <c:pt idx="290">
                  <c:v>4582261</c:v>
                </c:pt>
                <c:pt idx="291">
                  <c:v>6067722</c:v>
                </c:pt>
                <c:pt idx="292">
                  <c:v>3389883</c:v>
                </c:pt>
                <c:pt idx="293">
                  <c:v>7403067</c:v>
                </c:pt>
                <c:pt idx="294">
                  <c:v>6370298</c:v>
                </c:pt>
                <c:pt idx="295">
                  <c:v>7012212</c:v>
                </c:pt>
                <c:pt idx="296">
                  <c:v>2508729</c:v>
                </c:pt>
                <c:pt idx="297">
                  <c:v>190971</c:v>
                </c:pt>
                <c:pt idx="298">
                  <c:v>1213592</c:v>
                </c:pt>
                <c:pt idx="299">
                  <c:v>5635277</c:v>
                </c:pt>
                <c:pt idx="300">
                  <c:v>2111051</c:v>
                </c:pt>
                <c:pt idx="301">
                  <c:v>4174972</c:v>
                </c:pt>
                <c:pt idx="302">
                  <c:v>7300269</c:v>
                </c:pt>
                <c:pt idx="303">
                  <c:v>6952727</c:v>
                </c:pt>
                <c:pt idx="304">
                  <c:v>6202717</c:v>
                </c:pt>
                <c:pt idx="305">
                  <c:v>7576460</c:v>
                </c:pt>
                <c:pt idx="306">
                  <c:v>5874725</c:v>
                </c:pt>
                <c:pt idx="307">
                  <c:v>6538541</c:v>
                </c:pt>
                <c:pt idx="308">
                  <c:v>2131478</c:v>
                </c:pt>
                <c:pt idx="309">
                  <c:v>3113131</c:v>
                </c:pt>
                <c:pt idx="310">
                  <c:v>7451828</c:v>
                </c:pt>
                <c:pt idx="311">
                  <c:v>6161735</c:v>
                </c:pt>
                <c:pt idx="312">
                  <c:v>7646666</c:v>
                </c:pt>
                <c:pt idx="313">
                  <c:v>624479</c:v>
                </c:pt>
                <c:pt idx="314">
                  <c:v>7634052</c:v>
                </c:pt>
                <c:pt idx="315">
                  <c:v>2527801</c:v>
                </c:pt>
                <c:pt idx="316">
                  <c:v>5157644</c:v>
                </c:pt>
                <c:pt idx="317">
                  <c:v>7461195</c:v>
                </c:pt>
                <c:pt idx="318">
                  <c:v>3130692</c:v>
                </c:pt>
                <c:pt idx="319">
                  <c:v>5807784</c:v>
                </c:pt>
                <c:pt idx="320">
                  <c:v>6078236</c:v>
                </c:pt>
                <c:pt idx="321">
                  <c:v>4924848</c:v>
                </c:pt>
                <c:pt idx="322">
                  <c:v>5658553</c:v>
                </c:pt>
                <c:pt idx="323">
                  <c:v>6427404</c:v>
                </c:pt>
                <c:pt idx="324">
                  <c:v>4693424</c:v>
                </c:pt>
                <c:pt idx="325">
                  <c:v>4454694</c:v>
                </c:pt>
                <c:pt idx="326">
                  <c:v>6015002</c:v>
                </c:pt>
                <c:pt idx="327">
                  <c:v>7240600</c:v>
                </c:pt>
                <c:pt idx="328">
                  <c:v>7598640</c:v>
                </c:pt>
                <c:pt idx="329">
                  <c:v>4525923</c:v>
                </c:pt>
                <c:pt idx="330">
                  <c:v>3355793</c:v>
                </c:pt>
                <c:pt idx="331">
                  <c:v>4483232</c:v>
                </c:pt>
                <c:pt idx="332">
                  <c:v>3508075</c:v>
                </c:pt>
                <c:pt idx="333">
                  <c:v>2232717</c:v>
                </c:pt>
                <c:pt idx="334">
                  <c:v>7392789</c:v>
                </c:pt>
                <c:pt idx="335">
                  <c:v>6417965</c:v>
                </c:pt>
                <c:pt idx="336">
                  <c:v>6619572</c:v>
                </c:pt>
                <c:pt idx="337">
                  <c:v>127870</c:v>
                </c:pt>
                <c:pt idx="338">
                  <c:v>5295901</c:v>
                </c:pt>
                <c:pt idx="339">
                  <c:v>312563</c:v>
                </c:pt>
                <c:pt idx="340">
                  <c:v>6408498</c:v>
                </c:pt>
                <c:pt idx="341">
                  <c:v>3771515</c:v>
                </c:pt>
                <c:pt idx="342">
                  <c:v>7573052</c:v>
                </c:pt>
                <c:pt idx="343">
                  <c:v>4324025</c:v>
                </c:pt>
                <c:pt idx="344">
                  <c:v>966843</c:v>
                </c:pt>
                <c:pt idx="345">
                  <c:v>4665765</c:v>
                </c:pt>
                <c:pt idx="346">
                  <c:v>7288700</c:v>
                </c:pt>
                <c:pt idx="347">
                  <c:v>7612633</c:v>
                </c:pt>
                <c:pt idx="348">
                  <c:v>5208224</c:v>
                </c:pt>
                <c:pt idx="349">
                  <c:v>3591449</c:v>
                </c:pt>
                <c:pt idx="350">
                  <c:v>7547796</c:v>
                </c:pt>
                <c:pt idx="351">
                  <c:v>4294404</c:v>
                </c:pt>
                <c:pt idx="352">
                  <c:v>7228218</c:v>
                </c:pt>
                <c:pt idx="353">
                  <c:v>5588513</c:v>
                </c:pt>
                <c:pt idx="354">
                  <c:v>4234903</c:v>
                </c:pt>
                <c:pt idx="355">
                  <c:v>4279582</c:v>
                </c:pt>
                <c:pt idx="356">
                  <c:v>4264724</c:v>
                </c:pt>
                <c:pt idx="357">
                  <c:v>7144286</c:v>
                </c:pt>
                <c:pt idx="358">
                  <c:v>1466970</c:v>
                </c:pt>
                <c:pt idx="359">
                  <c:v>2151869</c:v>
                </c:pt>
                <c:pt idx="360">
                  <c:v>1902990</c:v>
                </c:pt>
                <c:pt idx="361">
                  <c:v>6262979</c:v>
                </c:pt>
                <c:pt idx="362">
                  <c:v>6628458</c:v>
                </c:pt>
                <c:pt idx="363">
                  <c:v>7635996</c:v>
                </c:pt>
                <c:pt idx="364">
                  <c:v>6302425</c:v>
                </c:pt>
                <c:pt idx="365">
                  <c:v>6556639</c:v>
                </c:pt>
                <c:pt idx="366">
                  <c:v>4951309</c:v>
                </c:pt>
                <c:pt idx="367">
                  <c:v>6483546</c:v>
                </c:pt>
                <c:pt idx="368">
                  <c:v>5929441</c:v>
                </c:pt>
                <c:pt idx="369">
                  <c:v>1511916</c:v>
                </c:pt>
                <c:pt idx="370">
                  <c:v>3338671</c:v>
                </c:pt>
                <c:pt idx="371">
                  <c:v>1600861</c:v>
                </c:pt>
                <c:pt idx="372">
                  <c:v>3977481</c:v>
                </c:pt>
                <c:pt idx="373">
                  <c:v>1924165</c:v>
                </c:pt>
                <c:pt idx="374">
                  <c:v>5841355</c:v>
                </c:pt>
                <c:pt idx="375">
                  <c:v>1709948</c:v>
                </c:pt>
                <c:pt idx="376">
                  <c:v>1556714</c:v>
                </c:pt>
                <c:pt idx="377">
                  <c:v>5907740</c:v>
                </c:pt>
                <c:pt idx="378">
                  <c:v>6982827</c:v>
                </c:pt>
                <c:pt idx="379">
                  <c:v>7096915</c:v>
                </c:pt>
                <c:pt idx="380">
                  <c:v>4368056</c:v>
                </c:pt>
                <c:pt idx="381">
                  <c:v>2392176</c:v>
                </c:pt>
                <c:pt idx="382">
                  <c:v>3321531</c:v>
                </c:pt>
                <c:pt idx="383">
                  <c:v>7282845</c:v>
                </c:pt>
                <c:pt idx="384">
                  <c:v>7492599</c:v>
                </c:pt>
                <c:pt idx="385">
                  <c:v>5600228</c:v>
                </c:pt>
                <c:pt idx="386">
                  <c:v>3624506</c:v>
                </c:pt>
                <c:pt idx="387">
                  <c:v>3541515</c:v>
                </c:pt>
                <c:pt idx="388">
                  <c:v>5553186</c:v>
                </c:pt>
                <c:pt idx="389">
                  <c:v>6905828</c:v>
                </c:pt>
                <c:pt idx="390">
                  <c:v>5565068</c:v>
                </c:pt>
                <c:pt idx="391">
                  <c:v>6783906</c:v>
                </c:pt>
                <c:pt idx="392">
                  <c:v>3287069</c:v>
                </c:pt>
                <c:pt idx="393">
                  <c:v>6004415</c:v>
                </c:pt>
                <c:pt idx="394">
                  <c:v>1444399</c:v>
                </c:pt>
                <c:pt idx="395">
                  <c:v>4721025</c:v>
                </c:pt>
                <c:pt idx="396">
                  <c:v>569743</c:v>
                </c:pt>
                <c:pt idx="397">
                  <c:v>7041051</c:v>
                </c:pt>
                <c:pt idx="398">
                  <c:v>6945020</c:v>
                </c:pt>
                <c:pt idx="399">
                  <c:v>5693381</c:v>
                </c:pt>
                <c:pt idx="400">
                  <c:v>2898714</c:v>
                </c:pt>
                <c:pt idx="401">
                  <c:v>4624123</c:v>
                </c:pt>
                <c:pt idx="402">
                  <c:v>2272903</c:v>
                </c:pt>
                <c:pt idx="403">
                  <c:v>5016646</c:v>
                </c:pt>
                <c:pt idx="404">
                  <c:v>7413055</c:v>
                </c:pt>
                <c:pt idx="405">
                  <c:v>5961777</c:v>
                </c:pt>
                <c:pt idx="406">
                  <c:v>7350468</c:v>
                </c:pt>
                <c:pt idx="407">
                  <c:v>7137584</c:v>
                </c:pt>
                <c:pt idx="408">
                  <c:v>7629892</c:v>
                </c:pt>
                <c:pt idx="409">
                  <c:v>3077925</c:v>
                </c:pt>
                <c:pt idx="410">
                  <c:v>4734804</c:v>
                </c:pt>
                <c:pt idx="411">
                  <c:v>5382965</c:v>
                </c:pt>
                <c:pt idx="412">
                  <c:v>6057202</c:v>
                </c:pt>
                <c:pt idx="413">
                  <c:v>6724484</c:v>
                </c:pt>
                <c:pt idx="414">
                  <c:v>5419921</c:v>
                </c:pt>
                <c:pt idx="415">
                  <c:v>1817518</c:v>
                </c:pt>
                <c:pt idx="416">
                  <c:v>7328553</c:v>
                </c:pt>
                <c:pt idx="417">
                  <c:v>3148176</c:v>
                </c:pt>
                <c:pt idx="418">
                  <c:v>7456523</c:v>
                </c:pt>
                <c:pt idx="419">
                  <c:v>4144773</c:v>
                </c:pt>
                <c:pt idx="420">
                  <c:v>5182964</c:v>
                </c:pt>
                <c:pt idx="421">
                  <c:v>4776053</c:v>
                </c:pt>
                <c:pt idx="422">
                  <c:v>2565747</c:v>
                </c:pt>
                <c:pt idx="423">
                  <c:v>5493039</c:v>
                </c:pt>
                <c:pt idx="424">
                  <c:v>5951031</c:v>
                </c:pt>
                <c:pt idx="425">
                  <c:v>7110577</c:v>
                </c:pt>
                <c:pt idx="426">
                  <c:v>6857936</c:v>
                </c:pt>
                <c:pt idx="427">
                  <c:v>1796089</c:v>
                </c:pt>
                <c:pt idx="428">
                  <c:v>6960363</c:v>
                </c:pt>
                <c:pt idx="429">
                  <c:v>64553</c:v>
                </c:pt>
                <c:pt idx="430">
                  <c:v>1666554</c:v>
                </c:pt>
                <c:pt idx="431">
                  <c:v>4249824</c:v>
                </c:pt>
                <c:pt idx="432">
                  <c:v>6990218</c:v>
                </c:pt>
                <c:pt idx="433">
                  <c:v>7252894</c:v>
                </c:pt>
                <c:pt idx="434">
                  <c:v>5345760</c:v>
                </c:pt>
                <c:pt idx="435">
                  <c:v>1376378</c:v>
                </c:pt>
                <c:pt idx="436">
                  <c:v>3914968</c:v>
                </c:pt>
                <c:pt idx="437">
                  <c:v>3930732</c:v>
                </c:pt>
                <c:pt idx="438">
                  <c:v>7483914</c:v>
                </c:pt>
                <c:pt idx="439">
                  <c:v>4679608</c:v>
                </c:pt>
                <c:pt idx="440">
                  <c:v>6610620</c:v>
                </c:pt>
                <c:pt idx="441">
                  <c:v>5785136</c:v>
                </c:pt>
                <c:pt idx="442">
                  <c:v>6223003</c:v>
                </c:pt>
                <c:pt idx="443">
                  <c:v>3217842</c:v>
                </c:pt>
                <c:pt idx="444">
                  <c:v>2641261</c:v>
                </c:pt>
                <c:pt idx="445">
                  <c:v>6637343</c:v>
                </c:pt>
                <c:pt idx="446">
                  <c:v>7055255</c:v>
                </c:pt>
                <c:pt idx="447">
                  <c:v>6233088</c:v>
                </c:pt>
                <c:pt idx="448">
                  <c:v>6130592</c:v>
                </c:pt>
                <c:pt idx="449">
                  <c:v>1399085</c:v>
                </c:pt>
                <c:pt idx="450">
                  <c:v>3372906</c:v>
                </c:pt>
                <c:pt idx="451">
                  <c:v>5983127</c:v>
                </c:pt>
                <c:pt idx="452">
                  <c:v>7465785</c:v>
                </c:pt>
                <c:pt idx="453">
                  <c:v>2916890</c:v>
                </c:pt>
                <c:pt idx="454">
                  <c:v>3851584</c:v>
                </c:pt>
                <c:pt idx="455">
                  <c:v>6351072</c:v>
                </c:pt>
                <c:pt idx="456">
                  <c:v>6646219</c:v>
                </c:pt>
                <c:pt idx="457">
                  <c:v>4651902</c:v>
                </c:pt>
                <c:pt idx="458">
                  <c:v>7643178</c:v>
                </c:pt>
                <c:pt idx="459">
                  <c:v>7589338</c:v>
                </c:pt>
                <c:pt idx="460">
                  <c:v>1966247</c:v>
                </c:pt>
                <c:pt idx="461">
                  <c:v>4038652</c:v>
                </c:pt>
                <c:pt idx="462">
                  <c:v>7569552</c:v>
                </c:pt>
                <c:pt idx="463">
                  <c:v>4219975</c:v>
                </c:pt>
                <c:pt idx="464">
                  <c:v>6707259</c:v>
                </c:pt>
                <c:pt idx="465">
                  <c:v>3946431</c:v>
                </c:pt>
                <c:pt idx="466">
                  <c:v>7033898</c:v>
                </c:pt>
                <c:pt idx="467">
                  <c:v>3673880</c:v>
                </c:pt>
                <c:pt idx="468">
                  <c:v>2028639</c:v>
                </c:pt>
                <c:pt idx="469">
                  <c:v>5728083</c:v>
                </c:pt>
                <c:pt idx="470">
                  <c:v>96245</c:v>
                </c:pt>
                <c:pt idx="471">
                  <c:v>1731597</c:v>
                </c:pt>
                <c:pt idx="472">
                  <c:v>7601634</c:v>
                </c:pt>
                <c:pt idx="473">
                  <c:v>7505022</c:v>
                </c:pt>
                <c:pt idx="474">
                  <c:v>7509034</c:v>
                </c:pt>
                <c:pt idx="475">
                  <c:v>6897872</c:v>
                </c:pt>
                <c:pt idx="476">
                  <c:v>6808928</c:v>
                </c:pt>
                <c:pt idx="477">
                  <c:v>2988949</c:v>
                </c:pt>
                <c:pt idx="478">
                  <c:v>7234414</c:v>
                </c:pt>
                <c:pt idx="479">
                  <c:v>3558169</c:v>
                </c:pt>
                <c:pt idx="480">
                  <c:v>5885782</c:v>
                </c:pt>
                <c:pt idx="481">
                  <c:v>7520978</c:v>
                </c:pt>
                <c:pt idx="482">
                  <c:v>5170323</c:v>
                </c:pt>
                <c:pt idx="483">
                  <c:v>5480901</c:v>
                </c:pt>
                <c:pt idx="484">
                  <c:v>4707228</c:v>
                </c:pt>
                <c:pt idx="485">
                  <c:v>6253047</c:v>
                </c:pt>
                <c:pt idx="486">
                  <c:v>5308393</c:v>
                </c:pt>
                <c:pt idx="487">
                  <c:v>5220802</c:v>
                </c:pt>
                <c:pt idx="488">
                  <c:v>759250</c:v>
                </c:pt>
                <c:pt idx="489">
                  <c:v>5505177</c:v>
                </c:pt>
                <c:pt idx="490">
                  <c:v>7551474</c:v>
                </c:pt>
                <c:pt idx="491">
                  <c:v>1042310</c:v>
                </c:pt>
                <c:pt idx="492">
                  <c:v>7524905</c:v>
                </c:pt>
                <c:pt idx="493">
                  <c:v>4817161</c:v>
                </c:pt>
                <c:pt idx="494">
                  <c:v>890518</c:v>
                </c:pt>
                <c:pt idx="495">
                  <c:v>2862285</c:v>
                </c:pt>
                <c:pt idx="496">
                  <c:v>6109716</c:v>
                </c:pt>
                <c:pt idx="497">
                  <c:v>4830836</c:v>
                </c:pt>
                <c:pt idx="498">
                  <c:v>5320864</c:v>
                </c:pt>
                <c:pt idx="499">
                  <c:v>4596256</c:v>
                </c:pt>
                <c:pt idx="500">
                  <c:v>2292940</c:v>
                </c:pt>
                <c:pt idx="501">
                  <c:v>7311778</c:v>
                </c:pt>
                <c:pt idx="502">
                  <c:v>5132239</c:v>
                </c:pt>
                <c:pt idx="503">
                  <c:v>6767038</c:v>
                </c:pt>
                <c:pt idx="504">
                  <c:v>7258948</c:v>
                </c:pt>
                <c:pt idx="505">
                  <c:v>3883359</c:v>
                </c:pt>
                <c:pt idx="506">
                  <c:v>7513037</c:v>
                </c:pt>
                <c:pt idx="507">
                  <c:v>7130855</c:v>
                </c:pt>
                <c:pt idx="508">
                  <c:v>6292577</c:v>
                </c:pt>
                <c:pt idx="509">
                  <c:v>3524855</c:v>
                </c:pt>
                <c:pt idx="510">
                  <c:v>2603552</c:v>
                </c:pt>
                <c:pt idx="511">
                  <c:v>651722</c:v>
                </c:pt>
                <c:pt idx="512">
                  <c:v>5852502</c:v>
                </c:pt>
                <c:pt idx="513">
                  <c:v>5370601</c:v>
                </c:pt>
                <c:pt idx="514">
                  <c:v>3269796</c:v>
                </c:pt>
                <c:pt idx="515">
                  <c:v>2789261</c:v>
                </c:pt>
                <c:pt idx="516">
                  <c:v>6841710</c:v>
                </c:pt>
                <c:pt idx="517">
                  <c:v>6574676</c:v>
                </c:pt>
                <c:pt idx="518">
                  <c:v>1116792</c:v>
                </c:pt>
                <c:pt idx="519">
                  <c:v>5541276</c:v>
                </c:pt>
                <c:pt idx="520">
                  <c:v>401259</c:v>
                </c:pt>
                <c:pt idx="521">
                  <c:v>7366504</c:v>
                </c:pt>
                <c:pt idx="522">
                  <c:v>7422915</c:v>
                </c:pt>
                <c:pt idx="523">
                  <c:v>5119450</c:v>
                </c:pt>
                <c:pt idx="524">
                  <c:v>7479457</c:v>
                </c:pt>
                <c:pt idx="525">
                  <c:v>7544103</c:v>
                </c:pt>
                <c:pt idx="526">
                  <c:v>4468976</c:v>
                </c:pt>
                <c:pt idx="527">
                  <c:v>4205025</c:v>
                </c:pt>
                <c:pt idx="528">
                  <c:v>7334076</c:v>
                </c:pt>
                <c:pt idx="529">
                  <c:v>7203093</c:v>
                </c:pt>
                <c:pt idx="530">
                  <c:v>6889907</c:v>
                </c:pt>
                <c:pt idx="531">
                  <c:v>864667</c:v>
                </c:pt>
                <c:pt idx="532">
                  <c:v>5270888</c:v>
                </c:pt>
                <c:pt idx="533">
                  <c:v>6997596</c:v>
                </c:pt>
                <c:pt idx="534">
                  <c:v>7183737</c:v>
                </c:pt>
                <c:pt idx="535">
                  <c:v>7610013</c:v>
                </c:pt>
                <c:pt idx="536">
                  <c:v>4964509</c:v>
                </c:pt>
                <c:pt idx="537">
                  <c:v>7582973</c:v>
                </c:pt>
                <c:pt idx="538">
                  <c:v>6182284</c:v>
                </c:pt>
                <c:pt idx="539">
                  <c:v>7646891</c:v>
                </c:pt>
                <c:pt idx="540">
                  <c:v>3423782</c:v>
                </c:pt>
                <c:pt idx="541">
                  <c:v>3183065</c:v>
                </c:pt>
                <c:pt idx="542">
                  <c:v>2844065</c:v>
                </c:pt>
                <c:pt idx="543">
                  <c:v>6758582</c:v>
                </c:pt>
                <c:pt idx="544">
                  <c:v>3006887</c:v>
                </c:pt>
                <c:pt idx="545">
                  <c:v>2090607</c:v>
                </c:pt>
                <c:pt idx="546">
                  <c:v>6865948</c:v>
                </c:pt>
                <c:pt idx="547">
                  <c:v>5245863</c:v>
                </c:pt>
                <c:pt idx="548">
                  <c:v>487020</c:v>
                </c:pt>
                <c:pt idx="549">
                  <c:v>7540324</c:v>
                </c:pt>
                <c:pt idx="550">
                  <c:v>5716531</c:v>
                </c:pt>
                <c:pt idx="551">
                  <c:v>3867476</c:v>
                </c:pt>
                <c:pt idx="552">
                  <c:v>3607984</c:v>
                </c:pt>
                <c:pt idx="553">
                  <c:v>2935000</c:v>
                </c:pt>
                <c:pt idx="554">
                  <c:v>7069299</c:v>
                </c:pt>
                <c:pt idx="555">
                  <c:v>597137</c:v>
                </c:pt>
                <c:pt idx="556">
                  <c:v>5258376</c:v>
                </c:pt>
                <c:pt idx="557">
                  <c:v>2770960</c:v>
                </c:pt>
                <c:pt idx="558">
                  <c:v>3235184</c:v>
                </c:pt>
                <c:pt idx="559">
                  <c:v>6873949</c:v>
                </c:pt>
                <c:pt idx="560">
                  <c:v>1421770</c:v>
                </c:pt>
                <c:pt idx="561">
                  <c:v>6088742</c:v>
                </c:pt>
                <c:pt idx="562">
                  <c:v>6800654</c:v>
                </c:pt>
                <c:pt idx="563">
                  <c:v>6446208</c:v>
                </c:pt>
                <c:pt idx="564">
                  <c:v>6817162</c:v>
                </c:pt>
                <c:pt idx="565">
                  <c:v>4008190</c:v>
                </c:pt>
                <c:pt idx="566">
                  <c:v>3690279</c:v>
                </c:pt>
                <c:pt idx="567">
                  <c:v>2584654</c:v>
                </c:pt>
                <c:pt idx="568">
                  <c:v>2172256</c:v>
                </c:pt>
                <c:pt idx="569">
                  <c:v>3491286</c:v>
                </c:pt>
                <c:pt idx="570">
                  <c:v>6967993</c:v>
                </c:pt>
                <c:pt idx="571">
                  <c:v>6099236</c:v>
                </c:pt>
                <c:pt idx="572">
                  <c:v>5042485</c:v>
                </c:pt>
                <c:pt idx="573">
                  <c:v>4911585</c:v>
                </c:pt>
                <c:pt idx="574">
                  <c:v>5739621</c:v>
                </c:pt>
                <c:pt idx="575">
                  <c:v>5093838</c:v>
                </c:pt>
                <c:pt idx="576">
                  <c:v>5918604</c:v>
                </c:pt>
                <c:pt idx="577">
                  <c:v>7500987</c:v>
                </c:pt>
                <c:pt idx="578">
                  <c:v>3406833</c:v>
                </c:pt>
                <c:pt idx="579">
                  <c:v>5863626</c:v>
                </c:pt>
                <c:pt idx="580">
                  <c:v>6436812</c:v>
                </c:pt>
                <c:pt idx="581">
                  <c:v>6331768</c:v>
                </c:pt>
                <c:pt idx="582">
                  <c:v>4540124</c:v>
                </c:pt>
                <c:pt idx="583">
                  <c:v>7062304</c:v>
                </c:pt>
                <c:pt idx="584">
                  <c:v>6672535</c:v>
                </c:pt>
                <c:pt idx="585">
                  <c:v>7317406</c:v>
                </c:pt>
                <c:pt idx="586">
                  <c:v>7150981</c:v>
                </c:pt>
                <c:pt idx="587">
                  <c:v>6741565</c:v>
                </c:pt>
                <c:pt idx="588">
                  <c:v>3899190</c:v>
                </c:pt>
                <c:pt idx="589">
                  <c:v>7646250</c:v>
                </c:pt>
                <c:pt idx="590">
                  <c:v>5283400</c:v>
                </c:pt>
                <c:pt idx="591">
                  <c:v>7209495</c:v>
                </c:pt>
                <c:pt idx="592">
                  <c:v>3739146</c:v>
                </c:pt>
                <c:pt idx="593">
                  <c:v>7488301</c:v>
                </c:pt>
              </c:numCache>
            </c:numRef>
          </c:val>
          <c:smooth val="0"/>
          <c:extLst>
            <c:ext xmlns:c16="http://schemas.microsoft.com/office/drawing/2014/chart" uri="{C3380CC4-5D6E-409C-BE32-E72D297353CC}">
              <c16:uniqueId val="{00000000-4940-49DE-8B6C-013AF43C080A}"/>
            </c:ext>
          </c:extLst>
        </c:ser>
        <c:dLbls>
          <c:dLblPos val="ctr"/>
          <c:showLegendKey val="0"/>
          <c:showVal val="1"/>
          <c:showCatName val="0"/>
          <c:showSerName val="0"/>
          <c:showPercent val="0"/>
          <c:showBubbleSize val="0"/>
        </c:dLbls>
        <c:marker val="1"/>
        <c:smooth val="0"/>
        <c:axId val="1066684784"/>
        <c:axId val="1066686704"/>
      </c:lineChart>
      <c:catAx>
        <c:axId val="10666847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Customers 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6686704"/>
        <c:crosses val="autoZero"/>
        <c:auto val="1"/>
        <c:lblAlgn val="ctr"/>
        <c:lblOffset val="100"/>
        <c:noMultiLvlLbl val="0"/>
      </c:catAx>
      <c:valAx>
        <c:axId val="10666867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Axis Cumulative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6668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[customer_analysis_dataset.xlsx]Sheet8!PivotTable5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Count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205287361363956E-2"/>
          <c:y val="0.35119575169382899"/>
          <c:w val="0.87181726315218344"/>
          <c:h val="0.44759434116378605"/>
        </c:manualLayout>
      </c:layout>
      <c:barChart>
        <c:barDir val="col"/>
        <c:grouping val="clustered"/>
        <c:varyColors val="0"/>
        <c:ser>
          <c:idx val="0"/>
          <c:order val="0"/>
          <c:tx>
            <c:strRef>
              <c:f>Sheet8!$B$1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Sheet8!$A$2</c:f>
              <c:strCache>
                <c:ptCount val="1"/>
                <c:pt idx="0">
                  <c:v>New</c:v>
                </c:pt>
              </c:strCache>
            </c:strRef>
          </c:cat>
          <c:val>
            <c:numRef>
              <c:f>Sheet8!$B$2</c:f>
              <c:numCache>
                <c:formatCode>General</c:formatCode>
                <c:ptCount val="1"/>
                <c:pt idx="0">
                  <c:v>77204</c:v>
                </c:pt>
              </c:numCache>
            </c:numRef>
          </c:val>
          <c:extLst>
            <c:ext xmlns:c16="http://schemas.microsoft.com/office/drawing/2014/chart" uri="{C3380CC4-5D6E-409C-BE32-E72D297353CC}">
              <c16:uniqueId val="{00000001-30E4-4EF0-A940-6F5B78B72F44}"/>
            </c:ext>
          </c:extLst>
        </c:ser>
        <c:dLbls>
          <c:dLblPos val="outEnd"/>
          <c:showLegendKey val="0"/>
          <c:showVal val="1"/>
          <c:showCatName val="0"/>
          <c:showSerName val="0"/>
          <c:showPercent val="0"/>
          <c:showBubbleSize val="0"/>
        </c:dLbls>
        <c:gapWidth val="219"/>
        <c:overlap val="-27"/>
        <c:axId val="1064091424"/>
        <c:axId val="1064095264"/>
      </c:barChart>
      <c:catAx>
        <c:axId val="106409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95264"/>
        <c:crosses val="autoZero"/>
        <c:auto val="1"/>
        <c:lblAlgn val="ctr"/>
        <c:lblOffset val="100"/>
        <c:noMultiLvlLbl val="0"/>
      </c:catAx>
      <c:valAx>
        <c:axId val="10640952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Orders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6409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[customer_analysis_dataset.xlsx]Sheet5!PivotTable2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Loyalty vs.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932168235068175"/>
          <c:y val="0.31619987124250976"/>
          <c:w val="0.78062729658792651"/>
          <c:h val="0.43957239720034996"/>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Sheet5!$A$4:$A$5</c:f>
              <c:strCache>
                <c:ptCount val="2"/>
                <c:pt idx="0">
                  <c:v>New</c:v>
                </c:pt>
                <c:pt idx="1">
                  <c:v>Repeat</c:v>
                </c:pt>
              </c:strCache>
            </c:strRef>
          </c:cat>
          <c:val>
            <c:numRef>
              <c:f>Sheet5!$B$4:$B$5</c:f>
              <c:numCache>
                <c:formatCode>General</c:formatCode>
                <c:ptCount val="2"/>
                <c:pt idx="0">
                  <c:v>77204</c:v>
                </c:pt>
                <c:pt idx="1">
                  <c:v>7569687</c:v>
                </c:pt>
              </c:numCache>
            </c:numRef>
          </c:val>
          <c:extLst>
            <c:ext xmlns:c16="http://schemas.microsoft.com/office/drawing/2014/chart" uri="{C3380CC4-5D6E-409C-BE32-E72D297353CC}">
              <c16:uniqueId val="{00000000-52EB-469A-92EC-6D5C2CF2BFCE}"/>
            </c:ext>
          </c:extLst>
        </c:ser>
        <c:dLbls>
          <c:showLegendKey val="0"/>
          <c:showVal val="0"/>
          <c:showCatName val="0"/>
          <c:showSerName val="0"/>
          <c:showPercent val="0"/>
          <c:showBubbleSize val="0"/>
        </c:dLbls>
        <c:gapWidth val="219"/>
        <c:overlap val="-27"/>
        <c:axId val="1003294896"/>
        <c:axId val="1003296336"/>
      </c:barChart>
      <c:catAx>
        <c:axId val="100329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Old Vs New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96336"/>
        <c:crosses val="autoZero"/>
        <c:auto val="1"/>
        <c:lblAlgn val="ctr"/>
        <c:lblOffset val="100"/>
        <c:noMultiLvlLbl val="0"/>
      </c:catAx>
      <c:valAx>
        <c:axId val="1003296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9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 Of Customers Gen</a:t>
            </a:r>
            <a:r>
              <a:rPr lang="en-US" baseline="0"/>
              <a:t> 80%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Sheet1!$B$3</c:f>
              <c:strCache>
                <c:ptCount val="1"/>
                <c:pt idx="0">
                  <c:v>Sum of Total_Revenue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22-495F-B6B8-D4FC9BD362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22-495F-B6B8-D4FC9BD362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Sheet1!$A$4:$A$5</c:f>
              <c:strCache>
                <c:ptCount val="2"/>
                <c:pt idx="0">
                  <c:v>Others</c:v>
                </c:pt>
                <c:pt idx="1">
                  <c:v>Top Customers</c:v>
                </c:pt>
              </c:strCache>
            </c:strRef>
          </c:cat>
          <c:val>
            <c:numRef>
              <c:f>Sheet1!$B$4:$B$5</c:f>
              <c:numCache>
                <c:formatCode>0.00</c:formatCode>
                <c:ptCount val="2"/>
                <c:pt idx="0">
                  <c:v>1537175</c:v>
                </c:pt>
                <c:pt idx="1">
                  <c:v>6109716</c:v>
                </c:pt>
              </c:numCache>
            </c:numRef>
          </c:val>
          <c:extLst>
            <c:ext xmlns:c16="http://schemas.microsoft.com/office/drawing/2014/chart" uri="{C3380CC4-5D6E-409C-BE32-E72D297353CC}">
              <c16:uniqueId val="{00000004-DC22-495F-B6B8-D4FC9BD3620E}"/>
            </c:ext>
          </c:extLst>
        </c:ser>
        <c:ser>
          <c:idx val="1"/>
          <c:order val="1"/>
          <c:tx>
            <c:strRef>
              <c:f>Sheet1!$C$3</c:f>
              <c:strCache>
                <c:ptCount val="1"/>
                <c:pt idx="0">
                  <c:v>Sum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C22-495F-B6B8-D4FC9BD362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C22-495F-B6B8-D4FC9BD362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Sheet1!$A$4:$A$5</c:f>
              <c:strCache>
                <c:ptCount val="2"/>
                <c:pt idx="0">
                  <c:v>Others</c:v>
                </c:pt>
                <c:pt idx="1">
                  <c:v>Top Customers</c:v>
                </c:pt>
              </c:strCache>
            </c:strRef>
          </c:cat>
          <c:val>
            <c:numRef>
              <c:f>Sheet1!$C$4:$C$5</c:f>
              <c:numCache>
                <c:formatCode>0.00</c:formatCode>
                <c:ptCount val="2"/>
                <c:pt idx="0">
                  <c:v>308983</c:v>
                </c:pt>
                <c:pt idx="1">
                  <c:v>463665</c:v>
                </c:pt>
              </c:numCache>
            </c:numRef>
          </c:val>
          <c:extLst>
            <c:ext xmlns:c16="http://schemas.microsoft.com/office/drawing/2014/chart" uri="{C3380CC4-5D6E-409C-BE32-E72D297353CC}">
              <c16:uniqueId val="{00000009-DC22-495F-B6B8-D4FC9BD3620E}"/>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 Vs New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E3-44D5-9D61-75840EB176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E3-44D5-9D61-75840EB176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New</c:v>
                </c:pt>
                <c:pt idx="1">
                  <c:v>Repeat</c:v>
                </c:pt>
              </c:strCache>
            </c:strRef>
          </c:cat>
          <c:val>
            <c:numRef>
              <c:f>Sheet4!$B$4:$B$6</c:f>
              <c:numCache>
                <c:formatCode>0.00</c:formatCode>
                <c:ptCount val="2"/>
                <c:pt idx="0">
                  <c:v>36325</c:v>
                </c:pt>
                <c:pt idx="1">
                  <c:v>736323</c:v>
                </c:pt>
              </c:numCache>
            </c:numRef>
          </c:val>
          <c:extLst>
            <c:ext xmlns:c16="http://schemas.microsoft.com/office/drawing/2014/chart" uri="{C3380CC4-5D6E-409C-BE32-E72D297353CC}">
              <c16:uniqueId val="{00000004-F7E3-44D5-9D61-75840EB176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[customer_analysis_dataset.xlsx]Sheet6!PivotTable3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759405074366"/>
          <c:y val="0.29106262758821816"/>
          <c:w val="0.68391863517060369"/>
          <c:h val="0.50415609507144943"/>
        </c:manualLayout>
      </c:layout>
      <c:lineChart>
        <c:grouping val="standard"/>
        <c:varyColors val="0"/>
        <c:ser>
          <c:idx val="0"/>
          <c:order val="0"/>
          <c:tx>
            <c:strRef>
              <c:f>Sheet6!$B$3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Sheet6!$A$4:$A$598</c:f>
              <c:strCache>
                <c:ptCount val="594"/>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1053</c:v>
                </c:pt>
                <c:pt idx="52">
                  <c:v>1054</c:v>
                </c:pt>
                <c:pt idx="53">
                  <c:v>1055</c:v>
                </c:pt>
                <c:pt idx="54">
                  <c:v>1056</c:v>
                </c:pt>
                <c:pt idx="55">
                  <c:v>1057</c:v>
                </c:pt>
                <c:pt idx="56">
                  <c:v>1058</c:v>
                </c:pt>
                <c:pt idx="57">
                  <c:v>1059</c:v>
                </c:pt>
                <c:pt idx="58">
                  <c:v>1060</c:v>
                </c:pt>
                <c:pt idx="59">
                  <c:v>1061</c:v>
                </c:pt>
                <c:pt idx="60">
                  <c:v>1062</c:v>
                </c:pt>
                <c:pt idx="61">
                  <c:v>1063</c:v>
                </c:pt>
                <c:pt idx="62">
                  <c:v>1064</c:v>
                </c:pt>
                <c:pt idx="63">
                  <c:v>1065</c:v>
                </c:pt>
                <c:pt idx="64">
                  <c:v>1066</c:v>
                </c:pt>
                <c:pt idx="65">
                  <c:v>1067</c:v>
                </c:pt>
                <c:pt idx="66">
                  <c:v>1068</c:v>
                </c:pt>
                <c:pt idx="67">
                  <c:v>1069</c:v>
                </c:pt>
                <c:pt idx="68">
                  <c:v>1070</c:v>
                </c:pt>
                <c:pt idx="69">
                  <c:v>1072</c:v>
                </c:pt>
                <c:pt idx="70">
                  <c:v>1073</c:v>
                </c:pt>
                <c:pt idx="71">
                  <c:v>1074</c:v>
                </c:pt>
                <c:pt idx="72">
                  <c:v>1075</c:v>
                </c:pt>
                <c:pt idx="73">
                  <c:v>1076</c:v>
                </c:pt>
                <c:pt idx="74">
                  <c:v>1077</c:v>
                </c:pt>
                <c:pt idx="75">
                  <c:v>1078</c:v>
                </c:pt>
                <c:pt idx="76">
                  <c:v>1079</c:v>
                </c:pt>
                <c:pt idx="77">
                  <c:v>1080</c:v>
                </c:pt>
                <c:pt idx="78">
                  <c:v>1081</c:v>
                </c:pt>
                <c:pt idx="79">
                  <c:v>1082</c:v>
                </c:pt>
                <c:pt idx="80">
                  <c:v>1083</c:v>
                </c:pt>
                <c:pt idx="81">
                  <c:v>1084</c:v>
                </c:pt>
                <c:pt idx="82">
                  <c:v>1085</c:v>
                </c:pt>
                <c:pt idx="83">
                  <c:v>1086</c:v>
                </c:pt>
                <c:pt idx="84">
                  <c:v>1087</c:v>
                </c:pt>
                <c:pt idx="85">
                  <c:v>1088</c:v>
                </c:pt>
                <c:pt idx="86">
                  <c:v>1089</c:v>
                </c:pt>
                <c:pt idx="87">
                  <c:v>1090</c:v>
                </c:pt>
                <c:pt idx="88">
                  <c:v>1091</c:v>
                </c:pt>
                <c:pt idx="89">
                  <c:v>1092</c:v>
                </c:pt>
                <c:pt idx="90">
                  <c:v>1093</c:v>
                </c:pt>
                <c:pt idx="91">
                  <c:v>1094</c:v>
                </c:pt>
                <c:pt idx="92">
                  <c:v>1095</c:v>
                </c:pt>
                <c:pt idx="93">
                  <c:v>1096</c:v>
                </c:pt>
                <c:pt idx="94">
                  <c:v>1097</c:v>
                </c:pt>
                <c:pt idx="95">
                  <c:v>1098</c:v>
                </c:pt>
                <c:pt idx="96">
                  <c:v>1099</c:v>
                </c:pt>
                <c:pt idx="97">
                  <c:v>1100</c:v>
                </c:pt>
                <c:pt idx="98">
                  <c:v>1101</c:v>
                </c:pt>
                <c:pt idx="99">
                  <c:v>1102</c:v>
                </c:pt>
                <c:pt idx="100">
                  <c:v>1103</c:v>
                </c:pt>
                <c:pt idx="101">
                  <c:v>1104</c:v>
                </c:pt>
                <c:pt idx="102">
                  <c:v>1105</c:v>
                </c:pt>
                <c:pt idx="103">
                  <c:v>1106</c:v>
                </c:pt>
                <c:pt idx="104">
                  <c:v>1107</c:v>
                </c:pt>
                <c:pt idx="105">
                  <c:v>1108</c:v>
                </c:pt>
                <c:pt idx="106">
                  <c:v>1109</c:v>
                </c:pt>
                <c:pt idx="107">
                  <c:v>1110</c:v>
                </c:pt>
                <c:pt idx="108">
                  <c:v>1111</c:v>
                </c:pt>
                <c:pt idx="109">
                  <c:v>1112</c:v>
                </c:pt>
                <c:pt idx="110">
                  <c:v>1113</c:v>
                </c:pt>
                <c:pt idx="111">
                  <c:v>1114</c:v>
                </c:pt>
                <c:pt idx="112">
                  <c:v>1115</c:v>
                </c:pt>
                <c:pt idx="113">
                  <c:v>1116</c:v>
                </c:pt>
                <c:pt idx="114">
                  <c:v>1117</c:v>
                </c:pt>
                <c:pt idx="115">
                  <c:v>1118</c:v>
                </c:pt>
                <c:pt idx="116">
                  <c:v>1119</c:v>
                </c:pt>
                <c:pt idx="117">
                  <c:v>1120</c:v>
                </c:pt>
                <c:pt idx="118">
                  <c:v>1121</c:v>
                </c:pt>
                <c:pt idx="119">
                  <c:v>1122</c:v>
                </c:pt>
                <c:pt idx="120">
                  <c:v>1123</c:v>
                </c:pt>
                <c:pt idx="121">
                  <c:v>1124</c:v>
                </c:pt>
                <c:pt idx="122">
                  <c:v>1125</c:v>
                </c:pt>
                <c:pt idx="123">
                  <c:v>1126</c:v>
                </c:pt>
                <c:pt idx="124">
                  <c:v>1127</c:v>
                </c:pt>
                <c:pt idx="125">
                  <c:v>1128</c:v>
                </c:pt>
                <c:pt idx="126">
                  <c:v>1129</c:v>
                </c:pt>
                <c:pt idx="127">
                  <c:v>1130</c:v>
                </c:pt>
                <c:pt idx="128">
                  <c:v>1131</c:v>
                </c:pt>
                <c:pt idx="129">
                  <c:v>1132</c:v>
                </c:pt>
                <c:pt idx="130">
                  <c:v>1133</c:v>
                </c:pt>
                <c:pt idx="131">
                  <c:v>1134</c:v>
                </c:pt>
                <c:pt idx="132">
                  <c:v>1135</c:v>
                </c:pt>
                <c:pt idx="133">
                  <c:v>1136</c:v>
                </c:pt>
                <c:pt idx="134">
                  <c:v>1137</c:v>
                </c:pt>
                <c:pt idx="135">
                  <c:v>1138</c:v>
                </c:pt>
                <c:pt idx="136">
                  <c:v>1139</c:v>
                </c:pt>
                <c:pt idx="137">
                  <c:v>1140</c:v>
                </c:pt>
                <c:pt idx="138">
                  <c:v>1141</c:v>
                </c:pt>
                <c:pt idx="139">
                  <c:v>1142</c:v>
                </c:pt>
                <c:pt idx="140">
                  <c:v>1143</c:v>
                </c:pt>
                <c:pt idx="141">
                  <c:v>1144</c:v>
                </c:pt>
                <c:pt idx="142">
                  <c:v>1145</c:v>
                </c:pt>
                <c:pt idx="143">
                  <c:v>1146</c:v>
                </c:pt>
                <c:pt idx="144">
                  <c:v>1147</c:v>
                </c:pt>
                <c:pt idx="145">
                  <c:v>1148</c:v>
                </c:pt>
                <c:pt idx="146">
                  <c:v>1149</c:v>
                </c:pt>
                <c:pt idx="147">
                  <c:v>1150</c:v>
                </c:pt>
                <c:pt idx="148">
                  <c:v>1151</c:v>
                </c:pt>
                <c:pt idx="149">
                  <c:v>1152</c:v>
                </c:pt>
                <c:pt idx="150">
                  <c:v>1153</c:v>
                </c:pt>
                <c:pt idx="151">
                  <c:v>1154</c:v>
                </c:pt>
                <c:pt idx="152">
                  <c:v>1155</c:v>
                </c:pt>
                <c:pt idx="153">
                  <c:v>1156</c:v>
                </c:pt>
                <c:pt idx="154">
                  <c:v>1157</c:v>
                </c:pt>
                <c:pt idx="155">
                  <c:v>1158</c:v>
                </c:pt>
                <c:pt idx="156">
                  <c:v>1159</c:v>
                </c:pt>
                <c:pt idx="157">
                  <c:v>1160</c:v>
                </c:pt>
                <c:pt idx="158">
                  <c:v>1161</c:v>
                </c:pt>
                <c:pt idx="159">
                  <c:v>1162</c:v>
                </c:pt>
                <c:pt idx="160">
                  <c:v>1163</c:v>
                </c:pt>
                <c:pt idx="161">
                  <c:v>1164</c:v>
                </c:pt>
                <c:pt idx="162">
                  <c:v>1165</c:v>
                </c:pt>
                <c:pt idx="163">
                  <c:v>1166</c:v>
                </c:pt>
                <c:pt idx="164">
                  <c:v>1167</c:v>
                </c:pt>
                <c:pt idx="165">
                  <c:v>1168</c:v>
                </c:pt>
                <c:pt idx="166">
                  <c:v>1169</c:v>
                </c:pt>
                <c:pt idx="167">
                  <c:v>1170</c:v>
                </c:pt>
                <c:pt idx="168">
                  <c:v>1171</c:v>
                </c:pt>
                <c:pt idx="169">
                  <c:v>1172</c:v>
                </c:pt>
                <c:pt idx="170">
                  <c:v>1173</c:v>
                </c:pt>
                <c:pt idx="171">
                  <c:v>1174</c:v>
                </c:pt>
                <c:pt idx="172">
                  <c:v>1175</c:v>
                </c:pt>
                <c:pt idx="173">
                  <c:v>1176</c:v>
                </c:pt>
                <c:pt idx="174">
                  <c:v>1177</c:v>
                </c:pt>
                <c:pt idx="175">
                  <c:v>1178</c:v>
                </c:pt>
                <c:pt idx="176">
                  <c:v>1179</c:v>
                </c:pt>
                <c:pt idx="177">
                  <c:v>1180</c:v>
                </c:pt>
                <c:pt idx="178">
                  <c:v>1181</c:v>
                </c:pt>
                <c:pt idx="179">
                  <c:v>1182</c:v>
                </c:pt>
                <c:pt idx="180">
                  <c:v>1183</c:v>
                </c:pt>
                <c:pt idx="181">
                  <c:v>1184</c:v>
                </c:pt>
                <c:pt idx="182">
                  <c:v>1185</c:v>
                </c:pt>
                <c:pt idx="183">
                  <c:v>1186</c:v>
                </c:pt>
                <c:pt idx="184">
                  <c:v>1187</c:v>
                </c:pt>
                <c:pt idx="185">
                  <c:v>1188</c:v>
                </c:pt>
                <c:pt idx="186">
                  <c:v>1189</c:v>
                </c:pt>
                <c:pt idx="187">
                  <c:v>1190</c:v>
                </c:pt>
                <c:pt idx="188">
                  <c:v>1191</c:v>
                </c:pt>
                <c:pt idx="189">
                  <c:v>1192</c:v>
                </c:pt>
                <c:pt idx="190">
                  <c:v>1193</c:v>
                </c:pt>
                <c:pt idx="191">
                  <c:v>1194</c:v>
                </c:pt>
                <c:pt idx="192">
                  <c:v>1195</c:v>
                </c:pt>
                <c:pt idx="193">
                  <c:v>1196</c:v>
                </c:pt>
                <c:pt idx="194">
                  <c:v>1198</c:v>
                </c:pt>
                <c:pt idx="195">
                  <c:v>1199</c:v>
                </c:pt>
                <c:pt idx="196">
                  <c:v>1200</c:v>
                </c:pt>
                <c:pt idx="197">
                  <c:v>1201</c:v>
                </c:pt>
                <c:pt idx="198">
                  <c:v>1202</c:v>
                </c:pt>
                <c:pt idx="199">
                  <c:v>1203</c:v>
                </c:pt>
                <c:pt idx="200">
                  <c:v>1204</c:v>
                </c:pt>
                <c:pt idx="201">
                  <c:v>1205</c:v>
                </c:pt>
                <c:pt idx="202">
                  <c:v>1206</c:v>
                </c:pt>
                <c:pt idx="203">
                  <c:v>1207</c:v>
                </c:pt>
                <c:pt idx="204">
                  <c:v>1208</c:v>
                </c:pt>
                <c:pt idx="205">
                  <c:v>1209</c:v>
                </c:pt>
                <c:pt idx="206">
                  <c:v>1210</c:v>
                </c:pt>
                <c:pt idx="207">
                  <c:v>1211</c:v>
                </c:pt>
                <c:pt idx="208">
                  <c:v>1212</c:v>
                </c:pt>
                <c:pt idx="209">
                  <c:v>1213</c:v>
                </c:pt>
                <c:pt idx="210">
                  <c:v>1214</c:v>
                </c:pt>
                <c:pt idx="211">
                  <c:v>1215</c:v>
                </c:pt>
                <c:pt idx="212">
                  <c:v>1216</c:v>
                </c:pt>
                <c:pt idx="213">
                  <c:v>1217</c:v>
                </c:pt>
                <c:pt idx="214">
                  <c:v>1218</c:v>
                </c:pt>
                <c:pt idx="215">
                  <c:v>1219</c:v>
                </c:pt>
                <c:pt idx="216">
                  <c:v>1220</c:v>
                </c:pt>
                <c:pt idx="217">
                  <c:v>1221</c:v>
                </c:pt>
                <c:pt idx="218">
                  <c:v>1222</c:v>
                </c:pt>
                <c:pt idx="219">
                  <c:v>1223</c:v>
                </c:pt>
                <c:pt idx="220">
                  <c:v>1224</c:v>
                </c:pt>
                <c:pt idx="221">
                  <c:v>1225</c:v>
                </c:pt>
                <c:pt idx="222">
                  <c:v>1226</c:v>
                </c:pt>
                <c:pt idx="223">
                  <c:v>1227</c:v>
                </c:pt>
                <c:pt idx="224">
                  <c:v>1228</c:v>
                </c:pt>
                <c:pt idx="225">
                  <c:v>1229</c:v>
                </c:pt>
                <c:pt idx="226">
                  <c:v>1230</c:v>
                </c:pt>
                <c:pt idx="227">
                  <c:v>1231</c:v>
                </c:pt>
                <c:pt idx="228">
                  <c:v>1232</c:v>
                </c:pt>
                <c:pt idx="229">
                  <c:v>1233</c:v>
                </c:pt>
                <c:pt idx="230">
                  <c:v>1234</c:v>
                </c:pt>
                <c:pt idx="231">
                  <c:v>1235</c:v>
                </c:pt>
                <c:pt idx="232">
                  <c:v>1236</c:v>
                </c:pt>
                <c:pt idx="233">
                  <c:v>1237</c:v>
                </c:pt>
                <c:pt idx="234">
                  <c:v>1238</c:v>
                </c:pt>
                <c:pt idx="235">
                  <c:v>1239</c:v>
                </c:pt>
                <c:pt idx="236">
                  <c:v>1240</c:v>
                </c:pt>
                <c:pt idx="237">
                  <c:v>1241</c:v>
                </c:pt>
                <c:pt idx="238">
                  <c:v>1242</c:v>
                </c:pt>
                <c:pt idx="239">
                  <c:v>1243</c:v>
                </c:pt>
                <c:pt idx="240">
                  <c:v>1244</c:v>
                </c:pt>
                <c:pt idx="241">
                  <c:v>1245</c:v>
                </c:pt>
                <c:pt idx="242">
                  <c:v>1246</c:v>
                </c:pt>
                <c:pt idx="243">
                  <c:v>1247</c:v>
                </c:pt>
                <c:pt idx="244">
                  <c:v>1248</c:v>
                </c:pt>
                <c:pt idx="245">
                  <c:v>1249</c:v>
                </c:pt>
                <c:pt idx="246">
                  <c:v>1250</c:v>
                </c:pt>
                <c:pt idx="247">
                  <c:v>1251</c:v>
                </c:pt>
                <c:pt idx="248">
                  <c:v>1252</c:v>
                </c:pt>
                <c:pt idx="249">
                  <c:v>1253</c:v>
                </c:pt>
                <c:pt idx="250">
                  <c:v>1254</c:v>
                </c:pt>
                <c:pt idx="251">
                  <c:v>1255</c:v>
                </c:pt>
                <c:pt idx="252">
                  <c:v>1256</c:v>
                </c:pt>
                <c:pt idx="253">
                  <c:v>1257</c:v>
                </c:pt>
                <c:pt idx="254">
                  <c:v>1258</c:v>
                </c:pt>
                <c:pt idx="255">
                  <c:v>1259</c:v>
                </c:pt>
                <c:pt idx="256">
                  <c:v>1260</c:v>
                </c:pt>
                <c:pt idx="257">
                  <c:v>1261</c:v>
                </c:pt>
                <c:pt idx="258">
                  <c:v>1262</c:v>
                </c:pt>
                <c:pt idx="259">
                  <c:v>1263</c:v>
                </c:pt>
                <c:pt idx="260">
                  <c:v>1264</c:v>
                </c:pt>
                <c:pt idx="261">
                  <c:v>1265</c:v>
                </c:pt>
                <c:pt idx="262">
                  <c:v>1266</c:v>
                </c:pt>
                <c:pt idx="263">
                  <c:v>1267</c:v>
                </c:pt>
                <c:pt idx="264">
                  <c:v>1268</c:v>
                </c:pt>
                <c:pt idx="265">
                  <c:v>1269</c:v>
                </c:pt>
                <c:pt idx="266">
                  <c:v>1270</c:v>
                </c:pt>
                <c:pt idx="267">
                  <c:v>1271</c:v>
                </c:pt>
                <c:pt idx="268">
                  <c:v>1272</c:v>
                </c:pt>
                <c:pt idx="269">
                  <c:v>1273</c:v>
                </c:pt>
                <c:pt idx="270">
                  <c:v>1274</c:v>
                </c:pt>
                <c:pt idx="271">
                  <c:v>1275</c:v>
                </c:pt>
                <c:pt idx="272">
                  <c:v>1276</c:v>
                </c:pt>
                <c:pt idx="273">
                  <c:v>1277</c:v>
                </c:pt>
                <c:pt idx="274">
                  <c:v>1278</c:v>
                </c:pt>
                <c:pt idx="275">
                  <c:v>1279</c:v>
                </c:pt>
                <c:pt idx="276">
                  <c:v>1280</c:v>
                </c:pt>
                <c:pt idx="277">
                  <c:v>1281</c:v>
                </c:pt>
                <c:pt idx="278">
                  <c:v>1282</c:v>
                </c:pt>
                <c:pt idx="279">
                  <c:v>1283</c:v>
                </c:pt>
                <c:pt idx="280">
                  <c:v>1284</c:v>
                </c:pt>
                <c:pt idx="281">
                  <c:v>1285</c:v>
                </c:pt>
                <c:pt idx="282">
                  <c:v>1286</c:v>
                </c:pt>
                <c:pt idx="283">
                  <c:v>1287</c:v>
                </c:pt>
                <c:pt idx="284">
                  <c:v>1288</c:v>
                </c:pt>
                <c:pt idx="285">
                  <c:v>1289</c:v>
                </c:pt>
                <c:pt idx="286">
                  <c:v>1290</c:v>
                </c:pt>
                <c:pt idx="287">
                  <c:v>1291</c:v>
                </c:pt>
                <c:pt idx="288">
                  <c:v>1292</c:v>
                </c:pt>
                <c:pt idx="289">
                  <c:v>1293</c:v>
                </c:pt>
                <c:pt idx="290">
                  <c:v>1294</c:v>
                </c:pt>
                <c:pt idx="291">
                  <c:v>1295</c:v>
                </c:pt>
                <c:pt idx="292">
                  <c:v>1296</c:v>
                </c:pt>
                <c:pt idx="293">
                  <c:v>1297</c:v>
                </c:pt>
                <c:pt idx="294">
                  <c:v>1298</c:v>
                </c:pt>
                <c:pt idx="295">
                  <c:v>1300</c:v>
                </c:pt>
                <c:pt idx="296">
                  <c:v>1301</c:v>
                </c:pt>
                <c:pt idx="297">
                  <c:v>1302</c:v>
                </c:pt>
                <c:pt idx="298">
                  <c:v>1303</c:v>
                </c:pt>
                <c:pt idx="299">
                  <c:v>1304</c:v>
                </c:pt>
                <c:pt idx="300">
                  <c:v>1305</c:v>
                </c:pt>
                <c:pt idx="301">
                  <c:v>1306</c:v>
                </c:pt>
                <c:pt idx="302">
                  <c:v>1307</c:v>
                </c:pt>
                <c:pt idx="303">
                  <c:v>1308</c:v>
                </c:pt>
                <c:pt idx="304">
                  <c:v>1309</c:v>
                </c:pt>
                <c:pt idx="305">
                  <c:v>1310</c:v>
                </c:pt>
                <c:pt idx="306">
                  <c:v>1311</c:v>
                </c:pt>
                <c:pt idx="307">
                  <c:v>1312</c:v>
                </c:pt>
                <c:pt idx="308">
                  <c:v>1313</c:v>
                </c:pt>
                <c:pt idx="309">
                  <c:v>1314</c:v>
                </c:pt>
                <c:pt idx="310">
                  <c:v>1315</c:v>
                </c:pt>
                <c:pt idx="311">
                  <c:v>1316</c:v>
                </c:pt>
                <c:pt idx="312">
                  <c:v>1317</c:v>
                </c:pt>
                <c:pt idx="313">
                  <c:v>1318</c:v>
                </c:pt>
                <c:pt idx="314">
                  <c:v>1319</c:v>
                </c:pt>
                <c:pt idx="315">
                  <c:v>1320</c:v>
                </c:pt>
                <c:pt idx="316">
                  <c:v>1321</c:v>
                </c:pt>
                <c:pt idx="317">
                  <c:v>1322</c:v>
                </c:pt>
                <c:pt idx="318">
                  <c:v>1323</c:v>
                </c:pt>
                <c:pt idx="319">
                  <c:v>1324</c:v>
                </c:pt>
                <c:pt idx="320">
                  <c:v>1325</c:v>
                </c:pt>
                <c:pt idx="321">
                  <c:v>1326</c:v>
                </c:pt>
                <c:pt idx="322">
                  <c:v>1327</c:v>
                </c:pt>
                <c:pt idx="323">
                  <c:v>1328</c:v>
                </c:pt>
                <c:pt idx="324">
                  <c:v>1329</c:v>
                </c:pt>
                <c:pt idx="325">
                  <c:v>1330</c:v>
                </c:pt>
                <c:pt idx="326">
                  <c:v>1331</c:v>
                </c:pt>
                <c:pt idx="327">
                  <c:v>1332</c:v>
                </c:pt>
                <c:pt idx="328">
                  <c:v>1333</c:v>
                </c:pt>
                <c:pt idx="329">
                  <c:v>1334</c:v>
                </c:pt>
                <c:pt idx="330">
                  <c:v>1335</c:v>
                </c:pt>
                <c:pt idx="331">
                  <c:v>1336</c:v>
                </c:pt>
                <c:pt idx="332">
                  <c:v>1337</c:v>
                </c:pt>
                <c:pt idx="333">
                  <c:v>1338</c:v>
                </c:pt>
                <c:pt idx="334">
                  <c:v>1339</c:v>
                </c:pt>
                <c:pt idx="335">
                  <c:v>1340</c:v>
                </c:pt>
                <c:pt idx="336">
                  <c:v>1341</c:v>
                </c:pt>
                <c:pt idx="337">
                  <c:v>1342</c:v>
                </c:pt>
                <c:pt idx="338">
                  <c:v>1343</c:v>
                </c:pt>
                <c:pt idx="339">
                  <c:v>1344</c:v>
                </c:pt>
                <c:pt idx="340">
                  <c:v>1345</c:v>
                </c:pt>
                <c:pt idx="341">
                  <c:v>1346</c:v>
                </c:pt>
                <c:pt idx="342">
                  <c:v>1347</c:v>
                </c:pt>
                <c:pt idx="343">
                  <c:v>1348</c:v>
                </c:pt>
                <c:pt idx="344">
                  <c:v>1349</c:v>
                </c:pt>
                <c:pt idx="345">
                  <c:v>1350</c:v>
                </c:pt>
                <c:pt idx="346">
                  <c:v>1351</c:v>
                </c:pt>
                <c:pt idx="347">
                  <c:v>1352</c:v>
                </c:pt>
                <c:pt idx="348">
                  <c:v>1353</c:v>
                </c:pt>
                <c:pt idx="349">
                  <c:v>1354</c:v>
                </c:pt>
                <c:pt idx="350">
                  <c:v>1355</c:v>
                </c:pt>
                <c:pt idx="351">
                  <c:v>1356</c:v>
                </c:pt>
                <c:pt idx="352">
                  <c:v>1357</c:v>
                </c:pt>
                <c:pt idx="353">
                  <c:v>1358</c:v>
                </c:pt>
                <c:pt idx="354">
                  <c:v>1359</c:v>
                </c:pt>
                <c:pt idx="355">
                  <c:v>1360</c:v>
                </c:pt>
                <c:pt idx="356">
                  <c:v>1361</c:v>
                </c:pt>
                <c:pt idx="357">
                  <c:v>1362</c:v>
                </c:pt>
                <c:pt idx="358">
                  <c:v>1363</c:v>
                </c:pt>
                <c:pt idx="359">
                  <c:v>1364</c:v>
                </c:pt>
                <c:pt idx="360">
                  <c:v>1365</c:v>
                </c:pt>
                <c:pt idx="361">
                  <c:v>1366</c:v>
                </c:pt>
                <c:pt idx="362">
                  <c:v>1367</c:v>
                </c:pt>
                <c:pt idx="363">
                  <c:v>1368</c:v>
                </c:pt>
                <c:pt idx="364">
                  <c:v>1369</c:v>
                </c:pt>
                <c:pt idx="365">
                  <c:v>1370</c:v>
                </c:pt>
                <c:pt idx="366">
                  <c:v>1371</c:v>
                </c:pt>
                <c:pt idx="367">
                  <c:v>1372</c:v>
                </c:pt>
                <c:pt idx="368">
                  <c:v>1373</c:v>
                </c:pt>
                <c:pt idx="369">
                  <c:v>1374</c:v>
                </c:pt>
                <c:pt idx="370">
                  <c:v>1375</c:v>
                </c:pt>
                <c:pt idx="371">
                  <c:v>1376</c:v>
                </c:pt>
                <c:pt idx="372">
                  <c:v>1377</c:v>
                </c:pt>
                <c:pt idx="373">
                  <c:v>1378</c:v>
                </c:pt>
                <c:pt idx="374">
                  <c:v>1379</c:v>
                </c:pt>
                <c:pt idx="375">
                  <c:v>1380</c:v>
                </c:pt>
                <c:pt idx="376">
                  <c:v>1381</c:v>
                </c:pt>
                <c:pt idx="377">
                  <c:v>1382</c:v>
                </c:pt>
                <c:pt idx="378">
                  <c:v>1383</c:v>
                </c:pt>
                <c:pt idx="379">
                  <c:v>1384</c:v>
                </c:pt>
                <c:pt idx="380">
                  <c:v>1385</c:v>
                </c:pt>
                <c:pt idx="381">
                  <c:v>1386</c:v>
                </c:pt>
                <c:pt idx="382">
                  <c:v>1387</c:v>
                </c:pt>
                <c:pt idx="383">
                  <c:v>1388</c:v>
                </c:pt>
                <c:pt idx="384">
                  <c:v>1389</c:v>
                </c:pt>
                <c:pt idx="385">
                  <c:v>1390</c:v>
                </c:pt>
                <c:pt idx="386">
                  <c:v>1391</c:v>
                </c:pt>
                <c:pt idx="387">
                  <c:v>1392</c:v>
                </c:pt>
                <c:pt idx="388">
                  <c:v>1393</c:v>
                </c:pt>
                <c:pt idx="389">
                  <c:v>1394</c:v>
                </c:pt>
                <c:pt idx="390">
                  <c:v>1395</c:v>
                </c:pt>
                <c:pt idx="391">
                  <c:v>1396</c:v>
                </c:pt>
                <c:pt idx="392">
                  <c:v>1397</c:v>
                </c:pt>
                <c:pt idx="393">
                  <c:v>1398</c:v>
                </c:pt>
                <c:pt idx="394">
                  <c:v>1399</c:v>
                </c:pt>
                <c:pt idx="395">
                  <c:v>1400</c:v>
                </c:pt>
                <c:pt idx="396">
                  <c:v>1401</c:v>
                </c:pt>
                <c:pt idx="397">
                  <c:v>1402</c:v>
                </c:pt>
                <c:pt idx="398">
                  <c:v>1403</c:v>
                </c:pt>
                <c:pt idx="399">
                  <c:v>1404</c:v>
                </c:pt>
                <c:pt idx="400">
                  <c:v>1405</c:v>
                </c:pt>
                <c:pt idx="401">
                  <c:v>1406</c:v>
                </c:pt>
                <c:pt idx="402">
                  <c:v>1407</c:v>
                </c:pt>
                <c:pt idx="403">
                  <c:v>1408</c:v>
                </c:pt>
                <c:pt idx="404">
                  <c:v>1409</c:v>
                </c:pt>
                <c:pt idx="405">
                  <c:v>1410</c:v>
                </c:pt>
                <c:pt idx="406">
                  <c:v>1411</c:v>
                </c:pt>
                <c:pt idx="407">
                  <c:v>1412</c:v>
                </c:pt>
                <c:pt idx="408">
                  <c:v>1413</c:v>
                </c:pt>
                <c:pt idx="409">
                  <c:v>1414</c:v>
                </c:pt>
                <c:pt idx="410">
                  <c:v>1415</c:v>
                </c:pt>
                <c:pt idx="411">
                  <c:v>1416</c:v>
                </c:pt>
                <c:pt idx="412">
                  <c:v>1417</c:v>
                </c:pt>
                <c:pt idx="413">
                  <c:v>1418</c:v>
                </c:pt>
                <c:pt idx="414">
                  <c:v>1419</c:v>
                </c:pt>
                <c:pt idx="415">
                  <c:v>1420</c:v>
                </c:pt>
                <c:pt idx="416">
                  <c:v>1421</c:v>
                </c:pt>
                <c:pt idx="417">
                  <c:v>1422</c:v>
                </c:pt>
                <c:pt idx="418">
                  <c:v>1423</c:v>
                </c:pt>
                <c:pt idx="419">
                  <c:v>1424</c:v>
                </c:pt>
                <c:pt idx="420">
                  <c:v>1425</c:v>
                </c:pt>
                <c:pt idx="421">
                  <c:v>1426</c:v>
                </c:pt>
                <c:pt idx="422">
                  <c:v>1427</c:v>
                </c:pt>
                <c:pt idx="423">
                  <c:v>1428</c:v>
                </c:pt>
                <c:pt idx="424">
                  <c:v>1429</c:v>
                </c:pt>
                <c:pt idx="425">
                  <c:v>1430</c:v>
                </c:pt>
                <c:pt idx="426">
                  <c:v>1431</c:v>
                </c:pt>
                <c:pt idx="427">
                  <c:v>1432</c:v>
                </c:pt>
                <c:pt idx="428">
                  <c:v>1434</c:v>
                </c:pt>
                <c:pt idx="429">
                  <c:v>1435</c:v>
                </c:pt>
                <c:pt idx="430">
                  <c:v>1436</c:v>
                </c:pt>
                <c:pt idx="431">
                  <c:v>1437</c:v>
                </c:pt>
                <c:pt idx="432">
                  <c:v>1438</c:v>
                </c:pt>
                <c:pt idx="433">
                  <c:v>1439</c:v>
                </c:pt>
                <c:pt idx="434">
                  <c:v>1440</c:v>
                </c:pt>
                <c:pt idx="435">
                  <c:v>1441</c:v>
                </c:pt>
                <c:pt idx="436">
                  <c:v>1442</c:v>
                </c:pt>
                <c:pt idx="437">
                  <c:v>1443</c:v>
                </c:pt>
                <c:pt idx="438">
                  <c:v>1444</c:v>
                </c:pt>
                <c:pt idx="439">
                  <c:v>1445</c:v>
                </c:pt>
                <c:pt idx="440">
                  <c:v>1446</c:v>
                </c:pt>
                <c:pt idx="441">
                  <c:v>1447</c:v>
                </c:pt>
                <c:pt idx="442">
                  <c:v>1448</c:v>
                </c:pt>
                <c:pt idx="443">
                  <c:v>1449</c:v>
                </c:pt>
                <c:pt idx="444">
                  <c:v>1450</c:v>
                </c:pt>
                <c:pt idx="445">
                  <c:v>1451</c:v>
                </c:pt>
                <c:pt idx="446">
                  <c:v>1452</c:v>
                </c:pt>
                <c:pt idx="447">
                  <c:v>1453</c:v>
                </c:pt>
                <c:pt idx="448">
                  <c:v>1454</c:v>
                </c:pt>
                <c:pt idx="449">
                  <c:v>1455</c:v>
                </c:pt>
                <c:pt idx="450">
                  <c:v>1456</c:v>
                </c:pt>
                <c:pt idx="451">
                  <c:v>1457</c:v>
                </c:pt>
                <c:pt idx="452">
                  <c:v>1458</c:v>
                </c:pt>
                <c:pt idx="453">
                  <c:v>1459</c:v>
                </c:pt>
                <c:pt idx="454">
                  <c:v>1460</c:v>
                </c:pt>
                <c:pt idx="455">
                  <c:v>1461</c:v>
                </c:pt>
                <c:pt idx="456">
                  <c:v>1462</c:v>
                </c:pt>
                <c:pt idx="457">
                  <c:v>1463</c:v>
                </c:pt>
                <c:pt idx="458">
                  <c:v>1464</c:v>
                </c:pt>
                <c:pt idx="459">
                  <c:v>1465</c:v>
                </c:pt>
                <c:pt idx="460">
                  <c:v>1466</c:v>
                </c:pt>
                <c:pt idx="461">
                  <c:v>1467</c:v>
                </c:pt>
                <c:pt idx="462">
                  <c:v>1468</c:v>
                </c:pt>
                <c:pt idx="463">
                  <c:v>1469</c:v>
                </c:pt>
                <c:pt idx="464">
                  <c:v>1470</c:v>
                </c:pt>
                <c:pt idx="465">
                  <c:v>1471</c:v>
                </c:pt>
                <c:pt idx="466">
                  <c:v>1472</c:v>
                </c:pt>
                <c:pt idx="467">
                  <c:v>1473</c:v>
                </c:pt>
                <c:pt idx="468">
                  <c:v>1474</c:v>
                </c:pt>
                <c:pt idx="469">
                  <c:v>1475</c:v>
                </c:pt>
                <c:pt idx="470">
                  <c:v>1476</c:v>
                </c:pt>
                <c:pt idx="471">
                  <c:v>1477</c:v>
                </c:pt>
                <c:pt idx="472">
                  <c:v>1478</c:v>
                </c:pt>
                <c:pt idx="473">
                  <c:v>1479</c:v>
                </c:pt>
                <c:pt idx="474">
                  <c:v>1480</c:v>
                </c:pt>
                <c:pt idx="475">
                  <c:v>1481</c:v>
                </c:pt>
                <c:pt idx="476">
                  <c:v>1482</c:v>
                </c:pt>
                <c:pt idx="477">
                  <c:v>1483</c:v>
                </c:pt>
                <c:pt idx="478">
                  <c:v>1484</c:v>
                </c:pt>
                <c:pt idx="479">
                  <c:v>1485</c:v>
                </c:pt>
                <c:pt idx="480">
                  <c:v>1486</c:v>
                </c:pt>
                <c:pt idx="481">
                  <c:v>1487</c:v>
                </c:pt>
                <c:pt idx="482">
                  <c:v>1488</c:v>
                </c:pt>
                <c:pt idx="483">
                  <c:v>1489</c:v>
                </c:pt>
                <c:pt idx="484">
                  <c:v>1490</c:v>
                </c:pt>
                <c:pt idx="485">
                  <c:v>1491</c:v>
                </c:pt>
                <c:pt idx="486">
                  <c:v>1492</c:v>
                </c:pt>
                <c:pt idx="487">
                  <c:v>1493</c:v>
                </c:pt>
                <c:pt idx="488">
                  <c:v>1494</c:v>
                </c:pt>
                <c:pt idx="489">
                  <c:v>1495</c:v>
                </c:pt>
                <c:pt idx="490">
                  <c:v>1496</c:v>
                </c:pt>
                <c:pt idx="491">
                  <c:v>1497</c:v>
                </c:pt>
                <c:pt idx="492">
                  <c:v>1498</c:v>
                </c:pt>
                <c:pt idx="493">
                  <c:v>1499</c:v>
                </c:pt>
                <c:pt idx="494">
                  <c:v>1500</c:v>
                </c:pt>
                <c:pt idx="495">
                  <c:v>1501</c:v>
                </c:pt>
                <c:pt idx="496">
                  <c:v>1502</c:v>
                </c:pt>
                <c:pt idx="497">
                  <c:v>1503</c:v>
                </c:pt>
                <c:pt idx="498">
                  <c:v>1504</c:v>
                </c:pt>
                <c:pt idx="499">
                  <c:v>1505</c:v>
                </c:pt>
                <c:pt idx="500">
                  <c:v>1506</c:v>
                </c:pt>
                <c:pt idx="501">
                  <c:v>1507</c:v>
                </c:pt>
                <c:pt idx="502">
                  <c:v>1508</c:v>
                </c:pt>
                <c:pt idx="503">
                  <c:v>1509</c:v>
                </c:pt>
                <c:pt idx="504">
                  <c:v>1510</c:v>
                </c:pt>
                <c:pt idx="505">
                  <c:v>1511</c:v>
                </c:pt>
                <c:pt idx="506">
                  <c:v>1512</c:v>
                </c:pt>
                <c:pt idx="507">
                  <c:v>1513</c:v>
                </c:pt>
                <c:pt idx="508">
                  <c:v>1514</c:v>
                </c:pt>
                <c:pt idx="509">
                  <c:v>1515</c:v>
                </c:pt>
                <c:pt idx="510">
                  <c:v>1516</c:v>
                </c:pt>
                <c:pt idx="511">
                  <c:v>1517</c:v>
                </c:pt>
                <c:pt idx="512">
                  <c:v>1518</c:v>
                </c:pt>
                <c:pt idx="513">
                  <c:v>1519</c:v>
                </c:pt>
                <c:pt idx="514">
                  <c:v>1520</c:v>
                </c:pt>
                <c:pt idx="515">
                  <c:v>1521</c:v>
                </c:pt>
                <c:pt idx="516">
                  <c:v>1522</c:v>
                </c:pt>
                <c:pt idx="517">
                  <c:v>1523</c:v>
                </c:pt>
                <c:pt idx="518">
                  <c:v>1524</c:v>
                </c:pt>
                <c:pt idx="519">
                  <c:v>1525</c:v>
                </c:pt>
                <c:pt idx="520">
                  <c:v>1526</c:v>
                </c:pt>
                <c:pt idx="521">
                  <c:v>1527</c:v>
                </c:pt>
                <c:pt idx="522">
                  <c:v>1528</c:v>
                </c:pt>
                <c:pt idx="523">
                  <c:v>1529</c:v>
                </c:pt>
                <c:pt idx="524">
                  <c:v>1530</c:v>
                </c:pt>
                <c:pt idx="525">
                  <c:v>1531</c:v>
                </c:pt>
                <c:pt idx="526">
                  <c:v>1532</c:v>
                </c:pt>
                <c:pt idx="527">
                  <c:v>1533</c:v>
                </c:pt>
                <c:pt idx="528">
                  <c:v>1534</c:v>
                </c:pt>
                <c:pt idx="529">
                  <c:v>1535</c:v>
                </c:pt>
                <c:pt idx="530">
                  <c:v>1536</c:v>
                </c:pt>
                <c:pt idx="531">
                  <c:v>1537</c:v>
                </c:pt>
                <c:pt idx="532">
                  <c:v>1538</c:v>
                </c:pt>
                <c:pt idx="533">
                  <c:v>1539</c:v>
                </c:pt>
                <c:pt idx="534">
                  <c:v>1540</c:v>
                </c:pt>
                <c:pt idx="535">
                  <c:v>1541</c:v>
                </c:pt>
                <c:pt idx="536">
                  <c:v>1542</c:v>
                </c:pt>
                <c:pt idx="537">
                  <c:v>1543</c:v>
                </c:pt>
                <c:pt idx="538">
                  <c:v>1544</c:v>
                </c:pt>
                <c:pt idx="539">
                  <c:v>1545</c:v>
                </c:pt>
                <c:pt idx="540">
                  <c:v>1546</c:v>
                </c:pt>
                <c:pt idx="541">
                  <c:v>1547</c:v>
                </c:pt>
                <c:pt idx="542">
                  <c:v>1548</c:v>
                </c:pt>
                <c:pt idx="543">
                  <c:v>1549</c:v>
                </c:pt>
                <c:pt idx="544">
                  <c:v>1550</c:v>
                </c:pt>
                <c:pt idx="545">
                  <c:v>1551</c:v>
                </c:pt>
                <c:pt idx="546">
                  <c:v>1552</c:v>
                </c:pt>
                <c:pt idx="547">
                  <c:v>1553</c:v>
                </c:pt>
                <c:pt idx="548">
                  <c:v>1554</c:v>
                </c:pt>
                <c:pt idx="549">
                  <c:v>1555</c:v>
                </c:pt>
                <c:pt idx="550">
                  <c:v>1556</c:v>
                </c:pt>
                <c:pt idx="551">
                  <c:v>1557</c:v>
                </c:pt>
                <c:pt idx="552">
                  <c:v>1558</c:v>
                </c:pt>
                <c:pt idx="553">
                  <c:v>1559</c:v>
                </c:pt>
                <c:pt idx="554">
                  <c:v>1560</c:v>
                </c:pt>
                <c:pt idx="555">
                  <c:v>1561</c:v>
                </c:pt>
                <c:pt idx="556">
                  <c:v>1562</c:v>
                </c:pt>
                <c:pt idx="557">
                  <c:v>1563</c:v>
                </c:pt>
                <c:pt idx="558">
                  <c:v>1564</c:v>
                </c:pt>
                <c:pt idx="559">
                  <c:v>1565</c:v>
                </c:pt>
                <c:pt idx="560">
                  <c:v>1566</c:v>
                </c:pt>
                <c:pt idx="561">
                  <c:v>1567</c:v>
                </c:pt>
                <c:pt idx="562">
                  <c:v>1568</c:v>
                </c:pt>
                <c:pt idx="563">
                  <c:v>1569</c:v>
                </c:pt>
                <c:pt idx="564">
                  <c:v>1570</c:v>
                </c:pt>
                <c:pt idx="565">
                  <c:v>1571</c:v>
                </c:pt>
                <c:pt idx="566">
                  <c:v>1572</c:v>
                </c:pt>
                <c:pt idx="567">
                  <c:v>1573</c:v>
                </c:pt>
                <c:pt idx="568">
                  <c:v>1574</c:v>
                </c:pt>
                <c:pt idx="569">
                  <c:v>1575</c:v>
                </c:pt>
                <c:pt idx="570">
                  <c:v>1576</c:v>
                </c:pt>
                <c:pt idx="571">
                  <c:v>1577</c:v>
                </c:pt>
                <c:pt idx="572">
                  <c:v>1578</c:v>
                </c:pt>
                <c:pt idx="573">
                  <c:v>1579</c:v>
                </c:pt>
                <c:pt idx="574">
                  <c:v>1580</c:v>
                </c:pt>
                <c:pt idx="575">
                  <c:v>1581</c:v>
                </c:pt>
                <c:pt idx="576">
                  <c:v>1582</c:v>
                </c:pt>
                <c:pt idx="577">
                  <c:v>1583</c:v>
                </c:pt>
                <c:pt idx="578">
                  <c:v>1584</c:v>
                </c:pt>
                <c:pt idx="579">
                  <c:v>1585</c:v>
                </c:pt>
                <c:pt idx="580">
                  <c:v>1586</c:v>
                </c:pt>
                <c:pt idx="581">
                  <c:v>1587</c:v>
                </c:pt>
                <c:pt idx="582">
                  <c:v>1588</c:v>
                </c:pt>
                <c:pt idx="583">
                  <c:v>1589</c:v>
                </c:pt>
                <c:pt idx="584">
                  <c:v>1590</c:v>
                </c:pt>
                <c:pt idx="585">
                  <c:v>1591</c:v>
                </c:pt>
                <c:pt idx="586">
                  <c:v>1592</c:v>
                </c:pt>
                <c:pt idx="587">
                  <c:v>1593</c:v>
                </c:pt>
                <c:pt idx="588">
                  <c:v>1594</c:v>
                </c:pt>
                <c:pt idx="589">
                  <c:v>1595</c:v>
                </c:pt>
                <c:pt idx="590">
                  <c:v>1596</c:v>
                </c:pt>
                <c:pt idx="591">
                  <c:v>1597</c:v>
                </c:pt>
                <c:pt idx="592">
                  <c:v>1598</c:v>
                </c:pt>
                <c:pt idx="593">
                  <c:v>1599</c:v>
                </c:pt>
              </c:strCache>
            </c:strRef>
          </c:cat>
          <c:val>
            <c:numRef>
              <c:f>Sheet6!$B$4:$B$598</c:f>
              <c:numCache>
                <c:formatCode>General</c:formatCode>
                <c:ptCount val="594"/>
                <c:pt idx="0">
                  <c:v>4554231</c:v>
                </c:pt>
                <c:pt idx="1">
                  <c:v>3835656</c:v>
                </c:pt>
                <c:pt idx="2">
                  <c:v>6750088</c:v>
                </c:pt>
                <c:pt idx="3">
                  <c:v>7562437</c:v>
                </c:pt>
                <c:pt idx="4">
                  <c:v>4353494</c:v>
                </c:pt>
                <c:pt idx="5">
                  <c:v>7592485</c:v>
                </c:pt>
                <c:pt idx="6">
                  <c:v>2734172</c:v>
                </c:pt>
                <c:pt idx="7">
                  <c:v>3165637</c:v>
                </c:pt>
                <c:pt idx="8">
                  <c:v>7377054</c:v>
                </c:pt>
                <c:pt idx="9">
                  <c:v>2312976</c:v>
                </c:pt>
                <c:pt idx="10">
                  <c:v>6243082</c:v>
                </c:pt>
                <c:pt idx="11">
                  <c:v>812191</c:v>
                </c:pt>
                <c:pt idx="12">
                  <c:v>4871482</c:v>
                </c:pt>
                <c:pt idx="13">
                  <c:v>2807556</c:v>
                </c:pt>
                <c:pt idx="14">
                  <c:v>5106653</c:v>
                </c:pt>
                <c:pt idx="15">
                  <c:v>7294491</c:v>
                </c:pt>
                <c:pt idx="16">
                  <c:v>2252838</c:v>
                </c:pt>
                <c:pt idx="17">
                  <c:v>7637633</c:v>
                </c:pt>
                <c:pt idx="18">
                  <c:v>2411900</c:v>
                </c:pt>
                <c:pt idx="19">
                  <c:v>2970996</c:v>
                </c:pt>
                <c:pt idx="20">
                  <c:v>4069038</c:v>
                </c:pt>
                <c:pt idx="21">
                  <c:v>1688286</c:v>
                </c:pt>
                <c:pt idx="22">
                  <c:v>1860363</c:v>
                </c:pt>
                <c:pt idx="23">
                  <c:v>7645111</c:v>
                </c:pt>
                <c:pt idx="24">
                  <c:v>5029599</c:v>
                </c:pt>
                <c:pt idx="25">
                  <c:v>6036135</c:v>
                </c:pt>
                <c:pt idx="26">
                  <c:v>5576793</c:v>
                </c:pt>
                <c:pt idx="27">
                  <c:v>4803481</c:v>
                </c:pt>
                <c:pt idx="28">
                  <c:v>2678692</c:v>
                </c:pt>
                <c:pt idx="29">
                  <c:v>6937283</c:v>
                </c:pt>
                <c:pt idx="30">
                  <c:v>7124112</c:v>
                </c:pt>
                <c:pt idx="31">
                  <c:v>7566024</c:v>
                </c:pt>
                <c:pt idx="32">
                  <c:v>7496851</c:v>
                </c:pt>
                <c:pt idx="33">
                  <c:v>6520361</c:v>
                </c:pt>
                <c:pt idx="34">
                  <c:v>4053862</c:v>
                </c:pt>
                <c:pt idx="35">
                  <c:v>6601656</c:v>
                </c:pt>
                <c:pt idx="36">
                  <c:v>6792284</c:v>
                </c:pt>
                <c:pt idx="37">
                  <c:v>7387553</c:v>
                </c:pt>
                <c:pt idx="38">
                  <c:v>992043</c:v>
                </c:pt>
                <c:pt idx="39">
                  <c:v>3787614</c:v>
                </c:pt>
                <c:pt idx="40">
                  <c:v>1092066</c:v>
                </c:pt>
                <c:pt idx="41">
                  <c:v>5993780</c:v>
                </c:pt>
                <c:pt idx="42">
                  <c:v>2332849</c:v>
                </c:pt>
                <c:pt idx="43">
                  <c:v>7246769</c:v>
                </c:pt>
                <c:pt idx="44">
                  <c:v>7642179</c:v>
                </c:pt>
                <c:pt idx="45">
                  <c:v>4397115</c:v>
                </c:pt>
                <c:pt idx="46">
                  <c:v>785827</c:v>
                </c:pt>
                <c:pt idx="47">
                  <c:v>7604553</c:v>
                </c:pt>
                <c:pt idx="48">
                  <c:v>4511708</c:v>
                </c:pt>
                <c:pt idx="49">
                  <c:v>7339566</c:v>
                </c:pt>
                <c:pt idx="50">
                  <c:v>5796476</c:v>
                </c:pt>
                <c:pt idx="51">
                  <c:v>2372415</c:v>
                </c:pt>
                <c:pt idx="52">
                  <c:v>6565662</c:v>
                </c:pt>
                <c:pt idx="53">
                  <c:v>4382603</c:v>
                </c:pt>
                <c:pt idx="54">
                  <c:v>6120167</c:v>
                </c:pt>
                <c:pt idx="55">
                  <c:v>7371794</c:v>
                </c:pt>
                <c:pt idx="56">
                  <c:v>3060255</c:v>
                </c:pt>
                <c:pt idx="57">
                  <c:v>5456580</c:v>
                </c:pt>
                <c:pt idx="58">
                  <c:v>6398995</c:v>
                </c:pt>
                <c:pt idx="59">
                  <c:v>6881936</c:v>
                </c:pt>
                <c:pt idx="60">
                  <c:v>6341438</c:v>
                </c:pt>
                <c:pt idx="61">
                  <c:v>3474480</c:v>
                </c:pt>
                <c:pt idx="62">
                  <c:v>7264977</c:v>
                </c:pt>
                <c:pt idx="63">
                  <c:v>5233337</c:v>
                </c:pt>
                <c:pt idx="64">
                  <c:v>6379871</c:v>
                </c:pt>
                <c:pt idx="65">
                  <c:v>7532683</c:v>
                </c:pt>
                <c:pt idx="66">
                  <c:v>7090038</c:v>
                </c:pt>
                <c:pt idx="67">
                  <c:v>3304331</c:v>
                </c:pt>
                <c:pt idx="68">
                  <c:v>5646918</c:v>
                </c:pt>
                <c:pt idx="69">
                  <c:v>7442381</c:v>
                </c:pt>
                <c:pt idx="70">
                  <c:v>3803711</c:v>
                </c:pt>
                <c:pt idx="71">
                  <c:v>6775475</c:v>
                </c:pt>
                <c:pt idx="72">
                  <c:v>221785</c:v>
                </c:pt>
                <c:pt idx="73">
                  <c:v>6141010</c:v>
                </c:pt>
                <c:pt idx="74">
                  <c:v>7103750</c:v>
                </c:pt>
                <c:pt idx="75">
                  <c:v>3252506</c:v>
                </c:pt>
                <c:pt idx="76">
                  <c:v>6502036</c:v>
                </c:pt>
                <c:pt idx="77">
                  <c:v>7558812</c:v>
                </c:pt>
                <c:pt idx="78">
                  <c:v>4440388</c:v>
                </c:pt>
                <c:pt idx="79">
                  <c:v>7221992</c:v>
                </c:pt>
                <c:pt idx="80">
                  <c:v>4844470</c:v>
                </c:pt>
                <c:pt idx="81">
                  <c:v>371931</c:v>
                </c:pt>
                <c:pt idx="82">
                  <c:v>6913709</c:v>
                </c:pt>
                <c:pt idx="83">
                  <c:v>2622433</c:v>
                </c:pt>
                <c:pt idx="84">
                  <c:v>4411565</c:v>
                </c:pt>
                <c:pt idx="85">
                  <c:v>4898236</c:v>
                </c:pt>
                <c:pt idx="86">
                  <c:v>5003649</c:v>
                </c:pt>
                <c:pt idx="87">
                  <c:v>6151419</c:v>
                </c:pt>
                <c:pt idx="88">
                  <c:v>7196653</c:v>
                </c:pt>
                <c:pt idx="89">
                  <c:v>1881750</c:v>
                </c:pt>
                <c:pt idx="90">
                  <c:v>7322980</c:v>
                </c:pt>
                <c:pt idx="91">
                  <c:v>7607303</c:v>
                </c:pt>
                <c:pt idx="92">
                  <c:v>4762314</c:v>
                </c:pt>
                <c:pt idx="93">
                  <c:v>5432177</c:v>
                </c:pt>
                <c:pt idx="94">
                  <c:v>6921586</c:v>
                </c:pt>
                <c:pt idx="95">
                  <c:v>4084204</c:v>
                </c:pt>
                <c:pt idx="96">
                  <c:v>1017205</c:v>
                </c:pt>
                <c:pt idx="97">
                  <c:v>7083140</c:v>
                </c:pt>
                <c:pt idx="98">
                  <c:v>6282717</c:v>
                </c:pt>
                <c:pt idx="99">
                  <c:v>2070058</c:v>
                </c:pt>
                <c:pt idx="100">
                  <c:v>5081015</c:v>
                </c:pt>
                <c:pt idx="101">
                  <c:v>3095558</c:v>
                </c:pt>
                <c:pt idx="102">
                  <c:v>6583684</c:v>
                </c:pt>
                <c:pt idx="103">
                  <c:v>4568262</c:v>
                </c:pt>
                <c:pt idx="104">
                  <c:v>4857979</c:v>
                </c:pt>
                <c:pt idx="105">
                  <c:v>5333320</c:v>
                </c:pt>
                <c:pt idx="106">
                  <c:v>1753178</c:v>
                </c:pt>
                <c:pt idx="107">
                  <c:v>7631994</c:v>
                </c:pt>
                <c:pt idx="108">
                  <c:v>4990631</c:v>
                </c:pt>
                <c:pt idx="109">
                  <c:v>6474260</c:v>
                </c:pt>
                <c:pt idx="110">
                  <c:v>705859</c:v>
                </c:pt>
                <c:pt idx="111">
                  <c:v>3440718</c:v>
                </c:pt>
                <c:pt idx="112">
                  <c:v>6698615</c:v>
                </c:pt>
                <c:pt idx="113">
                  <c:v>5704959</c:v>
                </c:pt>
                <c:pt idx="114">
                  <c:v>2431403</c:v>
                </c:pt>
                <c:pt idx="115">
                  <c:v>458866</c:v>
                </c:pt>
                <c:pt idx="116">
                  <c:v>2212587</c:v>
                </c:pt>
                <c:pt idx="117">
                  <c:v>4114503</c:v>
                </c:pt>
                <c:pt idx="118">
                  <c:v>7617849</c:v>
                </c:pt>
                <c:pt idx="119">
                  <c:v>1945207</c:v>
                </c:pt>
                <c:pt idx="120">
                  <c:v>7517036</c:v>
                </c:pt>
                <c:pt idx="121">
                  <c:v>4338774</c:v>
                </c:pt>
                <c:pt idx="122">
                  <c:v>7427806</c:v>
                </c:pt>
                <c:pt idx="123">
                  <c:v>4610200</c:v>
                </c:pt>
                <c:pt idx="124">
                  <c:v>3200493</c:v>
                </c:pt>
                <c:pt idx="125">
                  <c:v>3819707</c:v>
                </c:pt>
                <c:pt idx="126">
                  <c:v>2953031</c:v>
                </c:pt>
                <c:pt idx="127">
                  <c:v>542251</c:v>
                </c:pt>
                <c:pt idx="128">
                  <c:v>3042574</c:v>
                </c:pt>
                <c:pt idx="129">
                  <c:v>3992836</c:v>
                </c:pt>
                <c:pt idx="130">
                  <c:v>2697213</c:v>
                </c:pt>
                <c:pt idx="131">
                  <c:v>6689942</c:v>
                </c:pt>
                <c:pt idx="132">
                  <c:v>7627610</c:v>
                </c:pt>
                <c:pt idx="133">
                  <c:v>7620425</c:v>
                </c:pt>
                <c:pt idx="134">
                  <c:v>1578848</c:v>
                </c:pt>
                <c:pt idx="135">
                  <c:v>7048165</c:v>
                </c:pt>
                <c:pt idx="136">
                  <c:v>4425977</c:v>
                </c:pt>
                <c:pt idx="137">
                  <c:v>6975416</c:v>
                </c:pt>
                <c:pt idx="138">
                  <c:v>5144945</c:v>
                </c:pt>
                <c:pt idx="139">
                  <c:v>6929447</c:v>
                </c:pt>
                <c:pt idx="140">
                  <c:v>1774657</c:v>
                </c:pt>
                <c:pt idx="141">
                  <c:v>1067246</c:v>
                </c:pt>
                <c:pt idx="142">
                  <c:v>3574821</c:v>
                </c:pt>
                <c:pt idx="143">
                  <c:v>5358193</c:v>
                </c:pt>
                <c:pt idx="144">
                  <c:v>916136</c:v>
                </c:pt>
                <c:pt idx="145">
                  <c:v>6733027</c:v>
                </c:pt>
                <c:pt idx="146">
                  <c:v>2546823</c:v>
                </c:pt>
                <c:pt idx="147">
                  <c:v>7615242</c:v>
                </c:pt>
                <c:pt idx="148">
                  <c:v>6192524</c:v>
                </c:pt>
                <c:pt idx="149">
                  <c:v>7117351</c:v>
                </c:pt>
                <c:pt idx="150">
                  <c:v>3961982</c:v>
                </c:pt>
                <c:pt idx="151">
                  <c:v>32724</c:v>
                </c:pt>
                <c:pt idx="152">
                  <c:v>7170763</c:v>
                </c:pt>
                <c:pt idx="153">
                  <c:v>2049367</c:v>
                </c:pt>
                <c:pt idx="154">
                  <c:v>4977586</c:v>
                </c:pt>
                <c:pt idx="155">
                  <c:v>7345040</c:v>
                </c:pt>
                <c:pt idx="156">
                  <c:v>1534318</c:v>
                </c:pt>
                <c:pt idx="157">
                  <c:v>282606</c:v>
                </c:pt>
                <c:pt idx="158">
                  <c:v>732612</c:v>
                </c:pt>
                <c:pt idx="159">
                  <c:v>4190002</c:v>
                </c:pt>
                <c:pt idx="160">
                  <c:v>1307655</c:v>
                </c:pt>
                <c:pt idx="161">
                  <c:v>5068189</c:v>
                </c:pt>
                <c:pt idx="162">
                  <c:v>1838945</c:v>
                </c:pt>
                <c:pt idx="163">
                  <c:v>6322095</c:v>
                </c:pt>
                <c:pt idx="164">
                  <c:v>4497478</c:v>
                </c:pt>
                <c:pt idx="165">
                  <c:v>3024766</c:v>
                </c:pt>
                <c:pt idx="166">
                  <c:v>7437530</c:v>
                </c:pt>
                <c:pt idx="167">
                  <c:v>4789777</c:v>
                </c:pt>
                <c:pt idx="168">
                  <c:v>7644154</c:v>
                </c:pt>
                <c:pt idx="169">
                  <c:v>3657464</c:v>
                </c:pt>
                <c:pt idx="170">
                  <c:v>2450817</c:v>
                </c:pt>
                <c:pt idx="171">
                  <c:v>6272849</c:v>
                </c:pt>
                <c:pt idx="172">
                  <c:v>7177264</c:v>
                </c:pt>
                <c:pt idx="173">
                  <c:v>7019484</c:v>
                </c:pt>
                <c:pt idx="174">
                  <c:v>7157662</c:v>
                </c:pt>
                <c:pt idx="175">
                  <c:v>4638028</c:v>
                </c:pt>
                <c:pt idx="176">
                  <c:v>5940258</c:v>
                </c:pt>
                <c:pt idx="177">
                  <c:v>7215764</c:v>
                </c:pt>
                <c:pt idx="178">
                  <c:v>7645804</c:v>
                </c:pt>
                <c:pt idx="179">
                  <c:v>4023429</c:v>
                </c:pt>
                <c:pt idx="180">
                  <c:v>252329</c:v>
                </c:pt>
                <c:pt idx="181">
                  <c:v>6360703</c:v>
                </c:pt>
                <c:pt idx="182">
                  <c:v>7528796</c:v>
                </c:pt>
                <c:pt idx="183">
                  <c:v>7408069</c:v>
                </c:pt>
                <c:pt idx="184">
                  <c:v>7397994</c:v>
                </c:pt>
                <c:pt idx="185">
                  <c:v>678901</c:v>
                </c:pt>
                <c:pt idx="186">
                  <c:v>7470359</c:v>
                </c:pt>
                <c:pt idx="187">
                  <c:v>941519</c:v>
                </c:pt>
                <c:pt idx="188">
                  <c:v>6046676</c:v>
                </c:pt>
                <c:pt idx="189">
                  <c:v>1644801</c:v>
                </c:pt>
                <c:pt idx="190">
                  <c:v>7595594</c:v>
                </c:pt>
                <c:pt idx="191">
                  <c:v>4129638</c:v>
                </c:pt>
                <c:pt idx="192">
                  <c:v>6663780</c:v>
                </c:pt>
                <c:pt idx="193">
                  <c:v>838498</c:v>
                </c:pt>
                <c:pt idx="194">
                  <c:v>2752594</c:v>
                </c:pt>
                <c:pt idx="195">
                  <c:v>7586163</c:v>
                </c:pt>
                <c:pt idx="196">
                  <c:v>7004932</c:v>
                </c:pt>
                <c:pt idx="197">
                  <c:v>1353570</c:v>
                </c:pt>
                <c:pt idx="198">
                  <c:v>3641001</c:v>
                </c:pt>
                <c:pt idx="199">
                  <c:v>2715710</c:v>
                </c:pt>
                <c:pt idx="200">
                  <c:v>4938093</c:v>
                </c:pt>
                <c:pt idx="201">
                  <c:v>7190210</c:v>
                </c:pt>
                <c:pt idx="202">
                  <c:v>7447115</c:v>
                </c:pt>
                <c:pt idx="203">
                  <c:v>5830205</c:v>
                </c:pt>
                <c:pt idx="204">
                  <c:v>7026732</c:v>
                </c:pt>
                <c:pt idx="205">
                  <c:v>6025572</c:v>
                </c:pt>
                <c:pt idx="206">
                  <c:v>6715890</c:v>
                </c:pt>
                <c:pt idx="207">
                  <c:v>6849867</c:v>
                </c:pt>
                <c:pt idx="208">
                  <c:v>7640799</c:v>
                </c:pt>
                <c:pt idx="209">
                  <c:v>2660043</c:v>
                </c:pt>
                <c:pt idx="210">
                  <c:v>2880505</c:v>
                </c:pt>
                <c:pt idx="211">
                  <c:v>6655006</c:v>
                </c:pt>
                <c:pt idx="212">
                  <c:v>1141450</c:v>
                </c:pt>
                <c:pt idx="213">
                  <c:v>3755354</c:v>
                </c:pt>
                <c:pt idx="214">
                  <c:v>2352643</c:v>
                </c:pt>
                <c:pt idx="215">
                  <c:v>7625267</c:v>
                </c:pt>
                <c:pt idx="216">
                  <c:v>1237251</c:v>
                </c:pt>
                <c:pt idx="217">
                  <c:v>7355835</c:v>
                </c:pt>
                <c:pt idx="218">
                  <c:v>5972470</c:v>
                </c:pt>
                <c:pt idx="219">
                  <c:v>159474</c:v>
                </c:pt>
                <c:pt idx="220">
                  <c:v>5670183</c:v>
                </c:pt>
                <c:pt idx="221">
                  <c:v>5611938</c:v>
                </c:pt>
                <c:pt idx="222">
                  <c:v>1189840</c:v>
                </c:pt>
                <c:pt idx="223">
                  <c:v>2489495</c:v>
                </c:pt>
                <c:pt idx="224">
                  <c:v>5819006</c:v>
                </c:pt>
                <c:pt idx="225">
                  <c:v>3722883</c:v>
                </c:pt>
                <c:pt idx="226">
                  <c:v>6212860</c:v>
                </c:pt>
                <c:pt idx="227">
                  <c:v>2470175</c:v>
                </c:pt>
                <c:pt idx="228">
                  <c:v>7076230</c:v>
                </c:pt>
                <c:pt idx="229">
                  <c:v>430079</c:v>
                </c:pt>
                <c:pt idx="230">
                  <c:v>6172019</c:v>
                </c:pt>
                <c:pt idx="231">
                  <c:v>6312271</c:v>
                </c:pt>
                <c:pt idx="232">
                  <c:v>6833536</c:v>
                </c:pt>
                <c:pt idx="233">
                  <c:v>6389435</c:v>
                </c:pt>
                <c:pt idx="234">
                  <c:v>7417994</c:v>
                </c:pt>
                <c:pt idx="235">
                  <c:v>4159896</c:v>
                </c:pt>
                <c:pt idx="236">
                  <c:v>7536513</c:v>
                </c:pt>
                <c:pt idx="237">
                  <c:v>6492813</c:v>
                </c:pt>
                <c:pt idx="238">
                  <c:v>1330725</c:v>
                </c:pt>
                <c:pt idx="239">
                  <c:v>4309215</c:v>
                </c:pt>
                <c:pt idx="240">
                  <c:v>5681802</c:v>
                </c:pt>
                <c:pt idx="241">
                  <c:v>7361193</c:v>
                </c:pt>
                <c:pt idx="242">
                  <c:v>6592682</c:v>
                </c:pt>
                <c:pt idx="243">
                  <c:v>5762430</c:v>
                </c:pt>
                <c:pt idx="244">
                  <c:v>7432676</c:v>
                </c:pt>
                <c:pt idx="245">
                  <c:v>7474917</c:v>
                </c:pt>
                <c:pt idx="246">
                  <c:v>5517261</c:v>
                </c:pt>
                <c:pt idx="247">
                  <c:v>2825842</c:v>
                </c:pt>
                <c:pt idx="248">
                  <c:v>7622871</c:v>
                </c:pt>
                <c:pt idx="249">
                  <c:v>1987077</c:v>
                </c:pt>
                <c:pt idx="250">
                  <c:v>2192435</c:v>
                </c:pt>
                <c:pt idx="251">
                  <c:v>7639217</c:v>
                </c:pt>
                <c:pt idx="252">
                  <c:v>5896802</c:v>
                </c:pt>
                <c:pt idx="253">
                  <c:v>7382312</c:v>
                </c:pt>
                <c:pt idx="254">
                  <c:v>6547593</c:v>
                </c:pt>
                <c:pt idx="255">
                  <c:v>5468746</c:v>
                </c:pt>
                <c:pt idx="256">
                  <c:v>1622839</c:v>
                </c:pt>
                <c:pt idx="257">
                  <c:v>1166050</c:v>
                </c:pt>
                <c:pt idx="258">
                  <c:v>5623636</c:v>
                </c:pt>
                <c:pt idx="259">
                  <c:v>5407650</c:v>
                </c:pt>
                <c:pt idx="260">
                  <c:v>5395318</c:v>
                </c:pt>
                <c:pt idx="261">
                  <c:v>5773790</c:v>
                </c:pt>
                <c:pt idx="262">
                  <c:v>5055347</c:v>
                </c:pt>
                <c:pt idx="263">
                  <c:v>7555145</c:v>
                </c:pt>
                <c:pt idx="264">
                  <c:v>514730</c:v>
                </c:pt>
                <c:pt idx="265">
                  <c:v>7306034</c:v>
                </c:pt>
                <c:pt idx="266">
                  <c:v>6681250</c:v>
                </c:pt>
                <c:pt idx="267">
                  <c:v>6825361</c:v>
                </c:pt>
                <c:pt idx="268">
                  <c:v>7579783</c:v>
                </c:pt>
                <c:pt idx="269">
                  <c:v>1260863</c:v>
                </c:pt>
                <c:pt idx="270">
                  <c:v>4884864</c:v>
                </c:pt>
                <c:pt idx="271">
                  <c:v>7270993</c:v>
                </c:pt>
                <c:pt idx="272">
                  <c:v>5751055</c:v>
                </c:pt>
                <c:pt idx="273">
                  <c:v>1284418</c:v>
                </c:pt>
                <c:pt idx="274">
                  <c:v>6464957</c:v>
                </c:pt>
                <c:pt idx="275">
                  <c:v>6511204</c:v>
                </c:pt>
                <c:pt idx="276">
                  <c:v>4748564</c:v>
                </c:pt>
                <c:pt idx="277">
                  <c:v>4099362</c:v>
                </c:pt>
                <c:pt idx="278">
                  <c:v>7276978</c:v>
                </c:pt>
                <c:pt idx="279">
                  <c:v>3706615</c:v>
                </c:pt>
                <c:pt idx="280">
                  <c:v>5444411</c:v>
                </c:pt>
                <c:pt idx="281">
                  <c:v>1489503</c:v>
                </c:pt>
                <c:pt idx="282">
                  <c:v>3457607</c:v>
                </c:pt>
                <c:pt idx="283">
                  <c:v>5529269</c:v>
                </c:pt>
                <c:pt idx="284">
                  <c:v>342343</c:v>
                </c:pt>
                <c:pt idx="285">
                  <c:v>2007858</c:v>
                </c:pt>
                <c:pt idx="286">
                  <c:v>6529454</c:v>
                </c:pt>
                <c:pt idx="287">
                  <c:v>6455588</c:v>
                </c:pt>
                <c:pt idx="288">
                  <c:v>7164220</c:v>
                </c:pt>
                <c:pt idx="289">
                  <c:v>5195597</c:v>
                </c:pt>
                <c:pt idx="290">
                  <c:v>4582261</c:v>
                </c:pt>
                <c:pt idx="291">
                  <c:v>6067722</c:v>
                </c:pt>
                <c:pt idx="292">
                  <c:v>3389883</c:v>
                </c:pt>
                <c:pt idx="293">
                  <c:v>7403067</c:v>
                </c:pt>
                <c:pt idx="294">
                  <c:v>6370298</c:v>
                </c:pt>
                <c:pt idx="295">
                  <c:v>7012212</c:v>
                </c:pt>
                <c:pt idx="296">
                  <c:v>2508729</c:v>
                </c:pt>
                <c:pt idx="297">
                  <c:v>190971</c:v>
                </c:pt>
                <c:pt idx="298">
                  <c:v>1213592</c:v>
                </c:pt>
                <c:pt idx="299">
                  <c:v>5635277</c:v>
                </c:pt>
                <c:pt idx="300">
                  <c:v>2111051</c:v>
                </c:pt>
                <c:pt idx="301">
                  <c:v>4174972</c:v>
                </c:pt>
                <c:pt idx="302">
                  <c:v>7300269</c:v>
                </c:pt>
                <c:pt idx="303">
                  <c:v>6952727</c:v>
                </c:pt>
                <c:pt idx="304">
                  <c:v>6202717</c:v>
                </c:pt>
                <c:pt idx="305">
                  <c:v>7576460</c:v>
                </c:pt>
                <c:pt idx="306">
                  <c:v>5874725</c:v>
                </c:pt>
                <c:pt idx="307">
                  <c:v>6538541</c:v>
                </c:pt>
                <c:pt idx="308">
                  <c:v>2131478</c:v>
                </c:pt>
                <c:pt idx="309">
                  <c:v>3113131</c:v>
                </c:pt>
                <c:pt idx="310">
                  <c:v>7451828</c:v>
                </c:pt>
                <c:pt idx="311">
                  <c:v>6161735</c:v>
                </c:pt>
                <c:pt idx="312">
                  <c:v>7646666</c:v>
                </c:pt>
                <c:pt idx="313">
                  <c:v>624479</c:v>
                </c:pt>
                <c:pt idx="314">
                  <c:v>7634052</c:v>
                </c:pt>
                <c:pt idx="315">
                  <c:v>2527801</c:v>
                </c:pt>
                <c:pt idx="316">
                  <c:v>5157644</c:v>
                </c:pt>
                <c:pt idx="317">
                  <c:v>7461195</c:v>
                </c:pt>
                <c:pt idx="318">
                  <c:v>3130692</c:v>
                </c:pt>
                <c:pt idx="319">
                  <c:v>5807784</c:v>
                </c:pt>
                <c:pt idx="320">
                  <c:v>6078236</c:v>
                </c:pt>
                <c:pt idx="321">
                  <c:v>4924848</c:v>
                </c:pt>
                <c:pt idx="322">
                  <c:v>5658553</c:v>
                </c:pt>
                <c:pt idx="323">
                  <c:v>6427404</c:v>
                </c:pt>
                <c:pt idx="324">
                  <c:v>4693424</c:v>
                </c:pt>
                <c:pt idx="325">
                  <c:v>4454694</c:v>
                </c:pt>
                <c:pt idx="326">
                  <c:v>6015002</c:v>
                </c:pt>
                <c:pt idx="327">
                  <c:v>7240600</c:v>
                </c:pt>
                <c:pt idx="328">
                  <c:v>7598640</c:v>
                </c:pt>
                <c:pt idx="329">
                  <c:v>4525923</c:v>
                </c:pt>
                <c:pt idx="330">
                  <c:v>3355793</c:v>
                </c:pt>
                <c:pt idx="331">
                  <c:v>4483232</c:v>
                </c:pt>
                <c:pt idx="332">
                  <c:v>3508075</c:v>
                </c:pt>
                <c:pt idx="333">
                  <c:v>2232717</c:v>
                </c:pt>
                <c:pt idx="334">
                  <c:v>7392789</c:v>
                </c:pt>
                <c:pt idx="335">
                  <c:v>6417965</c:v>
                </c:pt>
                <c:pt idx="336">
                  <c:v>6619572</c:v>
                </c:pt>
                <c:pt idx="337">
                  <c:v>127870</c:v>
                </c:pt>
                <c:pt idx="338">
                  <c:v>5295901</c:v>
                </c:pt>
                <c:pt idx="339">
                  <c:v>312563</c:v>
                </c:pt>
                <c:pt idx="340">
                  <c:v>6408498</c:v>
                </c:pt>
                <c:pt idx="341">
                  <c:v>3771515</c:v>
                </c:pt>
                <c:pt idx="342">
                  <c:v>7573052</c:v>
                </c:pt>
                <c:pt idx="343">
                  <c:v>4324025</c:v>
                </c:pt>
                <c:pt idx="344">
                  <c:v>966843</c:v>
                </c:pt>
                <c:pt idx="345">
                  <c:v>4665765</c:v>
                </c:pt>
                <c:pt idx="346">
                  <c:v>7288700</c:v>
                </c:pt>
                <c:pt idx="347">
                  <c:v>7612633</c:v>
                </c:pt>
                <c:pt idx="348">
                  <c:v>5208224</c:v>
                </c:pt>
                <c:pt idx="349">
                  <c:v>3591449</c:v>
                </c:pt>
                <c:pt idx="350">
                  <c:v>7547796</c:v>
                </c:pt>
                <c:pt idx="351">
                  <c:v>4294404</c:v>
                </c:pt>
                <c:pt idx="352">
                  <c:v>7228218</c:v>
                </c:pt>
                <c:pt idx="353">
                  <c:v>5588513</c:v>
                </c:pt>
                <c:pt idx="354">
                  <c:v>4234903</c:v>
                </c:pt>
                <c:pt idx="355">
                  <c:v>4279582</c:v>
                </c:pt>
                <c:pt idx="356">
                  <c:v>4264724</c:v>
                </c:pt>
                <c:pt idx="357">
                  <c:v>7144286</c:v>
                </c:pt>
                <c:pt idx="358">
                  <c:v>1466970</c:v>
                </c:pt>
                <c:pt idx="359">
                  <c:v>2151869</c:v>
                </c:pt>
                <c:pt idx="360">
                  <c:v>1902990</c:v>
                </c:pt>
                <c:pt idx="361">
                  <c:v>6262979</c:v>
                </c:pt>
                <c:pt idx="362">
                  <c:v>6628458</c:v>
                </c:pt>
                <c:pt idx="363">
                  <c:v>7635996</c:v>
                </c:pt>
                <c:pt idx="364">
                  <c:v>6302425</c:v>
                </c:pt>
                <c:pt idx="365">
                  <c:v>6556639</c:v>
                </c:pt>
                <c:pt idx="366">
                  <c:v>4951309</c:v>
                </c:pt>
                <c:pt idx="367">
                  <c:v>6483546</c:v>
                </c:pt>
                <c:pt idx="368">
                  <c:v>5929441</c:v>
                </c:pt>
                <c:pt idx="369">
                  <c:v>1511916</c:v>
                </c:pt>
                <c:pt idx="370">
                  <c:v>3338671</c:v>
                </c:pt>
                <c:pt idx="371">
                  <c:v>1600861</c:v>
                </c:pt>
                <c:pt idx="372">
                  <c:v>3977481</c:v>
                </c:pt>
                <c:pt idx="373">
                  <c:v>1924165</c:v>
                </c:pt>
                <c:pt idx="374">
                  <c:v>5841355</c:v>
                </c:pt>
                <c:pt idx="375">
                  <c:v>1709948</c:v>
                </c:pt>
                <c:pt idx="376">
                  <c:v>1556714</c:v>
                </c:pt>
                <c:pt idx="377">
                  <c:v>5907740</c:v>
                </c:pt>
                <c:pt idx="378">
                  <c:v>6982827</c:v>
                </c:pt>
                <c:pt idx="379">
                  <c:v>7096915</c:v>
                </c:pt>
                <c:pt idx="380">
                  <c:v>4368056</c:v>
                </c:pt>
                <c:pt idx="381">
                  <c:v>2392176</c:v>
                </c:pt>
                <c:pt idx="382">
                  <c:v>3321531</c:v>
                </c:pt>
                <c:pt idx="383">
                  <c:v>7282845</c:v>
                </c:pt>
                <c:pt idx="384">
                  <c:v>7492599</c:v>
                </c:pt>
                <c:pt idx="385">
                  <c:v>5600228</c:v>
                </c:pt>
                <c:pt idx="386">
                  <c:v>3624506</c:v>
                </c:pt>
                <c:pt idx="387">
                  <c:v>3541515</c:v>
                </c:pt>
                <c:pt idx="388">
                  <c:v>5553186</c:v>
                </c:pt>
                <c:pt idx="389">
                  <c:v>6905828</c:v>
                </c:pt>
                <c:pt idx="390">
                  <c:v>5565068</c:v>
                </c:pt>
                <c:pt idx="391">
                  <c:v>6783906</c:v>
                </c:pt>
                <c:pt idx="392">
                  <c:v>3287069</c:v>
                </c:pt>
                <c:pt idx="393">
                  <c:v>6004415</c:v>
                </c:pt>
                <c:pt idx="394">
                  <c:v>1444399</c:v>
                </c:pt>
                <c:pt idx="395">
                  <c:v>4721025</c:v>
                </c:pt>
                <c:pt idx="396">
                  <c:v>569743</c:v>
                </c:pt>
                <c:pt idx="397">
                  <c:v>7041051</c:v>
                </c:pt>
                <c:pt idx="398">
                  <c:v>6945020</c:v>
                </c:pt>
                <c:pt idx="399">
                  <c:v>5693381</c:v>
                </c:pt>
                <c:pt idx="400">
                  <c:v>2898714</c:v>
                </c:pt>
                <c:pt idx="401">
                  <c:v>4624123</c:v>
                </c:pt>
                <c:pt idx="402">
                  <c:v>2272903</c:v>
                </c:pt>
                <c:pt idx="403">
                  <c:v>5016646</c:v>
                </c:pt>
                <c:pt idx="404">
                  <c:v>7413055</c:v>
                </c:pt>
                <c:pt idx="405">
                  <c:v>5961777</c:v>
                </c:pt>
                <c:pt idx="406">
                  <c:v>7350468</c:v>
                </c:pt>
                <c:pt idx="407">
                  <c:v>7137584</c:v>
                </c:pt>
                <c:pt idx="408">
                  <c:v>7629892</c:v>
                </c:pt>
                <c:pt idx="409">
                  <c:v>3077925</c:v>
                </c:pt>
                <c:pt idx="410">
                  <c:v>4734804</c:v>
                </c:pt>
                <c:pt idx="411">
                  <c:v>5382965</c:v>
                </c:pt>
                <c:pt idx="412">
                  <c:v>6057202</c:v>
                </c:pt>
                <c:pt idx="413">
                  <c:v>6724484</c:v>
                </c:pt>
                <c:pt idx="414">
                  <c:v>5419921</c:v>
                </c:pt>
                <c:pt idx="415">
                  <c:v>1817518</c:v>
                </c:pt>
                <c:pt idx="416">
                  <c:v>7328553</c:v>
                </c:pt>
                <c:pt idx="417">
                  <c:v>3148176</c:v>
                </c:pt>
                <c:pt idx="418">
                  <c:v>7456523</c:v>
                </c:pt>
                <c:pt idx="419">
                  <c:v>4144773</c:v>
                </c:pt>
                <c:pt idx="420">
                  <c:v>5182964</c:v>
                </c:pt>
                <c:pt idx="421">
                  <c:v>4776053</c:v>
                </c:pt>
                <c:pt idx="422">
                  <c:v>2565747</c:v>
                </c:pt>
                <c:pt idx="423">
                  <c:v>5493039</c:v>
                </c:pt>
                <c:pt idx="424">
                  <c:v>5951031</c:v>
                </c:pt>
                <c:pt idx="425">
                  <c:v>7110577</c:v>
                </c:pt>
                <c:pt idx="426">
                  <c:v>6857936</c:v>
                </c:pt>
                <c:pt idx="427">
                  <c:v>1796089</c:v>
                </c:pt>
                <c:pt idx="428">
                  <c:v>6960363</c:v>
                </c:pt>
                <c:pt idx="429">
                  <c:v>64553</c:v>
                </c:pt>
                <c:pt idx="430">
                  <c:v>1666554</c:v>
                </c:pt>
                <c:pt idx="431">
                  <c:v>4249824</c:v>
                </c:pt>
                <c:pt idx="432">
                  <c:v>6990218</c:v>
                </c:pt>
                <c:pt idx="433">
                  <c:v>7252894</c:v>
                </c:pt>
                <c:pt idx="434">
                  <c:v>5345760</c:v>
                </c:pt>
                <c:pt idx="435">
                  <c:v>1376378</c:v>
                </c:pt>
                <c:pt idx="436">
                  <c:v>3914968</c:v>
                </c:pt>
                <c:pt idx="437">
                  <c:v>3930732</c:v>
                </c:pt>
                <c:pt idx="438">
                  <c:v>7483914</c:v>
                </c:pt>
                <c:pt idx="439">
                  <c:v>4679608</c:v>
                </c:pt>
                <c:pt idx="440">
                  <c:v>6610620</c:v>
                </c:pt>
                <c:pt idx="441">
                  <c:v>5785136</c:v>
                </c:pt>
                <c:pt idx="442">
                  <c:v>6223003</c:v>
                </c:pt>
                <c:pt idx="443">
                  <c:v>3217842</c:v>
                </c:pt>
                <c:pt idx="444">
                  <c:v>2641261</c:v>
                </c:pt>
                <c:pt idx="445">
                  <c:v>6637343</c:v>
                </c:pt>
                <c:pt idx="446">
                  <c:v>7055255</c:v>
                </c:pt>
                <c:pt idx="447">
                  <c:v>6233088</c:v>
                </c:pt>
                <c:pt idx="448">
                  <c:v>6130592</c:v>
                </c:pt>
                <c:pt idx="449">
                  <c:v>1399085</c:v>
                </c:pt>
                <c:pt idx="450">
                  <c:v>3372906</c:v>
                </c:pt>
                <c:pt idx="451">
                  <c:v>5983127</c:v>
                </c:pt>
                <c:pt idx="452">
                  <c:v>7465785</c:v>
                </c:pt>
                <c:pt idx="453">
                  <c:v>2916890</c:v>
                </c:pt>
                <c:pt idx="454">
                  <c:v>3851584</c:v>
                </c:pt>
                <c:pt idx="455">
                  <c:v>6351072</c:v>
                </c:pt>
                <c:pt idx="456">
                  <c:v>6646219</c:v>
                </c:pt>
                <c:pt idx="457">
                  <c:v>4651902</c:v>
                </c:pt>
                <c:pt idx="458">
                  <c:v>7643178</c:v>
                </c:pt>
                <c:pt idx="459">
                  <c:v>7589338</c:v>
                </c:pt>
                <c:pt idx="460">
                  <c:v>1966247</c:v>
                </c:pt>
                <c:pt idx="461">
                  <c:v>4038652</c:v>
                </c:pt>
                <c:pt idx="462">
                  <c:v>7569552</c:v>
                </c:pt>
                <c:pt idx="463">
                  <c:v>4219975</c:v>
                </c:pt>
                <c:pt idx="464">
                  <c:v>6707259</c:v>
                </c:pt>
                <c:pt idx="465">
                  <c:v>3946431</c:v>
                </c:pt>
                <c:pt idx="466">
                  <c:v>7033898</c:v>
                </c:pt>
                <c:pt idx="467">
                  <c:v>3673880</c:v>
                </c:pt>
                <c:pt idx="468">
                  <c:v>2028639</c:v>
                </c:pt>
                <c:pt idx="469">
                  <c:v>5728083</c:v>
                </c:pt>
                <c:pt idx="470">
                  <c:v>96245</c:v>
                </c:pt>
                <c:pt idx="471">
                  <c:v>1731597</c:v>
                </c:pt>
                <c:pt idx="472">
                  <c:v>7601634</c:v>
                </c:pt>
                <c:pt idx="473">
                  <c:v>7505022</c:v>
                </c:pt>
                <c:pt idx="474">
                  <c:v>7509034</c:v>
                </c:pt>
                <c:pt idx="475">
                  <c:v>6897872</c:v>
                </c:pt>
                <c:pt idx="476">
                  <c:v>6808928</c:v>
                </c:pt>
                <c:pt idx="477">
                  <c:v>2988949</c:v>
                </c:pt>
                <c:pt idx="478">
                  <c:v>7234414</c:v>
                </c:pt>
                <c:pt idx="479">
                  <c:v>3558169</c:v>
                </c:pt>
                <c:pt idx="480">
                  <c:v>5885782</c:v>
                </c:pt>
                <c:pt idx="481">
                  <c:v>7520978</c:v>
                </c:pt>
                <c:pt idx="482">
                  <c:v>5170323</c:v>
                </c:pt>
                <c:pt idx="483">
                  <c:v>5480901</c:v>
                </c:pt>
                <c:pt idx="484">
                  <c:v>4707228</c:v>
                </c:pt>
                <c:pt idx="485">
                  <c:v>6253047</c:v>
                </c:pt>
                <c:pt idx="486">
                  <c:v>5308393</c:v>
                </c:pt>
                <c:pt idx="487">
                  <c:v>5220802</c:v>
                </c:pt>
                <c:pt idx="488">
                  <c:v>759250</c:v>
                </c:pt>
                <c:pt idx="489">
                  <c:v>5505177</c:v>
                </c:pt>
                <c:pt idx="490">
                  <c:v>7551474</c:v>
                </c:pt>
                <c:pt idx="491">
                  <c:v>1042310</c:v>
                </c:pt>
                <c:pt idx="492">
                  <c:v>7524905</c:v>
                </c:pt>
                <c:pt idx="493">
                  <c:v>4817161</c:v>
                </c:pt>
                <c:pt idx="494">
                  <c:v>890518</c:v>
                </c:pt>
                <c:pt idx="495">
                  <c:v>2862285</c:v>
                </c:pt>
                <c:pt idx="496">
                  <c:v>6109716</c:v>
                </c:pt>
                <c:pt idx="497">
                  <c:v>4830836</c:v>
                </c:pt>
                <c:pt idx="498">
                  <c:v>5320864</c:v>
                </c:pt>
                <c:pt idx="499">
                  <c:v>4596256</c:v>
                </c:pt>
                <c:pt idx="500">
                  <c:v>2292940</c:v>
                </c:pt>
                <c:pt idx="501">
                  <c:v>7311778</c:v>
                </c:pt>
                <c:pt idx="502">
                  <c:v>5132239</c:v>
                </c:pt>
                <c:pt idx="503">
                  <c:v>6767038</c:v>
                </c:pt>
                <c:pt idx="504">
                  <c:v>7258948</c:v>
                </c:pt>
                <c:pt idx="505">
                  <c:v>3883359</c:v>
                </c:pt>
                <c:pt idx="506">
                  <c:v>7513037</c:v>
                </c:pt>
                <c:pt idx="507">
                  <c:v>7130855</c:v>
                </c:pt>
                <c:pt idx="508">
                  <c:v>6292577</c:v>
                </c:pt>
                <c:pt idx="509">
                  <c:v>3524855</c:v>
                </c:pt>
                <c:pt idx="510">
                  <c:v>2603552</c:v>
                </c:pt>
                <c:pt idx="511">
                  <c:v>651722</c:v>
                </c:pt>
                <c:pt idx="512">
                  <c:v>5852502</c:v>
                </c:pt>
                <c:pt idx="513">
                  <c:v>5370601</c:v>
                </c:pt>
                <c:pt idx="514">
                  <c:v>3269796</c:v>
                </c:pt>
                <c:pt idx="515">
                  <c:v>2789261</c:v>
                </c:pt>
                <c:pt idx="516">
                  <c:v>6841710</c:v>
                </c:pt>
                <c:pt idx="517">
                  <c:v>6574676</c:v>
                </c:pt>
                <c:pt idx="518">
                  <c:v>1116792</c:v>
                </c:pt>
                <c:pt idx="519">
                  <c:v>5541276</c:v>
                </c:pt>
                <c:pt idx="520">
                  <c:v>401259</c:v>
                </c:pt>
                <c:pt idx="521">
                  <c:v>7366504</c:v>
                </c:pt>
                <c:pt idx="522">
                  <c:v>7422915</c:v>
                </c:pt>
                <c:pt idx="523">
                  <c:v>5119450</c:v>
                </c:pt>
                <c:pt idx="524">
                  <c:v>7479457</c:v>
                </c:pt>
                <c:pt idx="525">
                  <c:v>7544103</c:v>
                </c:pt>
                <c:pt idx="526">
                  <c:v>4468976</c:v>
                </c:pt>
                <c:pt idx="527">
                  <c:v>4205025</c:v>
                </c:pt>
                <c:pt idx="528">
                  <c:v>7334076</c:v>
                </c:pt>
                <c:pt idx="529">
                  <c:v>7203093</c:v>
                </c:pt>
                <c:pt idx="530">
                  <c:v>6889907</c:v>
                </c:pt>
                <c:pt idx="531">
                  <c:v>864667</c:v>
                </c:pt>
                <c:pt idx="532">
                  <c:v>5270888</c:v>
                </c:pt>
                <c:pt idx="533">
                  <c:v>6997596</c:v>
                </c:pt>
                <c:pt idx="534">
                  <c:v>7183737</c:v>
                </c:pt>
                <c:pt idx="535">
                  <c:v>7610013</c:v>
                </c:pt>
                <c:pt idx="536">
                  <c:v>4964509</c:v>
                </c:pt>
                <c:pt idx="537">
                  <c:v>7582973</c:v>
                </c:pt>
                <c:pt idx="538">
                  <c:v>6182284</c:v>
                </c:pt>
                <c:pt idx="539">
                  <c:v>7646891</c:v>
                </c:pt>
                <c:pt idx="540">
                  <c:v>3423782</c:v>
                </c:pt>
                <c:pt idx="541">
                  <c:v>3183065</c:v>
                </c:pt>
                <c:pt idx="542">
                  <c:v>2844065</c:v>
                </c:pt>
                <c:pt idx="543">
                  <c:v>6758582</c:v>
                </c:pt>
                <c:pt idx="544">
                  <c:v>3006887</c:v>
                </c:pt>
                <c:pt idx="545">
                  <c:v>2090607</c:v>
                </c:pt>
                <c:pt idx="546">
                  <c:v>6865948</c:v>
                </c:pt>
                <c:pt idx="547">
                  <c:v>5245863</c:v>
                </c:pt>
                <c:pt idx="548">
                  <c:v>487020</c:v>
                </c:pt>
                <c:pt idx="549">
                  <c:v>7540324</c:v>
                </c:pt>
                <c:pt idx="550">
                  <c:v>5716531</c:v>
                </c:pt>
                <c:pt idx="551">
                  <c:v>3867476</c:v>
                </c:pt>
                <c:pt idx="552">
                  <c:v>3607984</c:v>
                </c:pt>
                <c:pt idx="553">
                  <c:v>2935000</c:v>
                </c:pt>
                <c:pt idx="554">
                  <c:v>7069299</c:v>
                </c:pt>
                <c:pt idx="555">
                  <c:v>597137</c:v>
                </c:pt>
                <c:pt idx="556">
                  <c:v>5258376</c:v>
                </c:pt>
                <c:pt idx="557">
                  <c:v>2770960</c:v>
                </c:pt>
                <c:pt idx="558">
                  <c:v>3235184</c:v>
                </c:pt>
                <c:pt idx="559">
                  <c:v>6873949</c:v>
                </c:pt>
                <c:pt idx="560">
                  <c:v>1421770</c:v>
                </c:pt>
                <c:pt idx="561">
                  <c:v>6088742</c:v>
                </c:pt>
                <c:pt idx="562">
                  <c:v>6800654</c:v>
                </c:pt>
                <c:pt idx="563">
                  <c:v>6446208</c:v>
                </c:pt>
                <c:pt idx="564">
                  <c:v>6817162</c:v>
                </c:pt>
                <c:pt idx="565">
                  <c:v>4008190</c:v>
                </c:pt>
                <c:pt idx="566">
                  <c:v>3690279</c:v>
                </c:pt>
                <c:pt idx="567">
                  <c:v>2584654</c:v>
                </c:pt>
                <c:pt idx="568">
                  <c:v>2172256</c:v>
                </c:pt>
                <c:pt idx="569">
                  <c:v>3491286</c:v>
                </c:pt>
                <c:pt idx="570">
                  <c:v>6967993</c:v>
                </c:pt>
                <c:pt idx="571">
                  <c:v>6099236</c:v>
                </c:pt>
                <c:pt idx="572">
                  <c:v>5042485</c:v>
                </c:pt>
                <c:pt idx="573">
                  <c:v>4911585</c:v>
                </c:pt>
                <c:pt idx="574">
                  <c:v>5739621</c:v>
                </c:pt>
                <c:pt idx="575">
                  <c:v>5093838</c:v>
                </c:pt>
                <c:pt idx="576">
                  <c:v>5918604</c:v>
                </c:pt>
                <c:pt idx="577">
                  <c:v>7500987</c:v>
                </c:pt>
                <c:pt idx="578">
                  <c:v>3406833</c:v>
                </c:pt>
                <c:pt idx="579">
                  <c:v>5863626</c:v>
                </c:pt>
                <c:pt idx="580">
                  <c:v>6436812</c:v>
                </c:pt>
                <c:pt idx="581">
                  <c:v>6331768</c:v>
                </c:pt>
                <c:pt idx="582">
                  <c:v>4540124</c:v>
                </c:pt>
                <c:pt idx="583">
                  <c:v>7062304</c:v>
                </c:pt>
                <c:pt idx="584">
                  <c:v>6672535</c:v>
                </c:pt>
                <c:pt idx="585">
                  <c:v>7317406</c:v>
                </c:pt>
                <c:pt idx="586">
                  <c:v>7150981</c:v>
                </c:pt>
                <c:pt idx="587">
                  <c:v>6741565</c:v>
                </c:pt>
                <c:pt idx="588">
                  <c:v>3899190</c:v>
                </c:pt>
                <c:pt idx="589">
                  <c:v>7646250</c:v>
                </c:pt>
                <c:pt idx="590">
                  <c:v>5283400</c:v>
                </c:pt>
                <c:pt idx="591">
                  <c:v>7209495</c:v>
                </c:pt>
                <c:pt idx="592">
                  <c:v>3739146</c:v>
                </c:pt>
                <c:pt idx="593">
                  <c:v>7488301</c:v>
                </c:pt>
              </c:numCache>
            </c:numRef>
          </c:val>
          <c:smooth val="0"/>
          <c:extLst>
            <c:ext xmlns:c16="http://schemas.microsoft.com/office/drawing/2014/chart" uri="{C3380CC4-5D6E-409C-BE32-E72D297353CC}">
              <c16:uniqueId val="{00000000-40D7-4B08-A10D-903FBDC79667}"/>
            </c:ext>
          </c:extLst>
        </c:ser>
        <c:dLbls>
          <c:dLblPos val="ctr"/>
          <c:showLegendKey val="0"/>
          <c:showVal val="1"/>
          <c:showCatName val="0"/>
          <c:showSerName val="0"/>
          <c:showPercent val="0"/>
          <c:showBubbleSize val="0"/>
        </c:dLbls>
        <c:marker val="1"/>
        <c:smooth val="0"/>
        <c:axId val="1066684784"/>
        <c:axId val="1066686704"/>
      </c:lineChart>
      <c:catAx>
        <c:axId val="10666847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Customers 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6686704"/>
        <c:crosses val="autoZero"/>
        <c:auto val="1"/>
        <c:lblAlgn val="ctr"/>
        <c:lblOffset val="100"/>
        <c:noMultiLvlLbl val="0"/>
      </c:catAx>
      <c:valAx>
        <c:axId val="10666867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Axis Cumulative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6668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[customer_analysis_dataset.xlsx]Sheet8!PivotTable5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Count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Sheet8!$A$2</c:f>
              <c:strCache>
                <c:ptCount val="1"/>
                <c:pt idx="0">
                  <c:v>New</c:v>
                </c:pt>
              </c:strCache>
            </c:strRef>
          </c:cat>
          <c:val>
            <c:numRef>
              <c:f>Sheet8!$B$2</c:f>
              <c:numCache>
                <c:formatCode>General</c:formatCode>
                <c:ptCount val="1"/>
                <c:pt idx="0">
                  <c:v>77204</c:v>
                </c:pt>
              </c:numCache>
            </c:numRef>
          </c:val>
          <c:extLst>
            <c:ext xmlns:c16="http://schemas.microsoft.com/office/drawing/2014/chart" uri="{C3380CC4-5D6E-409C-BE32-E72D297353CC}">
              <c16:uniqueId val="{00000001-7A35-4C34-A5A6-DEDEC9E4E648}"/>
            </c:ext>
          </c:extLst>
        </c:ser>
        <c:dLbls>
          <c:dLblPos val="outEnd"/>
          <c:showLegendKey val="0"/>
          <c:showVal val="1"/>
          <c:showCatName val="0"/>
          <c:showSerName val="0"/>
          <c:showPercent val="0"/>
          <c:showBubbleSize val="0"/>
        </c:dLbls>
        <c:gapWidth val="219"/>
        <c:overlap val="-27"/>
        <c:axId val="1064091424"/>
        <c:axId val="1064095264"/>
      </c:barChart>
      <c:catAx>
        <c:axId val="106409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95264"/>
        <c:crosses val="autoZero"/>
        <c:auto val="1"/>
        <c:lblAlgn val="ctr"/>
        <c:lblOffset val="100"/>
        <c:noMultiLvlLbl val="0"/>
      </c:catAx>
      <c:valAx>
        <c:axId val="10640952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Orders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6409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[customer_analysis_dataset.xlsx]Sheet6!PivotTable3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759405074366"/>
          <c:y val="0.29106262758821816"/>
          <c:w val="0.68391863517060369"/>
          <c:h val="0.50415609507144943"/>
        </c:manualLayout>
      </c:layout>
      <c:lineChart>
        <c:grouping val="standard"/>
        <c:varyColors val="0"/>
        <c:ser>
          <c:idx val="0"/>
          <c:order val="0"/>
          <c:tx>
            <c:strRef>
              <c:f>Sheet6!$B$3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Sheet6!$A$4:$A$598</c:f>
              <c:strCache>
                <c:ptCount val="594"/>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1053</c:v>
                </c:pt>
                <c:pt idx="52">
                  <c:v>1054</c:v>
                </c:pt>
                <c:pt idx="53">
                  <c:v>1055</c:v>
                </c:pt>
                <c:pt idx="54">
                  <c:v>1056</c:v>
                </c:pt>
                <c:pt idx="55">
                  <c:v>1057</c:v>
                </c:pt>
                <c:pt idx="56">
                  <c:v>1058</c:v>
                </c:pt>
                <c:pt idx="57">
                  <c:v>1059</c:v>
                </c:pt>
                <c:pt idx="58">
                  <c:v>1060</c:v>
                </c:pt>
                <c:pt idx="59">
                  <c:v>1061</c:v>
                </c:pt>
                <c:pt idx="60">
                  <c:v>1062</c:v>
                </c:pt>
                <c:pt idx="61">
                  <c:v>1063</c:v>
                </c:pt>
                <c:pt idx="62">
                  <c:v>1064</c:v>
                </c:pt>
                <c:pt idx="63">
                  <c:v>1065</c:v>
                </c:pt>
                <c:pt idx="64">
                  <c:v>1066</c:v>
                </c:pt>
                <c:pt idx="65">
                  <c:v>1067</c:v>
                </c:pt>
                <c:pt idx="66">
                  <c:v>1068</c:v>
                </c:pt>
                <c:pt idx="67">
                  <c:v>1069</c:v>
                </c:pt>
                <c:pt idx="68">
                  <c:v>1070</c:v>
                </c:pt>
                <c:pt idx="69">
                  <c:v>1072</c:v>
                </c:pt>
                <c:pt idx="70">
                  <c:v>1073</c:v>
                </c:pt>
                <c:pt idx="71">
                  <c:v>1074</c:v>
                </c:pt>
                <c:pt idx="72">
                  <c:v>1075</c:v>
                </c:pt>
                <c:pt idx="73">
                  <c:v>1076</c:v>
                </c:pt>
                <c:pt idx="74">
                  <c:v>1077</c:v>
                </c:pt>
                <c:pt idx="75">
                  <c:v>1078</c:v>
                </c:pt>
                <c:pt idx="76">
                  <c:v>1079</c:v>
                </c:pt>
                <c:pt idx="77">
                  <c:v>1080</c:v>
                </c:pt>
                <c:pt idx="78">
                  <c:v>1081</c:v>
                </c:pt>
                <c:pt idx="79">
                  <c:v>1082</c:v>
                </c:pt>
                <c:pt idx="80">
                  <c:v>1083</c:v>
                </c:pt>
                <c:pt idx="81">
                  <c:v>1084</c:v>
                </c:pt>
                <c:pt idx="82">
                  <c:v>1085</c:v>
                </c:pt>
                <c:pt idx="83">
                  <c:v>1086</c:v>
                </c:pt>
                <c:pt idx="84">
                  <c:v>1087</c:v>
                </c:pt>
                <c:pt idx="85">
                  <c:v>1088</c:v>
                </c:pt>
                <c:pt idx="86">
                  <c:v>1089</c:v>
                </c:pt>
                <c:pt idx="87">
                  <c:v>1090</c:v>
                </c:pt>
                <c:pt idx="88">
                  <c:v>1091</c:v>
                </c:pt>
                <c:pt idx="89">
                  <c:v>1092</c:v>
                </c:pt>
                <c:pt idx="90">
                  <c:v>1093</c:v>
                </c:pt>
                <c:pt idx="91">
                  <c:v>1094</c:v>
                </c:pt>
                <c:pt idx="92">
                  <c:v>1095</c:v>
                </c:pt>
                <c:pt idx="93">
                  <c:v>1096</c:v>
                </c:pt>
                <c:pt idx="94">
                  <c:v>1097</c:v>
                </c:pt>
                <c:pt idx="95">
                  <c:v>1098</c:v>
                </c:pt>
                <c:pt idx="96">
                  <c:v>1099</c:v>
                </c:pt>
                <c:pt idx="97">
                  <c:v>1100</c:v>
                </c:pt>
                <c:pt idx="98">
                  <c:v>1101</c:v>
                </c:pt>
                <c:pt idx="99">
                  <c:v>1102</c:v>
                </c:pt>
                <c:pt idx="100">
                  <c:v>1103</c:v>
                </c:pt>
                <c:pt idx="101">
                  <c:v>1104</c:v>
                </c:pt>
                <c:pt idx="102">
                  <c:v>1105</c:v>
                </c:pt>
                <c:pt idx="103">
                  <c:v>1106</c:v>
                </c:pt>
                <c:pt idx="104">
                  <c:v>1107</c:v>
                </c:pt>
                <c:pt idx="105">
                  <c:v>1108</c:v>
                </c:pt>
                <c:pt idx="106">
                  <c:v>1109</c:v>
                </c:pt>
                <c:pt idx="107">
                  <c:v>1110</c:v>
                </c:pt>
                <c:pt idx="108">
                  <c:v>1111</c:v>
                </c:pt>
                <c:pt idx="109">
                  <c:v>1112</c:v>
                </c:pt>
                <c:pt idx="110">
                  <c:v>1113</c:v>
                </c:pt>
                <c:pt idx="111">
                  <c:v>1114</c:v>
                </c:pt>
                <c:pt idx="112">
                  <c:v>1115</c:v>
                </c:pt>
                <c:pt idx="113">
                  <c:v>1116</c:v>
                </c:pt>
                <c:pt idx="114">
                  <c:v>1117</c:v>
                </c:pt>
                <c:pt idx="115">
                  <c:v>1118</c:v>
                </c:pt>
                <c:pt idx="116">
                  <c:v>1119</c:v>
                </c:pt>
                <c:pt idx="117">
                  <c:v>1120</c:v>
                </c:pt>
                <c:pt idx="118">
                  <c:v>1121</c:v>
                </c:pt>
                <c:pt idx="119">
                  <c:v>1122</c:v>
                </c:pt>
                <c:pt idx="120">
                  <c:v>1123</c:v>
                </c:pt>
                <c:pt idx="121">
                  <c:v>1124</c:v>
                </c:pt>
                <c:pt idx="122">
                  <c:v>1125</c:v>
                </c:pt>
                <c:pt idx="123">
                  <c:v>1126</c:v>
                </c:pt>
                <c:pt idx="124">
                  <c:v>1127</c:v>
                </c:pt>
                <c:pt idx="125">
                  <c:v>1128</c:v>
                </c:pt>
                <c:pt idx="126">
                  <c:v>1129</c:v>
                </c:pt>
                <c:pt idx="127">
                  <c:v>1130</c:v>
                </c:pt>
                <c:pt idx="128">
                  <c:v>1131</c:v>
                </c:pt>
                <c:pt idx="129">
                  <c:v>1132</c:v>
                </c:pt>
                <c:pt idx="130">
                  <c:v>1133</c:v>
                </c:pt>
                <c:pt idx="131">
                  <c:v>1134</c:v>
                </c:pt>
                <c:pt idx="132">
                  <c:v>1135</c:v>
                </c:pt>
                <c:pt idx="133">
                  <c:v>1136</c:v>
                </c:pt>
                <c:pt idx="134">
                  <c:v>1137</c:v>
                </c:pt>
                <c:pt idx="135">
                  <c:v>1138</c:v>
                </c:pt>
                <c:pt idx="136">
                  <c:v>1139</c:v>
                </c:pt>
                <c:pt idx="137">
                  <c:v>1140</c:v>
                </c:pt>
                <c:pt idx="138">
                  <c:v>1141</c:v>
                </c:pt>
                <c:pt idx="139">
                  <c:v>1142</c:v>
                </c:pt>
                <c:pt idx="140">
                  <c:v>1143</c:v>
                </c:pt>
                <c:pt idx="141">
                  <c:v>1144</c:v>
                </c:pt>
                <c:pt idx="142">
                  <c:v>1145</c:v>
                </c:pt>
                <c:pt idx="143">
                  <c:v>1146</c:v>
                </c:pt>
                <c:pt idx="144">
                  <c:v>1147</c:v>
                </c:pt>
                <c:pt idx="145">
                  <c:v>1148</c:v>
                </c:pt>
                <c:pt idx="146">
                  <c:v>1149</c:v>
                </c:pt>
                <c:pt idx="147">
                  <c:v>1150</c:v>
                </c:pt>
                <c:pt idx="148">
                  <c:v>1151</c:v>
                </c:pt>
                <c:pt idx="149">
                  <c:v>1152</c:v>
                </c:pt>
                <c:pt idx="150">
                  <c:v>1153</c:v>
                </c:pt>
                <c:pt idx="151">
                  <c:v>1154</c:v>
                </c:pt>
                <c:pt idx="152">
                  <c:v>1155</c:v>
                </c:pt>
                <c:pt idx="153">
                  <c:v>1156</c:v>
                </c:pt>
                <c:pt idx="154">
                  <c:v>1157</c:v>
                </c:pt>
                <c:pt idx="155">
                  <c:v>1158</c:v>
                </c:pt>
                <c:pt idx="156">
                  <c:v>1159</c:v>
                </c:pt>
                <c:pt idx="157">
                  <c:v>1160</c:v>
                </c:pt>
                <c:pt idx="158">
                  <c:v>1161</c:v>
                </c:pt>
                <c:pt idx="159">
                  <c:v>1162</c:v>
                </c:pt>
                <c:pt idx="160">
                  <c:v>1163</c:v>
                </c:pt>
                <c:pt idx="161">
                  <c:v>1164</c:v>
                </c:pt>
                <c:pt idx="162">
                  <c:v>1165</c:v>
                </c:pt>
                <c:pt idx="163">
                  <c:v>1166</c:v>
                </c:pt>
                <c:pt idx="164">
                  <c:v>1167</c:v>
                </c:pt>
                <c:pt idx="165">
                  <c:v>1168</c:v>
                </c:pt>
                <c:pt idx="166">
                  <c:v>1169</c:v>
                </c:pt>
                <c:pt idx="167">
                  <c:v>1170</c:v>
                </c:pt>
                <c:pt idx="168">
                  <c:v>1171</c:v>
                </c:pt>
                <c:pt idx="169">
                  <c:v>1172</c:v>
                </c:pt>
                <c:pt idx="170">
                  <c:v>1173</c:v>
                </c:pt>
                <c:pt idx="171">
                  <c:v>1174</c:v>
                </c:pt>
                <c:pt idx="172">
                  <c:v>1175</c:v>
                </c:pt>
                <c:pt idx="173">
                  <c:v>1176</c:v>
                </c:pt>
                <c:pt idx="174">
                  <c:v>1177</c:v>
                </c:pt>
                <c:pt idx="175">
                  <c:v>1178</c:v>
                </c:pt>
                <c:pt idx="176">
                  <c:v>1179</c:v>
                </c:pt>
                <c:pt idx="177">
                  <c:v>1180</c:v>
                </c:pt>
                <c:pt idx="178">
                  <c:v>1181</c:v>
                </c:pt>
                <c:pt idx="179">
                  <c:v>1182</c:v>
                </c:pt>
                <c:pt idx="180">
                  <c:v>1183</c:v>
                </c:pt>
                <c:pt idx="181">
                  <c:v>1184</c:v>
                </c:pt>
                <c:pt idx="182">
                  <c:v>1185</c:v>
                </c:pt>
                <c:pt idx="183">
                  <c:v>1186</c:v>
                </c:pt>
                <c:pt idx="184">
                  <c:v>1187</c:v>
                </c:pt>
                <c:pt idx="185">
                  <c:v>1188</c:v>
                </c:pt>
                <c:pt idx="186">
                  <c:v>1189</c:v>
                </c:pt>
                <c:pt idx="187">
                  <c:v>1190</c:v>
                </c:pt>
                <c:pt idx="188">
                  <c:v>1191</c:v>
                </c:pt>
                <c:pt idx="189">
                  <c:v>1192</c:v>
                </c:pt>
                <c:pt idx="190">
                  <c:v>1193</c:v>
                </c:pt>
                <c:pt idx="191">
                  <c:v>1194</c:v>
                </c:pt>
                <c:pt idx="192">
                  <c:v>1195</c:v>
                </c:pt>
                <c:pt idx="193">
                  <c:v>1196</c:v>
                </c:pt>
                <c:pt idx="194">
                  <c:v>1198</c:v>
                </c:pt>
                <c:pt idx="195">
                  <c:v>1199</c:v>
                </c:pt>
                <c:pt idx="196">
                  <c:v>1200</c:v>
                </c:pt>
                <c:pt idx="197">
                  <c:v>1201</c:v>
                </c:pt>
                <c:pt idx="198">
                  <c:v>1202</c:v>
                </c:pt>
                <c:pt idx="199">
                  <c:v>1203</c:v>
                </c:pt>
                <c:pt idx="200">
                  <c:v>1204</c:v>
                </c:pt>
                <c:pt idx="201">
                  <c:v>1205</c:v>
                </c:pt>
                <c:pt idx="202">
                  <c:v>1206</c:v>
                </c:pt>
                <c:pt idx="203">
                  <c:v>1207</c:v>
                </c:pt>
                <c:pt idx="204">
                  <c:v>1208</c:v>
                </c:pt>
                <c:pt idx="205">
                  <c:v>1209</c:v>
                </c:pt>
                <c:pt idx="206">
                  <c:v>1210</c:v>
                </c:pt>
                <c:pt idx="207">
                  <c:v>1211</c:v>
                </c:pt>
                <c:pt idx="208">
                  <c:v>1212</c:v>
                </c:pt>
                <c:pt idx="209">
                  <c:v>1213</c:v>
                </c:pt>
                <c:pt idx="210">
                  <c:v>1214</c:v>
                </c:pt>
                <c:pt idx="211">
                  <c:v>1215</c:v>
                </c:pt>
                <c:pt idx="212">
                  <c:v>1216</c:v>
                </c:pt>
                <c:pt idx="213">
                  <c:v>1217</c:v>
                </c:pt>
                <c:pt idx="214">
                  <c:v>1218</c:v>
                </c:pt>
                <c:pt idx="215">
                  <c:v>1219</c:v>
                </c:pt>
                <c:pt idx="216">
                  <c:v>1220</c:v>
                </c:pt>
                <c:pt idx="217">
                  <c:v>1221</c:v>
                </c:pt>
                <c:pt idx="218">
                  <c:v>1222</c:v>
                </c:pt>
                <c:pt idx="219">
                  <c:v>1223</c:v>
                </c:pt>
                <c:pt idx="220">
                  <c:v>1224</c:v>
                </c:pt>
                <c:pt idx="221">
                  <c:v>1225</c:v>
                </c:pt>
                <c:pt idx="222">
                  <c:v>1226</c:v>
                </c:pt>
                <c:pt idx="223">
                  <c:v>1227</c:v>
                </c:pt>
                <c:pt idx="224">
                  <c:v>1228</c:v>
                </c:pt>
                <c:pt idx="225">
                  <c:v>1229</c:v>
                </c:pt>
                <c:pt idx="226">
                  <c:v>1230</c:v>
                </c:pt>
                <c:pt idx="227">
                  <c:v>1231</c:v>
                </c:pt>
                <c:pt idx="228">
                  <c:v>1232</c:v>
                </c:pt>
                <c:pt idx="229">
                  <c:v>1233</c:v>
                </c:pt>
                <c:pt idx="230">
                  <c:v>1234</c:v>
                </c:pt>
                <c:pt idx="231">
                  <c:v>1235</c:v>
                </c:pt>
                <c:pt idx="232">
                  <c:v>1236</c:v>
                </c:pt>
                <c:pt idx="233">
                  <c:v>1237</c:v>
                </c:pt>
                <c:pt idx="234">
                  <c:v>1238</c:v>
                </c:pt>
                <c:pt idx="235">
                  <c:v>1239</c:v>
                </c:pt>
                <c:pt idx="236">
                  <c:v>1240</c:v>
                </c:pt>
                <c:pt idx="237">
                  <c:v>1241</c:v>
                </c:pt>
                <c:pt idx="238">
                  <c:v>1242</c:v>
                </c:pt>
                <c:pt idx="239">
                  <c:v>1243</c:v>
                </c:pt>
                <c:pt idx="240">
                  <c:v>1244</c:v>
                </c:pt>
                <c:pt idx="241">
                  <c:v>1245</c:v>
                </c:pt>
                <c:pt idx="242">
                  <c:v>1246</c:v>
                </c:pt>
                <c:pt idx="243">
                  <c:v>1247</c:v>
                </c:pt>
                <c:pt idx="244">
                  <c:v>1248</c:v>
                </c:pt>
                <c:pt idx="245">
                  <c:v>1249</c:v>
                </c:pt>
                <c:pt idx="246">
                  <c:v>1250</c:v>
                </c:pt>
                <c:pt idx="247">
                  <c:v>1251</c:v>
                </c:pt>
                <c:pt idx="248">
                  <c:v>1252</c:v>
                </c:pt>
                <c:pt idx="249">
                  <c:v>1253</c:v>
                </c:pt>
                <c:pt idx="250">
                  <c:v>1254</c:v>
                </c:pt>
                <c:pt idx="251">
                  <c:v>1255</c:v>
                </c:pt>
                <c:pt idx="252">
                  <c:v>1256</c:v>
                </c:pt>
                <c:pt idx="253">
                  <c:v>1257</c:v>
                </c:pt>
                <c:pt idx="254">
                  <c:v>1258</c:v>
                </c:pt>
                <c:pt idx="255">
                  <c:v>1259</c:v>
                </c:pt>
                <c:pt idx="256">
                  <c:v>1260</c:v>
                </c:pt>
                <c:pt idx="257">
                  <c:v>1261</c:v>
                </c:pt>
                <c:pt idx="258">
                  <c:v>1262</c:v>
                </c:pt>
                <c:pt idx="259">
                  <c:v>1263</c:v>
                </c:pt>
                <c:pt idx="260">
                  <c:v>1264</c:v>
                </c:pt>
                <c:pt idx="261">
                  <c:v>1265</c:v>
                </c:pt>
                <c:pt idx="262">
                  <c:v>1266</c:v>
                </c:pt>
                <c:pt idx="263">
                  <c:v>1267</c:v>
                </c:pt>
                <c:pt idx="264">
                  <c:v>1268</c:v>
                </c:pt>
                <c:pt idx="265">
                  <c:v>1269</c:v>
                </c:pt>
                <c:pt idx="266">
                  <c:v>1270</c:v>
                </c:pt>
                <c:pt idx="267">
                  <c:v>1271</c:v>
                </c:pt>
                <c:pt idx="268">
                  <c:v>1272</c:v>
                </c:pt>
                <c:pt idx="269">
                  <c:v>1273</c:v>
                </c:pt>
                <c:pt idx="270">
                  <c:v>1274</c:v>
                </c:pt>
                <c:pt idx="271">
                  <c:v>1275</c:v>
                </c:pt>
                <c:pt idx="272">
                  <c:v>1276</c:v>
                </c:pt>
                <c:pt idx="273">
                  <c:v>1277</c:v>
                </c:pt>
                <c:pt idx="274">
                  <c:v>1278</c:v>
                </c:pt>
                <c:pt idx="275">
                  <c:v>1279</c:v>
                </c:pt>
                <c:pt idx="276">
                  <c:v>1280</c:v>
                </c:pt>
                <c:pt idx="277">
                  <c:v>1281</c:v>
                </c:pt>
                <c:pt idx="278">
                  <c:v>1282</c:v>
                </c:pt>
                <c:pt idx="279">
                  <c:v>1283</c:v>
                </c:pt>
                <c:pt idx="280">
                  <c:v>1284</c:v>
                </c:pt>
                <c:pt idx="281">
                  <c:v>1285</c:v>
                </c:pt>
                <c:pt idx="282">
                  <c:v>1286</c:v>
                </c:pt>
                <c:pt idx="283">
                  <c:v>1287</c:v>
                </c:pt>
                <c:pt idx="284">
                  <c:v>1288</c:v>
                </c:pt>
                <c:pt idx="285">
                  <c:v>1289</c:v>
                </c:pt>
                <c:pt idx="286">
                  <c:v>1290</c:v>
                </c:pt>
                <c:pt idx="287">
                  <c:v>1291</c:v>
                </c:pt>
                <c:pt idx="288">
                  <c:v>1292</c:v>
                </c:pt>
                <c:pt idx="289">
                  <c:v>1293</c:v>
                </c:pt>
                <c:pt idx="290">
                  <c:v>1294</c:v>
                </c:pt>
                <c:pt idx="291">
                  <c:v>1295</c:v>
                </c:pt>
                <c:pt idx="292">
                  <c:v>1296</c:v>
                </c:pt>
                <c:pt idx="293">
                  <c:v>1297</c:v>
                </c:pt>
                <c:pt idx="294">
                  <c:v>1298</c:v>
                </c:pt>
                <c:pt idx="295">
                  <c:v>1300</c:v>
                </c:pt>
                <c:pt idx="296">
                  <c:v>1301</c:v>
                </c:pt>
                <c:pt idx="297">
                  <c:v>1302</c:v>
                </c:pt>
                <c:pt idx="298">
                  <c:v>1303</c:v>
                </c:pt>
                <c:pt idx="299">
                  <c:v>1304</c:v>
                </c:pt>
                <c:pt idx="300">
                  <c:v>1305</c:v>
                </c:pt>
                <c:pt idx="301">
                  <c:v>1306</c:v>
                </c:pt>
                <c:pt idx="302">
                  <c:v>1307</c:v>
                </c:pt>
                <c:pt idx="303">
                  <c:v>1308</c:v>
                </c:pt>
                <c:pt idx="304">
                  <c:v>1309</c:v>
                </c:pt>
                <c:pt idx="305">
                  <c:v>1310</c:v>
                </c:pt>
                <c:pt idx="306">
                  <c:v>1311</c:v>
                </c:pt>
                <c:pt idx="307">
                  <c:v>1312</c:v>
                </c:pt>
                <c:pt idx="308">
                  <c:v>1313</c:v>
                </c:pt>
                <c:pt idx="309">
                  <c:v>1314</c:v>
                </c:pt>
                <c:pt idx="310">
                  <c:v>1315</c:v>
                </c:pt>
                <c:pt idx="311">
                  <c:v>1316</c:v>
                </c:pt>
                <c:pt idx="312">
                  <c:v>1317</c:v>
                </c:pt>
                <c:pt idx="313">
                  <c:v>1318</c:v>
                </c:pt>
                <c:pt idx="314">
                  <c:v>1319</c:v>
                </c:pt>
                <c:pt idx="315">
                  <c:v>1320</c:v>
                </c:pt>
                <c:pt idx="316">
                  <c:v>1321</c:v>
                </c:pt>
                <c:pt idx="317">
                  <c:v>1322</c:v>
                </c:pt>
                <c:pt idx="318">
                  <c:v>1323</c:v>
                </c:pt>
                <c:pt idx="319">
                  <c:v>1324</c:v>
                </c:pt>
                <c:pt idx="320">
                  <c:v>1325</c:v>
                </c:pt>
                <c:pt idx="321">
                  <c:v>1326</c:v>
                </c:pt>
                <c:pt idx="322">
                  <c:v>1327</c:v>
                </c:pt>
                <c:pt idx="323">
                  <c:v>1328</c:v>
                </c:pt>
                <c:pt idx="324">
                  <c:v>1329</c:v>
                </c:pt>
                <c:pt idx="325">
                  <c:v>1330</c:v>
                </c:pt>
                <c:pt idx="326">
                  <c:v>1331</c:v>
                </c:pt>
                <c:pt idx="327">
                  <c:v>1332</c:v>
                </c:pt>
                <c:pt idx="328">
                  <c:v>1333</c:v>
                </c:pt>
                <c:pt idx="329">
                  <c:v>1334</c:v>
                </c:pt>
                <c:pt idx="330">
                  <c:v>1335</c:v>
                </c:pt>
                <c:pt idx="331">
                  <c:v>1336</c:v>
                </c:pt>
                <c:pt idx="332">
                  <c:v>1337</c:v>
                </c:pt>
                <c:pt idx="333">
                  <c:v>1338</c:v>
                </c:pt>
                <c:pt idx="334">
                  <c:v>1339</c:v>
                </c:pt>
                <c:pt idx="335">
                  <c:v>1340</c:v>
                </c:pt>
                <c:pt idx="336">
                  <c:v>1341</c:v>
                </c:pt>
                <c:pt idx="337">
                  <c:v>1342</c:v>
                </c:pt>
                <c:pt idx="338">
                  <c:v>1343</c:v>
                </c:pt>
                <c:pt idx="339">
                  <c:v>1344</c:v>
                </c:pt>
                <c:pt idx="340">
                  <c:v>1345</c:v>
                </c:pt>
                <c:pt idx="341">
                  <c:v>1346</c:v>
                </c:pt>
                <c:pt idx="342">
                  <c:v>1347</c:v>
                </c:pt>
                <c:pt idx="343">
                  <c:v>1348</c:v>
                </c:pt>
                <c:pt idx="344">
                  <c:v>1349</c:v>
                </c:pt>
                <c:pt idx="345">
                  <c:v>1350</c:v>
                </c:pt>
                <c:pt idx="346">
                  <c:v>1351</c:v>
                </c:pt>
                <c:pt idx="347">
                  <c:v>1352</c:v>
                </c:pt>
                <c:pt idx="348">
                  <c:v>1353</c:v>
                </c:pt>
                <c:pt idx="349">
                  <c:v>1354</c:v>
                </c:pt>
                <c:pt idx="350">
                  <c:v>1355</c:v>
                </c:pt>
                <c:pt idx="351">
                  <c:v>1356</c:v>
                </c:pt>
                <c:pt idx="352">
                  <c:v>1357</c:v>
                </c:pt>
                <c:pt idx="353">
                  <c:v>1358</c:v>
                </c:pt>
                <c:pt idx="354">
                  <c:v>1359</c:v>
                </c:pt>
                <c:pt idx="355">
                  <c:v>1360</c:v>
                </c:pt>
                <c:pt idx="356">
                  <c:v>1361</c:v>
                </c:pt>
                <c:pt idx="357">
                  <c:v>1362</c:v>
                </c:pt>
                <c:pt idx="358">
                  <c:v>1363</c:v>
                </c:pt>
                <c:pt idx="359">
                  <c:v>1364</c:v>
                </c:pt>
                <c:pt idx="360">
                  <c:v>1365</c:v>
                </c:pt>
                <c:pt idx="361">
                  <c:v>1366</c:v>
                </c:pt>
                <c:pt idx="362">
                  <c:v>1367</c:v>
                </c:pt>
                <c:pt idx="363">
                  <c:v>1368</c:v>
                </c:pt>
                <c:pt idx="364">
                  <c:v>1369</c:v>
                </c:pt>
                <c:pt idx="365">
                  <c:v>1370</c:v>
                </c:pt>
                <c:pt idx="366">
                  <c:v>1371</c:v>
                </c:pt>
                <c:pt idx="367">
                  <c:v>1372</c:v>
                </c:pt>
                <c:pt idx="368">
                  <c:v>1373</c:v>
                </c:pt>
                <c:pt idx="369">
                  <c:v>1374</c:v>
                </c:pt>
                <c:pt idx="370">
                  <c:v>1375</c:v>
                </c:pt>
                <c:pt idx="371">
                  <c:v>1376</c:v>
                </c:pt>
                <c:pt idx="372">
                  <c:v>1377</c:v>
                </c:pt>
                <c:pt idx="373">
                  <c:v>1378</c:v>
                </c:pt>
                <c:pt idx="374">
                  <c:v>1379</c:v>
                </c:pt>
                <c:pt idx="375">
                  <c:v>1380</c:v>
                </c:pt>
                <c:pt idx="376">
                  <c:v>1381</c:v>
                </c:pt>
                <c:pt idx="377">
                  <c:v>1382</c:v>
                </c:pt>
                <c:pt idx="378">
                  <c:v>1383</c:v>
                </c:pt>
                <c:pt idx="379">
                  <c:v>1384</c:v>
                </c:pt>
                <c:pt idx="380">
                  <c:v>1385</c:v>
                </c:pt>
                <c:pt idx="381">
                  <c:v>1386</c:v>
                </c:pt>
                <c:pt idx="382">
                  <c:v>1387</c:v>
                </c:pt>
                <c:pt idx="383">
                  <c:v>1388</c:v>
                </c:pt>
                <c:pt idx="384">
                  <c:v>1389</c:v>
                </c:pt>
                <c:pt idx="385">
                  <c:v>1390</c:v>
                </c:pt>
                <c:pt idx="386">
                  <c:v>1391</c:v>
                </c:pt>
                <c:pt idx="387">
                  <c:v>1392</c:v>
                </c:pt>
                <c:pt idx="388">
                  <c:v>1393</c:v>
                </c:pt>
                <c:pt idx="389">
                  <c:v>1394</c:v>
                </c:pt>
                <c:pt idx="390">
                  <c:v>1395</c:v>
                </c:pt>
                <c:pt idx="391">
                  <c:v>1396</c:v>
                </c:pt>
                <c:pt idx="392">
                  <c:v>1397</c:v>
                </c:pt>
                <c:pt idx="393">
                  <c:v>1398</c:v>
                </c:pt>
                <c:pt idx="394">
                  <c:v>1399</c:v>
                </c:pt>
                <c:pt idx="395">
                  <c:v>1400</c:v>
                </c:pt>
                <c:pt idx="396">
                  <c:v>1401</c:v>
                </c:pt>
                <c:pt idx="397">
                  <c:v>1402</c:v>
                </c:pt>
                <c:pt idx="398">
                  <c:v>1403</c:v>
                </c:pt>
                <c:pt idx="399">
                  <c:v>1404</c:v>
                </c:pt>
                <c:pt idx="400">
                  <c:v>1405</c:v>
                </c:pt>
                <c:pt idx="401">
                  <c:v>1406</c:v>
                </c:pt>
                <c:pt idx="402">
                  <c:v>1407</c:v>
                </c:pt>
                <c:pt idx="403">
                  <c:v>1408</c:v>
                </c:pt>
                <c:pt idx="404">
                  <c:v>1409</c:v>
                </c:pt>
                <c:pt idx="405">
                  <c:v>1410</c:v>
                </c:pt>
                <c:pt idx="406">
                  <c:v>1411</c:v>
                </c:pt>
                <c:pt idx="407">
                  <c:v>1412</c:v>
                </c:pt>
                <c:pt idx="408">
                  <c:v>1413</c:v>
                </c:pt>
                <c:pt idx="409">
                  <c:v>1414</c:v>
                </c:pt>
                <c:pt idx="410">
                  <c:v>1415</c:v>
                </c:pt>
                <c:pt idx="411">
                  <c:v>1416</c:v>
                </c:pt>
                <c:pt idx="412">
                  <c:v>1417</c:v>
                </c:pt>
                <c:pt idx="413">
                  <c:v>1418</c:v>
                </c:pt>
                <c:pt idx="414">
                  <c:v>1419</c:v>
                </c:pt>
                <c:pt idx="415">
                  <c:v>1420</c:v>
                </c:pt>
                <c:pt idx="416">
                  <c:v>1421</c:v>
                </c:pt>
                <c:pt idx="417">
                  <c:v>1422</c:v>
                </c:pt>
                <c:pt idx="418">
                  <c:v>1423</c:v>
                </c:pt>
                <c:pt idx="419">
                  <c:v>1424</c:v>
                </c:pt>
                <c:pt idx="420">
                  <c:v>1425</c:v>
                </c:pt>
                <c:pt idx="421">
                  <c:v>1426</c:v>
                </c:pt>
                <c:pt idx="422">
                  <c:v>1427</c:v>
                </c:pt>
                <c:pt idx="423">
                  <c:v>1428</c:v>
                </c:pt>
                <c:pt idx="424">
                  <c:v>1429</c:v>
                </c:pt>
                <c:pt idx="425">
                  <c:v>1430</c:v>
                </c:pt>
                <c:pt idx="426">
                  <c:v>1431</c:v>
                </c:pt>
                <c:pt idx="427">
                  <c:v>1432</c:v>
                </c:pt>
                <c:pt idx="428">
                  <c:v>1434</c:v>
                </c:pt>
                <c:pt idx="429">
                  <c:v>1435</c:v>
                </c:pt>
                <c:pt idx="430">
                  <c:v>1436</c:v>
                </c:pt>
                <c:pt idx="431">
                  <c:v>1437</c:v>
                </c:pt>
                <c:pt idx="432">
                  <c:v>1438</c:v>
                </c:pt>
                <c:pt idx="433">
                  <c:v>1439</c:v>
                </c:pt>
                <c:pt idx="434">
                  <c:v>1440</c:v>
                </c:pt>
                <c:pt idx="435">
                  <c:v>1441</c:v>
                </c:pt>
                <c:pt idx="436">
                  <c:v>1442</c:v>
                </c:pt>
                <c:pt idx="437">
                  <c:v>1443</c:v>
                </c:pt>
                <c:pt idx="438">
                  <c:v>1444</c:v>
                </c:pt>
                <c:pt idx="439">
                  <c:v>1445</c:v>
                </c:pt>
                <c:pt idx="440">
                  <c:v>1446</c:v>
                </c:pt>
                <c:pt idx="441">
                  <c:v>1447</c:v>
                </c:pt>
                <c:pt idx="442">
                  <c:v>1448</c:v>
                </c:pt>
                <c:pt idx="443">
                  <c:v>1449</c:v>
                </c:pt>
                <c:pt idx="444">
                  <c:v>1450</c:v>
                </c:pt>
                <c:pt idx="445">
                  <c:v>1451</c:v>
                </c:pt>
                <c:pt idx="446">
                  <c:v>1452</c:v>
                </c:pt>
                <c:pt idx="447">
                  <c:v>1453</c:v>
                </c:pt>
                <c:pt idx="448">
                  <c:v>1454</c:v>
                </c:pt>
                <c:pt idx="449">
                  <c:v>1455</c:v>
                </c:pt>
                <c:pt idx="450">
                  <c:v>1456</c:v>
                </c:pt>
                <c:pt idx="451">
                  <c:v>1457</c:v>
                </c:pt>
                <c:pt idx="452">
                  <c:v>1458</c:v>
                </c:pt>
                <c:pt idx="453">
                  <c:v>1459</c:v>
                </c:pt>
                <c:pt idx="454">
                  <c:v>1460</c:v>
                </c:pt>
                <c:pt idx="455">
                  <c:v>1461</c:v>
                </c:pt>
                <c:pt idx="456">
                  <c:v>1462</c:v>
                </c:pt>
                <c:pt idx="457">
                  <c:v>1463</c:v>
                </c:pt>
                <c:pt idx="458">
                  <c:v>1464</c:v>
                </c:pt>
                <c:pt idx="459">
                  <c:v>1465</c:v>
                </c:pt>
                <c:pt idx="460">
                  <c:v>1466</c:v>
                </c:pt>
                <c:pt idx="461">
                  <c:v>1467</c:v>
                </c:pt>
                <c:pt idx="462">
                  <c:v>1468</c:v>
                </c:pt>
                <c:pt idx="463">
                  <c:v>1469</c:v>
                </c:pt>
                <c:pt idx="464">
                  <c:v>1470</c:v>
                </c:pt>
                <c:pt idx="465">
                  <c:v>1471</c:v>
                </c:pt>
                <c:pt idx="466">
                  <c:v>1472</c:v>
                </c:pt>
                <c:pt idx="467">
                  <c:v>1473</c:v>
                </c:pt>
                <c:pt idx="468">
                  <c:v>1474</c:v>
                </c:pt>
                <c:pt idx="469">
                  <c:v>1475</c:v>
                </c:pt>
                <c:pt idx="470">
                  <c:v>1476</c:v>
                </c:pt>
                <c:pt idx="471">
                  <c:v>1477</c:v>
                </c:pt>
                <c:pt idx="472">
                  <c:v>1478</c:v>
                </c:pt>
                <c:pt idx="473">
                  <c:v>1479</c:v>
                </c:pt>
                <c:pt idx="474">
                  <c:v>1480</c:v>
                </c:pt>
                <c:pt idx="475">
                  <c:v>1481</c:v>
                </c:pt>
                <c:pt idx="476">
                  <c:v>1482</c:v>
                </c:pt>
                <c:pt idx="477">
                  <c:v>1483</c:v>
                </c:pt>
                <c:pt idx="478">
                  <c:v>1484</c:v>
                </c:pt>
                <c:pt idx="479">
                  <c:v>1485</c:v>
                </c:pt>
                <c:pt idx="480">
                  <c:v>1486</c:v>
                </c:pt>
                <c:pt idx="481">
                  <c:v>1487</c:v>
                </c:pt>
                <c:pt idx="482">
                  <c:v>1488</c:v>
                </c:pt>
                <c:pt idx="483">
                  <c:v>1489</c:v>
                </c:pt>
                <c:pt idx="484">
                  <c:v>1490</c:v>
                </c:pt>
                <c:pt idx="485">
                  <c:v>1491</c:v>
                </c:pt>
                <c:pt idx="486">
                  <c:v>1492</c:v>
                </c:pt>
                <c:pt idx="487">
                  <c:v>1493</c:v>
                </c:pt>
                <c:pt idx="488">
                  <c:v>1494</c:v>
                </c:pt>
                <c:pt idx="489">
                  <c:v>1495</c:v>
                </c:pt>
                <c:pt idx="490">
                  <c:v>1496</c:v>
                </c:pt>
                <c:pt idx="491">
                  <c:v>1497</c:v>
                </c:pt>
                <c:pt idx="492">
                  <c:v>1498</c:v>
                </c:pt>
                <c:pt idx="493">
                  <c:v>1499</c:v>
                </c:pt>
                <c:pt idx="494">
                  <c:v>1500</c:v>
                </c:pt>
                <c:pt idx="495">
                  <c:v>1501</c:v>
                </c:pt>
                <c:pt idx="496">
                  <c:v>1502</c:v>
                </c:pt>
                <c:pt idx="497">
                  <c:v>1503</c:v>
                </c:pt>
                <c:pt idx="498">
                  <c:v>1504</c:v>
                </c:pt>
                <c:pt idx="499">
                  <c:v>1505</c:v>
                </c:pt>
                <c:pt idx="500">
                  <c:v>1506</c:v>
                </c:pt>
                <c:pt idx="501">
                  <c:v>1507</c:v>
                </c:pt>
                <c:pt idx="502">
                  <c:v>1508</c:v>
                </c:pt>
                <c:pt idx="503">
                  <c:v>1509</c:v>
                </c:pt>
                <c:pt idx="504">
                  <c:v>1510</c:v>
                </c:pt>
                <c:pt idx="505">
                  <c:v>1511</c:v>
                </c:pt>
                <c:pt idx="506">
                  <c:v>1512</c:v>
                </c:pt>
                <c:pt idx="507">
                  <c:v>1513</c:v>
                </c:pt>
                <c:pt idx="508">
                  <c:v>1514</c:v>
                </c:pt>
                <c:pt idx="509">
                  <c:v>1515</c:v>
                </c:pt>
                <c:pt idx="510">
                  <c:v>1516</c:v>
                </c:pt>
                <c:pt idx="511">
                  <c:v>1517</c:v>
                </c:pt>
                <c:pt idx="512">
                  <c:v>1518</c:v>
                </c:pt>
                <c:pt idx="513">
                  <c:v>1519</c:v>
                </c:pt>
                <c:pt idx="514">
                  <c:v>1520</c:v>
                </c:pt>
                <c:pt idx="515">
                  <c:v>1521</c:v>
                </c:pt>
                <c:pt idx="516">
                  <c:v>1522</c:v>
                </c:pt>
                <c:pt idx="517">
                  <c:v>1523</c:v>
                </c:pt>
                <c:pt idx="518">
                  <c:v>1524</c:v>
                </c:pt>
                <c:pt idx="519">
                  <c:v>1525</c:v>
                </c:pt>
                <c:pt idx="520">
                  <c:v>1526</c:v>
                </c:pt>
                <c:pt idx="521">
                  <c:v>1527</c:v>
                </c:pt>
                <c:pt idx="522">
                  <c:v>1528</c:v>
                </c:pt>
                <c:pt idx="523">
                  <c:v>1529</c:v>
                </c:pt>
                <c:pt idx="524">
                  <c:v>1530</c:v>
                </c:pt>
                <c:pt idx="525">
                  <c:v>1531</c:v>
                </c:pt>
                <c:pt idx="526">
                  <c:v>1532</c:v>
                </c:pt>
                <c:pt idx="527">
                  <c:v>1533</c:v>
                </c:pt>
                <c:pt idx="528">
                  <c:v>1534</c:v>
                </c:pt>
                <c:pt idx="529">
                  <c:v>1535</c:v>
                </c:pt>
                <c:pt idx="530">
                  <c:v>1536</c:v>
                </c:pt>
                <c:pt idx="531">
                  <c:v>1537</c:v>
                </c:pt>
                <c:pt idx="532">
                  <c:v>1538</c:v>
                </c:pt>
                <c:pt idx="533">
                  <c:v>1539</c:v>
                </c:pt>
                <c:pt idx="534">
                  <c:v>1540</c:v>
                </c:pt>
                <c:pt idx="535">
                  <c:v>1541</c:v>
                </c:pt>
                <c:pt idx="536">
                  <c:v>1542</c:v>
                </c:pt>
                <c:pt idx="537">
                  <c:v>1543</c:v>
                </c:pt>
                <c:pt idx="538">
                  <c:v>1544</c:v>
                </c:pt>
                <c:pt idx="539">
                  <c:v>1545</c:v>
                </c:pt>
                <c:pt idx="540">
                  <c:v>1546</c:v>
                </c:pt>
                <c:pt idx="541">
                  <c:v>1547</c:v>
                </c:pt>
                <c:pt idx="542">
                  <c:v>1548</c:v>
                </c:pt>
                <c:pt idx="543">
                  <c:v>1549</c:v>
                </c:pt>
                <c:pt idx="544">
                  <c:v>1550</c:v>
                </c:pt>
                <c:pt idx="545">
                  <c:v>1551</c:v>
                </c:pt>
                <c:pt idx="546">
                  <c:v>1552</c:v>
                </c:pt>
                <c:pt idx="547">
                  <c:v>1553</c:v>
                </c:pt>
                <c:pt idx="548">
                  <c:v>1554</c:v>
                </c:pt>
                <c:pt idx="549">
                  <c:v>1555</c:v>
                </c:pt>
                <c:pt idx="550">
                  <c:v>1556</c:v>
                </c:pt>
                <c:pt idx="551">
                  <c:v>1557</c:v>
                </c:pt>
                <c:pt idx="552">
                  <c:v>1558</c:v>
                </c:pt>
                <c:pt idx="553">
                  <c:v>1559</c:v>
                </c:pt>
                <c:pt idx="554">
                  <c:v>1560</c:v>
                </c:pt>
                <c:pt idx="555">
                  <c:v>1561</c:v>
                </c:pt>
                <c:pt idx="556">
                  <c:v>1562</c:v>
                </c:pt>
                <c:pt idx="557">
                  <c:v>1563</c:v>
                </c:pt>
                <c:pt idx="558">
                  <c:v>1564</c:v>
                </c:pt>
                <c:pt idx="559">
                  <c:v>1565</c:v>
                </c:pt>
                <c:pt idx="560">
                  <c:v>1566</c:v>
                </c:pt>
                <c:pt idx="561">
                  <c:v>1567</c:v>
                </c:pt>
                <c:pt idx="562">
                  <c:v>1568</c:v>
                </c:pt>
                <c:pt idx="563">
                  <c:v>1569</c:v>
                </c:pt>
                <c:pt idx="564">
                  <c:v>1570</c:v>
                </c:pt>
                <c:pt idx="565">
                  <c:v>1571</c:v>
                </c:pt>
                <c:pt idx="566">
                  <c:v>1572</c:v>
                </c:pt>
                <c:pt idx="567">
                  <c:v>1573</c:v>
                </c:pt>
                <c:pt idx="568">
                  <c:v>1574</c:v>
                </c:pt>
                <c:pt idx="569">
                  <c:v>1575</c:v>
                </c:pt>
                <c:pt idx="570">
                  <c:v>1576</c:v>
                </c:pt>
                <c:pt idx="571">
                  <c:v>1577</c:v>
                </c:pt>
                <c:pt idx="572">
                  <c:v>1578</c:v>
                </c:pt>
                <c:pt idx="573">
                  <c:v>1579</c:v>
                </c:pt>
                <c:pt idx="574">
                  <c:v>1580</c:v>
                </c:pt>
                <c:pt idx="575">
                  <c:v>1581</c:v>
                </c:pt>
                <c:pt idx="576">
                  <c:v>1582</c:v>
                </c:pt>
                <c:pt idx="577">
                  <c:v>1583</c:v>
                </c:pt>
                <c:pt idx="578">
                  <c:v>1584</c:v>
                </c:pt>
                <c:pt idx="579">
                  <c:v>1585</c:v>
                </c:pt>
                <c:pt idx="580">
                  <c:v>1586</c:v>
                </c:pt>
                <c:pt idx="581">
                  <c:v>1587</c:v>
                </c:pt>
                <c:pt idx="582">
                  <c:v>1588</c:v>
                </c:pt>
                <c:pt idx="583">
                  <c:v>1589</c:v>
                </c:pt>
                <c:pt idx="584">
                  <c:v>1590</c:v>
                </c:pt>
                <c:pt idx="585">
                  <c:v>1591</c:v>
                </c:pt>
                <c:pt idx="586">
                  <c:v>1592</c:v>
                </c:pt>
                <c:pt idx="587">
                  <c:v>1593</c:v>
                </c:pt>
                <c:pt idx="588">
                  <c:v>1594</c:v>
                </c:pt>
                <c:pt idx="589">
                  <c:v>1595</c:v>
                </c:pt>
                <c:pt idx="590">
                  <c:v>1596</c:v>
                </c:pt>
                <c:pt idx="591">
                  <c:v>1597</c:v>
                </c:pt>
                <c:pt idx="592">
                  <c:v>1598</c:v>
                </c:pt>
                <c:pt idx="593">
                  <c:v>1599</c:v>
                </c:pt>
              </c:strCache>
            </c:strRef>
          </c:cat>
          <c:val>
            <c:numRef>
              <c:f>Sheet6!$B$4:$B$598</c:f>
              <c:numCache>
                <c:formatCode>General</c:formatCode>
                <c:ptCount val="594"/>
                <c:pt idx="0">
                  <c:v>4554231</c:v>
                </c:pt>
                <c:pt idx="1">
                  <c:v>3835656</c:v>
                </c:pt>
                <c:pt idx="2">
                  <c:v>6750088</c:v>
                </c:pt>
                <c:pt idx="3">
                  <c:v>7562437</c:v>
                </c:pt>
                <c:pt idx="4">
                  <c:v>4353494</c:v>
                </c:pt>
                <c:pt idx="5">
                  <c:v>7592485</c:v>
                </c:pt>
                <c:pt idx="6">
                  <c:v>2734172</c:v>
                </c:pt>
                <c:pt idx="7">
                  <c:v>3165637</c:v>
                </c:pt>
                <c:pt idx="8">
                  <c:v>7377054</c:v>
                </c:pt>
                <c:pt idx="9">
                  <c:v>2312976</c:v>
                </c:pt>
                <c:pt idx="10">
                  <c:v>6243082</c:v>
                </c:pt>
                <c:pt idx="11">
                  <c:v>812191</c:v>
                </c:pt>
                <c:pt idx="12">
                  <c:v>4871482</c:v>
                </c:pt>
                <c:pt idx="13">
                  <c:v>2807556</c:v>
                </c:pt>
                <c:pt idx="14">
                  <c:v>5106653</c:v>
                </c:pt>
                <c:pt idx="15">
                  <c:v>7294491</c:v>
                </c:pt>
                <c:pt idx="16">
                  <c:v>2252838</c:v>
                </c:pt>
                <c:pt idx="17">
                  <c:v>7637633</c:v>
                </c:pt>
                <c:pt idx="18">
                  <c:v>2411900</c:v>
                </c:pt>
                <c:pt idx="19">
                  <c:v>2970996</c:v>
                </c:pt>
                <c:pt idx="20">
                  <c:v>4069038</c:v>
                </c:pt>
                <c:pt idx="21">
                  <c:v>1688286</c:v>
                </c:pt>
                <c:pt idx="22">
                  <c:v>1860363</c:v>
                </c:pt>
                <c:pt idx="23">
                  <c:v>7645111</c:v>
                </c:pt>
                <c:pt idx="24">
                  <c:v>5029599</c:v>
                </c:pt>
                <c:pt idx="25">
                  <c:v>6036135</c:v>
                </c:pt>
                <c:pt idx="26">
                  <c:v>5576793</c:v>
                </c:pt>
                <c:pt idx="27">
                  <c:v>4803481</c:v>
                </c:pt>
                <c:pt idx="28">
                  <c:v>2678692</c:v>
                </c:pt>
                <c:pt idx="29">
                  <c:v>6937283</c:v>
                </c:pt>
                <c:pt idx="30">
                  <c:v>7124112</c:v>
                </c:pt>
                <c:pt idx="31">
                  <c:v>7566024</c:v>
                </c:pt>
                <c:pt idx="32">
                  <c:v>7496851</c:v>
                </c:pt>
                <c:pt idx="33">
                  <c:v>6520361</c:v>
                </c:pt>
                <c:pt idx="34">
                  <c:v>4053862</c:v>
                </c:pt>
                <c:pt idx="35">
                  <c:v>6601656</c:v>
                </c:pt>
                <c:pt idx="36">
                  <c:v>6792284</c:v>
                </c:pt>
                <c:pt idx="37">
                  <c:v>7387553</c:v>
                </c:pt>
                <c:pt idx="38">
                  <c:v>992043</c:v>
                </c:pt>
                <c:pt idx="39">
                  <c:v>3787614</c:v>
                </c:pt>
                <c:pt idx="40">
                  <c:v>1092066</c:v>
                </c:pt>
                <c:pt idx="41">
                  <c:v>5993780</c:v>
                </c:pt>
                <c:pt idx="42">
                  <c:v>2332849</c:v>
                </c:pt>
                <c:pt idx="43">
                  <c:v>7246769</c:v>
                </c:pt>
                <c:pt idx="44">
                  <c:v>7642179</c:v>
                </c:pt>
                <c:pt idx="45">
                  <c:v>4397115</c:v>
                </c:pt>
                <c:pt idx="46">
                  <c:v>785827</c:v>
                </c:pt>
                <c:pt idx="47">
                  <c:v>7604553</c:v>
                </c:pt>
                <c:pt idx="48">
                  <c:v>4511708</c:v>
                </c:pt>
                <c:pt idx="49">
                  <c:v>7339566</c:v>
                </c:pt>
                <c:pt idx="50">
                  <c:v>5796476</c:v>
                </c:pt>
                <c:pt idx="51">
                  <c:v>2372415</c:v>
                </c:pt>
                <c:pt idx="52">
                  <c:v>6565662</c:v>
                </c:pt>
                <c:pt idx="53">
                  <c:v>4382603</c:v>
                </c:pt>
                <c:pt idx="54">
                  <c:v>6120167</c:v>
                </c:pt>
                <c:pt idx="55">
                  <c:v>7371794</c:v>
                </c:pt>
                <c:pt idx="56">
                  <c:v>3060255</c:v>
                </c:pt>
                <c:pt idx="57">
                  <c:v>5456580</c:v>
                </c:pt>
                <c:pt idx="58">
                  <c:v>6398995</c:v>
                </c:pt>
                <c:pt idx="59">
                  <c:v>6881936</c:v>
                </c:pt>
                <c:pt idx="60">
                  <c:v>6341438</c:v>
                </c:pt>
                <c:pt idx="61">
                  <c:v>3474480</c:v>
                </c:pt>
                <c:pt idx="62">
                  <c:v>7264977</c:v>
                </c:pt>
                <c:pt idx="63">
                  <c:v>5233337</c:v>
                </c:pt>
                <c:pt idx="64">
                  <c:v>6379871</c:v>
                </c:pt>
                <c:pt idx="65">
                  <c:v>7532683</c:v>
                </c:pt>
                <c:pt idx="66">
                  <c:v>7090038</c:v>
                </c:pt>
                <c:pt idx="67">
                  <c:v>3304331</c:v>
                </c:pt>
                <c:pt idx="68">
                  <c:v>5646918</c:v>
                </c:pt>
                <c:pt idx="69">
                  <c:v>7442381</c:v>
                </c:pt>
                <c:pt idx="70">
                  <c:v>3803711</c:v>
                </c:pt>
                <c:pt idx="71">
                  <c:v>6775475</c:v>
                </c:pt>
                <c:pt idx="72">
                  <c:v>221785</c:v>
                </c:pt>
                <c:pt idx="73">
                  <c:v>6141010</c:v>
                </c:pt>
                <c:pt idx="74">
                  <c:v>7103750</c:v>
                </c:pt>
                <c:pt idx="75">
                  <c:v>3252506</c:v>
                </c:pt>
                <c:pt idx="76">
                  <c:v>6502036</c:v>
                </c:pt>
                <c:pt idx="77">
                  <c:v>7558812</c:v>
                </c:pt>
                <c:pt idx="78">
                  <c:v>4440388</c:v>
                </c:pt>
                <c:pt idx="79">
                  <c:v>7221992</c:v>
                </c:pt>
                <c:pt idx="80">
                  <c:v>4844470</c:v>
                </c:pt>
                <c:pt idx="81">
                  <c:v>371931</c:v>
                </c:pt>
                <c:pt idx="82">
                  <c:v>6913709</c:v>
                </c:pt>
                <c:pt idx="83">
                  <c:v>2622433</c:v>
                </c:pt>
                <c:pt idx="84">
                  <c:v>4411565</c:v>
                </c:pt>
                <c:pt idx="85">
                  <c:v>4898236</c:v>
                </c:pt>
                <c:pt idx="86">
                  <c:v>5003649</c:v>
                </c:pt>
                <c:pt idx="87">
                  <c:v>6151419</c:v>
                </c:pt>
                <c:pt idx="88">
                  <c:v>7196653</c:v>
                </c:pt>
                <c:pt idx="89">
                  <c:v>1881750</c:v>
                </c:pt>
                <c:pt idx="90">
                  <c:v>7322980</c:v>
                </c:pt>
                <c:pt idx="91">
                  <c:v>7607303</c:v>
                </c:pt>
                <c:pt idx="92">
                  <c:v>4762314</c:v>
                </c:pt>
                <c:pt idx="93">
                  <c:v>5432177</c:v>
                </c:pt>
                <c:pt idx="94">
                  <c:v>6921586</c:v>
                </c:pt>
                <c:pt idx="95">
                  <c:v>4084204</c:v>
                </c:pt>
                <c:pt idx="96">
                  <c:v>1017205</c:v>
                </c:pt>
                <c:pt idx="97">
                  <c:v>7083140</c:v>
                </c:pt>
                <c:pt idx="98">
                  <c:v>6282717</c:v>
                </c:pt>
                <c:pt idx="99">
                  <c:v>2070058</c:v>
                </c:pt>
                <c:pt idx="100">
                  <c:v>5081015</c:v>
                </c:pt>
                <c:pt idx="101">
                  <c:v>3095558</c:v>
                </c:pt>
                <c:pt idx="102">
                  <c:v>6583684</c:v>
                </c:pt>
                <c:pt idx="103">
                  <c:v>4568262</c:v>
                </c:pt>
                <c:pt idx="104">
                  <c:v>4857979</c:v>
                </c:pt>
                <c:pt idx="105">
                  <c:v>5333320</c:v>
                </c:pt>
                <c:pt idx="106">
                  <c:v>1753178</c:v>
                </c:pt>
                <c:pt idx="107">
                  <c:v>7631994</c:v>
                </c:pt>
                <c:pt idx="108">
                  <c:v>4990631</c:v>
                </c:pt>
                <c:pt idx="109">
                  <c:v>6474260</c:v>
                </c:pt>
                <c:pt idx="110">
                  <c:v>705859</c:v>
                </c:pt>
                <c:pt idx="111">
                  <c:v>3440718</c:v>
                </c:pt>
                <c:pt idx="112">
                  <c:v>6698615</c:v>
                </c:pt>
                <c:pt idx="113">
                  <c:v>5704959</c:v>
                </c:pt>
                <c:pt idx="114">
                  <c:v>2431403</c:v>
                </c:pt>
                <c:pt idx="115">
                  <c:v>458866</c:v>
                </c:pt>
                <c:pt idx="116">
                  <c:v>2212587</c:v>
                </c:pt>
                <c:pt idx="117">
                  <c:v>4114503</c:v>
                </c:pt>
                <c:pt idx="118">
                  <c:v>7617849</c:v>
                </c:pt>
                <c:pt idx="119">
                  <c:v>1945207</c:v>
                </c:pt>
                <c:pt idx="120">
                  <c:v>7517036</c:v>
                </c:pt>
                <c:pt idx="121">
                  <c:v>4338774</c:v>
                </c:pt>
                <c:pt idx="122">
                  <c:v>7427806</c:v>
                </c:pt>
                <c:pt idx="123">
                  <c:v>4610200</c:v>
                </c:pt>
                <c:pt idx="124">
                  <c:v>3200493</c:v>
                </c:pt>
                <c:pt idx="125">
                  <c:v>3819707</c:v>
                </c:pt>
                <c:pt idx="126">
                  <c:v>2953031</c:v>
                </c:pt>
                <c:pt idx="127">
                  <c:v>542251</c:v>
                </c:pt>
                <c:pt idx="128">
                  <c:v>3042574</c:v>
                </c:pt>
                <c:pt idx="129">
                  <c:v>3992836</c:v>
                </c:pt>
                <c:pt idx="130">
                  <c:v>2697213</c:v>
                </c:pt>
                <c:pt idx="131">
                  <c:v>6689942</c:v>
                </c:pt>
                <c:pt idx="132">
                  <c:v>7627610</c:v>
                </c:pt>
                <c:pt idx="133">
                  <c:v>7620425</c:v>
                </c:pt>
                <c:pt idx="134">
                  <c:v>1578848</c:v>
                </c:pt>
                <c:pt idx="135">
                  <c:v>7048165</c:v>
                </c:pt>
                <c:pt idx="136">
                  <c:v>4425977</c:v>
                </c:pt>
                <c:pt idx="137">
                  <c:v>6975416</c:v>
                </c:pt>
                <c:pt idx="138">
                  <c:v>5144945</c:v>
                </c:pt>
                <c:pt idx="139">
                  <c:v>6929447</c:v>
                </c:pt>
                <c:pt idx="140">
                  <c:v>1774657</c:v>
                </c:pt>
                <c:pt idx="141">
                  <c:v>1067246</c:v>
                </c:pt>
                <c:pt idx="142">
                  <c:v>3574821</c:v>
                </c:pt>
                <c:pt idx="143">
                  <c:v>5358193</c:v>
                </c:pt>
                <c:pt idx="144">
                  <c:v>916136</c:v>
                </c:pt>
                <c:pt idx="145">
                  <c:v>6733027</c:v>
                </c:pt>
                <c:pt idx="146">
                  <c:v>2546823</c:v>
                </c:pt>
                <c:pt idx="147">
                  <c:v>7615242</c:v>
                </c:pt>
                <c:pt idx="148">
                  <c:v>6192524</c:v>
                </c:pt>
                <c:pt idx="149">
                  <c:v>7117351</c:v>
                </c:pt>
                <c:pt idx="150">
                  <c:v>3961982</c:v>
                </c:pt>
                <c:pt idx="151">
                  <c:v>32724</c:v>
                </c:pt>
                <c:pt idx="152">
                  <c:v>7170763</c:v>
                </c:pt>
                <c:pt idx="153">
                  <c:v>2049367</c:v>
                </c:pt>
                <c:pt idx="154">
                  <c:v>4977586</c:v>
                </c:pt>
                <c:pt idx="155">
                  <c:v>7345040</c:v>
                </c:pt>
                <c:pt idx="156">
                  <c:v>1534318</c:v>
                </c:pt>
                <c:pt idx="157">
                  <c:v>282606</c:v>
                </c:pt>
                <c:pt idx="158">
                  <c:v>732612</c:v>
                </c:pt>
                <c:pt idx="159">
                  <c:v>4190002</c:v>
                </c:pt>
                <c:pt idx="160">
                  <c:v>1307655</c:v>
                </c:pt>
                <c:pt idx="161">
                  <c:v>5068189</c:v>
                </c:pt>
                <c:pt idx="162">
                  <c:v>1838945</c:v>
                </c:pt>
                <c:pt idx="163">
                  <c:v>6322095</c:v>
                </c:pt>
                <c:pt idx="164">
                  <c:v>4497478</c:v>
                </c:pt>
                <c:pt idx="165">
                  <c:v>3024766</c:v>
                </c:pt>
                <c:pt idx="166">
                  <c:v>7437530</c:v>
                </c:pt>
                <c:pt idx="167">
                  <c:v>4789777</c:v>
                </c:pt>
                <c:pt idx="168">
                  <c:v>7644154</c:v>
                </c:pt>
                <c:pt idx="169">
                  <c:v>3657464</c:v>
                </c:pt>
                <c:pt idx="170">
                  <c:v>2450817</c:v>
                </c:pt>
                <c:pt idx="171">
                  <c:v>6272849</c:v>
                </c:pt>
                <c:pt idx="172">
                  <c:v>7177264</c:v>
                </c:pt>
                <c:pt idx="173">
                  <c:v>7019484</c:v>
                </c:pt>
                <c:pt idx="174">
                  <c:v>7157662</c:v>
                </c:pt>
                <c:pt idx="175">
                  <c:v>4638028</c:v>
                </c:pt>
                <c:pt idx="176">
                  <c:v>5940258</c:v>
                </c:pt>
                <c:pt idx="177">
                  <c:v>7215764</c:v>
                </c:pt>
                <c:pt idx="178">
                  <c:v>7645804</c:v>
                </c:pt>
                <c:pt idx="179">
                  <c:v>4023429</c:v>
                </c:pt>
                <c:pt idx="180">
                  <c:v>252329</c:v>
                </c:pt>
                <c:pt idx="181">
                  <c:v>6360703</c:v>
                </c:pt>
                <c:pt idx="182">
                  <c:v>7528796</c:v>
                </c:pt>
                <c:pt idx="183">
                  <c:v>7408069</c:v>
                </c:pt>
                <c:pt idx="184">
                  <c:v>7397994</c:v>
                </c:pt>
                <c:pt idx="185">
                  <c:v>678901</c:v>
                </c:pt>
                <c:pt idx="186">
                  <c:v>7470359</c:v>
                </c:pt>
                <c:pt idx="187">
                  <c:v>941519</c:v>
                </c:pt>
                <c:pt idx="188">
                  <c:v>6046676</c:v>
                </c:pt>
                <c:pt idx="189">
                  <c:v>1644801</c:v>
                </c:pt>
                <c:pt idx="190">
                  <c:v>7595594</c:v>
                </c:pt>
                <c:pt idx="191">
                  <c:v>4129638</c:v>
                </c:pt>
                <c:pt idx="192">
                  <c:v>6663780</c:v>
                </c:pt>
                <c:pt idx="193">
                  <c:v>838498</c:v>
                </c:pt>
                <c:pt idx="194">
                  <c:v>2752594</c:v>
                </c:pt>
                <c:pt idx="195">
                  <c:v>7586163</c:v>
                </c:pt>
                <c:pt idx="196">
                  <c:v>7004932</c:v>
                </c:pt>
                <c:pt idx="197">
                  <c:v>1353570</c:v>
                </c:pt>
                <c:pt idx="198">
                  <c:v>3641001</c:v>
                </c:pt>
                <c:pt idx="199">
                  <c:v>2715710</c:v>
                </c:pt>
                <c:pt idx="200">
                  <c:v>4938093</c:v>
                </c:pt>
                <c:pt idx="201">
                  <c:v>7190210</c:v>
                </c:pt>
                <c:pt idx="202">
                  <c:v>7447115</c:v>
                </c:pt>
                <c:pt idx="203">
                  <c:v>5830205</c:v>
                </c:pt>
                <c:pt idx="204">
                  <c:v>7026732</c:v>
                </c:pt>
                <c:pt idx="205">
                  <c:v>6025572</c:v>
                </c:pt>
                <c:pt idx="206">
                  <c:v>6715890</c:v>
                </c:pt>
                <c:pt idx="207">
                  <c:v>6849867</c:v>
                </c:pt>
                <c:pt idx="208">
                  <c:v>7640799</c:v>
                </c:pt>
                <c:pt idx="209">
                  <c:v>2660043</c:v>
                </c:pt>
                <c:pt idx="210">
                  <c:v>2880505</c:v>
                </c:pt>
                <c:pt idx="211">
                  <c:v>6655006</c:v>
                </c:pt>
                <c:pt idx="212">
                  <c:v>1141450</c:v>
                </c:pt>
                <c:pt idx="213">
                  <c:v>3755354</c:v>
                </c:pt>
                <c:pt idx="214">
                  <c:v>2352643</c:v>
                </c:pt>
                <c:pt idx="215">
                  <c:v>7625267</c:v>
                </c:pt>
                <c:pt idx="216">
                  <c:v>1237251</c:v>
                </c:pt>
                <c:pt idx="217">
                  <c:v>7355835</c:v>
                </c:pt>
                <c:pt idx="218">
                  <c:v>5972470</c:v>
                </c:pt>
                <c:pt idx="219">
                  <c:v>159474</c:v>
                </c:pt>
                <c:pt idx="220">
                  <c:v>5670183</c:v>
                </c:pt>
                <c:pt idx="221">
                  <c:v>5611938</c:v>
                </c:pt>
                <c:pt idx="222">
                  <c:v>1189840</c:v>
                </c:pt>
                <c:pt idx="223">
                  <c:v>2489495</c:v>
                </c:pt>
                <c:pt idx="224">
                  <c:v>5819006</c:v>
                </c:pt>
                <c:pt idx="225">
                  <c:v>3722883</c:v>
                </c:pt>
                <c:pt idx="226">
                  <c:v>6212860</c:v>
                </c:pt>
                <c:pt idx="227">
                  <c:v>2470175</c:v>
                </c:pt>
                <c:pt idx="228">
                  <c:v>7076230</c:v>
                </c:pt>
                <c:pt idx="229">
                  <c:v>430079</c:v>
                </c:pt>
                <c:pt idx="230">
                  <c:v>6172019</c:v>
                </c:pt>
                <c:pt idx="231">
                  <c:v>6312271</c:v>
                </c:pt>
                <c:pt idx="232">
                  <c:v>6833536</c:v>
                </c:pt>
                <c:pt idx="233">
                  <c:v>6389435</c:v>
                </c:pt>
                <c:pt idx="234">
                  <c:v>7417994</c:v>
                </c:pt>
                <c:pt idx="235">
                  <c:v>4159896</c:v>
                </c:pt>
                <c:pt idx="236">
                  <c:v>7536513</c:v>
                </c:pt>
                <c:pt idx="237">
                  <c:v>6492813</c:v>
                </c:pt>
                <c:pt idx="238">
                  <c:v>1330725</c:v>
                </c:pt>
                <c:pt idx="239">
                  <c:v>4309215</c:v>
                </c:pt>
                <c:pt idx="240">
                  <c:v>5681802</c:v>
                </c:pt>
                <c:pt idx="241">
                  <c:v>7361193</c:v>
                </c:pt>
                <c:pt idx="242">
                  <c:v>6592682</c:v>
                </c:pt>
                <c:pt idx="243">
                  <c:v>5762430</c:v>
                </c:pt>
                <c:pt idx="244">
                  <c:v>7432676</c:v>
                </c:pt>
                <c:pt idx="245">
                  <c:v>7474917</c:v>
                </c:pt>
                <c:pt idx="246">
                  <c:v>5517261</c:v>
                </c:pt>
                <c:pt idx="247">
                  <c:v>2825842</c:v>
                </c:pt>
                <c:pt idx="248">
                  <c:v>7622871</c:v>
                </c:pt>
                <c:pt idx="249">
                  <c:v>1987077</c:v>
                </c:pt>
                <c:pt idx="250">
                  <c:v>2192435</c:v>
                </c:pt>
                <c:pt idx="251">
                  <c:v>7639217</c:v>
                </c:pt>
                <c:pt idx="252">
                  <c:v>5896802</c:v>
                </c:pt>
                <c:pt idx="253">
                  <c:v>7382312</c:v>
                </c:pt>
                <c:pt idx="254">
                  <c:v>6547593</c:v>
                </c:pt>
                <c:pt idx="255">
                  <c:v>5468746</c:v>
                </c:pt>
                <c:pt idx="256">
                  <c:v>1622839</c:v>
                </c:pt>
                <c:pt idx="257">
                  <c:v>1166050</c:v>
                </c:pt>
                <c:pt idx="258">
                  <c:v>5623636</c:v>
                </c:pt>
                <c:pt idx="259">
                  <c:v>5407650</c:v>
                </c:pt>
                <c:pt idx="260">
                  <c:v>5395318</c:v>
                </c:pt>
                <c:pt idx="261">
                  <c:v>5773790</c:v>
                </c:pt>
                <c:pt idx="262">
                  <c:v>5055347</c:v>
                </c:pt>
                <c:pt idx="263">
                  <c:v>7555145</c:v>
                </c:pt>
                <c:pt idx="264">
                  <c:v>514730</c:v>
                </c:pt>
                <c:pt idx="265">
                  <c:v>7306034</c:v>
                </c:pt>
                <c:pt idx="266">
                  <c:v>6681250</c:v>
                </c:pt>
                <c:pt idx="267">
                  <c:v>6825361</c:v>
                </c:pt>
                <c:pt idx="268">
                  <c:v>7579783</c:v>
                </c:pt>
                <c:pt idx="269">
                  <c:v>1260863</c:v>
                </c:pt>
                <c:pt idx="270">
                  <c:v>4884864</c:v>
                </c:pt>
                <c:pt idx="271">
                  <c:v>7270993</c:v>
                </c:pt>
                <c:pt idx="272">
                  <c:v>5751055</c:v>
                </c:pt>
                <c:pt idx="273">
                  <c:v>1284418</c:v>
                </c:pt>
                <c:pt idx="274">
                  <c:v>6464957</c:v>
                </c:pt>
                <c:pt idx="275">
                  <c:v>6511204</c:v>
                </c:pt>
                <c:pt idx="276">
                  <c:v>4748564</c:v>
                </c:pt>
                <c:pt idx="277">
                  <c:v>4099362</c:v>
                </c:pt>
                <c:pt idx="278">
                  <c:v>7276978</c:v>
                </c:pt>
                <c:pt idx="279">
                  <c:v>3706615</c:v>
                </c:pt>
                <c:pt idx="280">
                  <c:v>5444411</c:v>
                </c:pt>
                <c:pt idx="281">
                  <c:v>1489503</c:v>
                </c:pt>
                <c:pt idx="282">
                  <c:v>3457607</c:v>
                </c:pt>
                <c:pt idx="283">
                  <c:v>5529269</c:v>
                </c:pt>
                <c:pt idx="284">
                  <c:v>342343</c:v>
                </c:pt>
                <c:pt idx="285">
                  <c:v>2007858</c:v>
                </c:pt>
                <c:pt idx="286">
                  <c:v>6529454</c:v>
                </c:pt>
                <c:pt idx="287">
                  <c:v>6455588</c:v>
                </c:pt>
                <c:pt idx="288">
                  <c:v>7164220</c:v>
                </c:pt>
                <c:pt idx="289">
                  <c:v>5195597</c:v>
                </c:pt>
                <c:pt idx="290">
                  <c:v>4582261</c:v>
                </c:pt>
                <c:pt idx="291">
                  <c:v>6067722</c:v>
                </c:pt>
                <c:pt idx="292">
                  <c:v>3389883</c:v>
                </c:pt>
                <c:pt idx="293">
                  <c:v>7403067</c:v>
                </c:pt>
                <c:pt idx="294">
                  <c:v>6370298</c:v>
                </c:pt>
                <c:pt idx="295">
                  <c:v>7012212</c:v>
                </c:pt>
                <c:pt idx="296">
                  <c:v>2508729</c:v>
                </c:pt>
                <c:pt idx="297">
                  <c:v>190971</c:v>
                </c:pt>
                <c:pt idx="298">
                  <c:v>1213592</c:v>
                </c:pt>
                <c:pt idx="299">
                  <c:v>5635277</c:v>
                </c:pt>
                <c:pt idx="300">
                  <c:v>2111051</c:v>
                </c:pt>
                <c:pt idx="301">
                  <c:v>4174972</c:v>
                </c:pt>
                <c:pt idx="302">
                  <c:v>7300269</c:v>
                </c:pt>
                <c:pt idx="303">
                  <c:v>6952727</c:v>
                </c:pt>
                <c:pt idx="304">
                  <c:v>6202717</c:v>
                </c:pt>
                <c:pt idx="305">
                  <c:v>7576460</c:v>
                </c:pt>
                <c:pt idx="306">
                  <c:v>5874725</c:v>
                </c:pt>
                <c:pt idx="307">
                  <c:v>6538541</c:v>
                </c:pt>
                <c:pt idx="308">
                  <c:v>2131478</c:v>
                </c:pt>
                <c:pt idx="309">
                  <c:v>3113131</c:v>
                </c:pt>
                <c:pt idx="310">
                  <c:v>7451828</c:v>
                </c:pt>
                <c:pt idx="311">
                  <c:v>6161735</c:v>
                </c:pt>
                <c:pt idx="312">
                  <c:v>7646666</c:v>
                </c:pt>
                <c:pt idx="313">
                  <c:v>624479</c:v>
                </c:pt>
                <c:pt idx="314">
                  <c:v>7634052</c:v>
                </c:pt>
                <c:pt idx="315">
                  <c:v>2527801</c:v>
                </c:pt>
                <c:pt idx="316">
                  <c:v>5157644</c:v>
                </c:pt>
                <c:pt idx="317">
                  <c:v>7461195</c:v>
                </c:pt>
                <c:pt idx="318">
                  <c:v>3130692</c:v>
                </c:pt>
                <c:pt idx="319">
                  <c:v>5807784</c:v>
                </c:pt>
                <c:pt idx="320">
                  <c:v>6078236</c:v>
                </c:pt>
                <c:pt idx="321">
                  <c:v>4924848</c:v>
                </c:pt>
                <c:pt idx="322">
                  <c:v>5658553</c:v>
                </c:pt>
                <c:pt idx="323">
                  <c:v>6427404</c:v>
                </c:pt>
                <c:pt idx="324">
                  <c:v>4693424</c:v>
                </c:pt>
                <c:pt idx="325">
                  <c:v>4454694</c:v>
                </c:pt>
                <c:pt idx="326">
                  <c:v>6015002</c:v>
                </c:pt>
                <c:pt idx="327">
                  <c:v>7240600</c:v>
                </c:pt>
                <c:pt idx="328">
                  <c:v>7598640</c:v>
                </c:pt>
                <c:pt idx="329">
                  <c:v>4525923</c:v>
                </c:pt>
                <c:pt idx="330">
                  <c:v>3355793</c:v>
                </c:pt>
                <c:pt idx="331">
                  <c:v>4483232</c:v>
                </c:pt>
                <c:pt idx="332">
                  <c:v>3508075</c:v>
                </c:pt>
                <c:pt idx="333">
                  <c:v>2232717</c:v>
                </c:pt>
                <c:pt idx="334">
                  <c:v>7392789</c:v>
                </c:pt>
                <c:pt idx="335">
                  <c:v>6417965</c:v>
                </c:pt>
                <c:pt idx="336">
                  <c:v>6619572</c:v>
                </c:pt>
                <c:pt idx="337">
                  <c:v>127870</c:v>
                </c:pt>
                <c:pt idx="338">
                  <c:v>5295901</c:v>
                </c:pt>
                <c:pt idx="339">
                  <c:v>312563</c:v>
                </c:pt>
                <c:pt idx="340">
                  <c:v>6408498</c:v>
                </c:pt>
                <c:pt idx="341">
                  <c:v>3771515</c:v>
                </c:pt>
                <c:pt idx="342">
                  <c:v>7573052</c:v>
                </c:pt>
                <c:pt idx="343">
                  <c:v>4324025</c:v>
                </c:pt>
                <c:pt idx="344">
                  <c:v>966843</c:v>
                </c:pt>
                <c:pt idx="345">
                  <c:v>4665765</c:v>
                </c:pt>
                <c:pt idx="346">
                  <c:v>7288700</c:v>
                </c:pt>
                <c:pt idx="347">
                  <c:v>7612633</c:v>
                </c:pt>
                <c:pt idx="348">
                  <c:v>5208224</c:v>
                </c:pt>
                <c:pt idx="349">
                  <c:v>3591449</c:v>
                </c:pt>
                <c:pt idx="350">
                  <c:v>7547796</c:v>
                </c:pt>
                <c:pt idx="351">
                  <c:v>4294404</c:v>
                </c:pt>
                <c:pt idx="352">
                  <c:v>7228218</c:v>
                </c:pt>
                <c:pt idx="353">
                  <c:v>5588513</c:v>
                </c:pt>
                <c:pt idx="354">
                  <c:v>4234903</c:v>
                </c:pt>
                <c:pt idx="355">
                  <c:v>4279582</c:v>
                </c:pt>
                <c:pt idx="356">
                  <c:v>4264724</c:v>
                </c:pt>
                <c:pt idx="357">
                  <c:v>7144286</c:v>
                </c:pt>
                <c:pt idx="358">
                  <c:v>1466970</c:v>
                </c:pt>
                <c:pt idx="359">
                  <c:v>2151869</c:v>
                </c:pt>
                <c:pt idx="360">
                  <c:v>1902990</c:v>
                </c:pt>
                <c:pt idx="361">
                  <c:v>6262979</c:v>
                </c:pt>
                <c:pt idx="362">
                  <c:v>6628458</c:v>
                </c:pt>
                <c:pt idx="363">
                  <c:v>7635996</c:v>
                </c:pt>
                <c:pt idx="364">
                  <c:v>6302425</c:v>
                </c:pt>
                <c:pt idx="365">
                  <c:v>6556639</c:v>
                </c:pt>
                <c:pt idx="366">
                  <c:v>4951309</c:v>
                </c:pt>
                <c:pt idx="367">
                  <c:v>6483546</c:v>
                </c:pt>
                <c:pt idx="368">
                  <c:v>5929441</c:v>
                </c:pt>
                <c:pt idx="369">
                  <c:v>1511916</c:v>
                </c:pt>
                <c:pt idx="370">
                  <c:v>3338671</c:v>
                </c:pt>
                <c:pt idx="371">
                  <c:v>1600861</c:v>
                </c:pt>
                <c:pt idx="372">
                  <c:v>3977481</c:v>
                </c:pt>
                <c:pt idx="373">
                  <c:v>1924165</c:v>
                </c:pt>
                <c:pt idx="374">
                  <c:v>5841355</c:v>
                </c:pt>
                <c:pt idx="375">
                  <c:v>1709948</c:v>
                </c:pt>
                <c:pt idx="376">
                  <c:v>1556714</c:v>
                </c:pt>
                <c:pt idx="377">
                  <c:v>5907740</c:v>
                </c:pt>
                <c:pt idx="378">
                  <c:v>6982827</c:v>
                </c:pt>
                <c:pt idx="379">
                  <c:v>7096915</c:v>
                </c:pt>
                <c:pt idx="380">
                  <c:v>4368056</c:v>
                </c:pt>
                <c:pt idx="381">
                  <c:v>2392176</c:v>
                </c:pt>
                <c:pt idx="382">
                  <c:v>3321531</c:v>
                </c:pt>
                <c:pt idx="383">
                  <c:v>7282845</c:v>
                </c:pt>
                <c:pt idx="384">
                  <c:v>7492599</c:v>
                </c:pt>
                <c:pt idx="385">
                  <c:v>5600228</c:v>
                </c:pt>
                <c:pt idx="386">
                  <c:v>3624506</c:v>
                </c:pt>
                <c:pt idx="387">
                  <c:v>3541515</c:v>
                </c:pt>
                <c:pt idx="388">
                  <c:v>5553186</c:v>
                </c:pt>
                <c:pt idx="389">
                  <c:v>6905828</c:v>
                </c:pt>
                <c:pt idx="390">
                  <c:v>5565068</c:v>
                </c:pt>
                <c:pt idx="391">
                  <c:v>6783906</c:v>
                </c:pt>
                <c:pt idx="392">
                  <c:v>3287069</c:v>
                </c:pt>
                <c:pt idx="393">
                  <c:v>6004415</c:v>
                </c:pt>
                <c:pt idx="394">
                  <c:v>1444399</c:v>
                </c:pt>
                <c:pt idx="395">
                  <c:v>4721025</c:v>
                </c:pt>
                <c:pt idx="396">
                  <c:v>569743</c:v>
                </c:pt>
                <c:pt idx="397">
                  <c:v>7041051</c:v>
                </c:pt>
                <c:pt idx="398">
                  <c:v>6945020</c:v>
                </c:pt>
                <c:pt idx="399">
                  <c:v>5693381</c:v>
                </c:pt>
                <c:pt idx="400">
                  <c:v>2898714</c:v>
                </c:pt>
                <c:pt idx="401">
                  <c:v>4624123</c:v>
                </c:pt>
                <c:pt idx="402">
                  <c:v>2272903</c:v>
                </c:pt>
                <c:pt idx="403">
                  <c:v>5016646</c:v>
                </c:pt>
                <c:pt idx="404">
                  <c:v>7413055</c:v>
                </c:pt>
                <c:pt idx="405">
                  <c:v>5961777</c:v>
                </c:pt>
                <c:pt idx="406">
                  <c:v>7350468</c:v>
                </c:pt>
                <c:pt idx="407">
                  <c:v>7137584</c:v>
                </c:pt>
                <c:pt idx="408">
                  <c:v>7629892</c:v>
                </c:pt>
                <c:pt idx="409">
                  <c:v>3077925</c:v>
                </c:pt>
                <c:pt idx="410">
                  <c:v>4734804</c:v>
                </c:pt>
                <c:pt idx="411">
                  <c:v>5382965</c:v>
                </c:pt>
                <c:pt idx="412">
                  <c:v>6057202</c:v>
                </c:pt>
                <c:pt idx="413">
                  <c:v>6724484</c:v>
                </c:pt>
                <c:pt idx="414">
                  <c:v>5419921</c:v>
                </c:pt>
                <c:pt idx="415">
                  <c:v>1817518</c:v>
                </c:pt>
                <c:pt idx="416">
                  <c:v>7328553</c:v>
                </c:pt>
                <c:pt idx="417">
                  <c:v>3148176</c:v>
                </c:pt>
                <c:pt idx="418">
                  <c:v>7456523</c:v>
                </c:pt>
                <c:pt idx="419">
                  <c:v>4144773</c:v>
                </c:pt>
                <c:pt idx="420">
                  <c:v>5182964</c:v>
                </c:pt>
                <c:pt idx="421">
                  <c:v>4776053</c:v>
                </c:pt>
                <c:pt idx="422">
                  <c:v>2565747</c:v>
                </c:pt>
                <c:pt idx="423">
                  <c:v>5493039</c:v>
                </c:pt>
                <c:pt idx="424">
                  <c:v>5951031</c:v>
                </c:pt>
                <c:pt idx="425">
                  <c:v>7110577</c:v>
                </c:pt>
                <c:pt idx="426">
                  <c:v>6857936</c:v>
                </c:pt>
                <c:pt idx="427">
                  <c:v>1796089</c:v>
                </c:pt>
                <c:pt idx="428">
                  <c:v>6960363</c:v>
                </c:pt>
                <c:pt idx="429">
                  <c:v>64553</c:v>
                </c:pt>
                <c:pt idx="430">
                  <c:v>1666554</c:v>
                </c:pt>
                <c:pt idx="431">
                  <c:v>4249824</c:v>
                </c:pt>
                <c:pt idx="432">
                  <c:v>6990218</c:v>
                </c:pt>
                <c:pt idx="433">
                  <c:v>7252894</c:v>
                </c:pt>
                <c:pt idx="434">
                  <c:v>5345760</c:v>
                </c:pt>
                <c:pt idx="435">
                  <c:v>1376378</c:v>
                </c:pt>
                <c:pt idx="436">
                  <c:v>3914968</c:v>
                </c:pt>
                <c:pt idx="437">
                  <c:v>3930732</c:v>
                </c:pt>
                <c:pt idx="438">
                  <c:v>7483914</c:v>
                </c:pt>
                <c:pt idx="439">
                  <c:v>4679608</c:v>
                </c:pt>
                <c:pt idx="440">
                  <c:v>6610620</c:v>
                </c:pt>
                <c:pt idx="441">
                  <c:v>5785136</c:v>
                </c:pt>
                <c:pt idx="442">
                  <c:v>6223003</c:v>
                </c:pt>
                <c:pt idx="443">
                  <c:v>3217842</c:v>
                </c:pt>
                <c:pt idx="444">
                  <c:v>2641261</c:v>
                </c:pt>
                <c:pt idx="445">
                  <c:v>6637343</c:v>
                </c:pt>
                <c:pt idx="446">
                  <c:v>7055255</c:v>
                </c:pt>
                <c:pt idx="447">
                  <c:v>6233088</c:v>
                </c:pt>
                <c:pt idx="448">
                  <c:v>6130592</c:v>
                </c:pt>
                <c:pt idx="449">
                  <c:v>1399085</c:v>
                </c:pt>
                <c:pt idx="450">
                  <c:v>3372906</c:v>
                </c:pt>
                <c:pt idx="451">
                  <c:v>5983127</c:v>
                </c:pt>
                <c:pt idx="452">
                  <c:v>7465785</c:v>
                </c:pt>
                <c:pt idx="453">
                  <c:v>2916890</c:v>
                </c:pt>
                <c:pt idx="454">
                  <c:v>3851584</c:v>
                </c:pt>
                <c:pt idx="455">
                  <c:v>6351072</c:v>
                </c:pt>
                <c:pt idx="456">
                  <c:v>6646219</c:v>
                </c:pt>
                <c:pt idx="457">
                  <c:v>4651902</c:v>
                </c:pt>
                <c:pt idx="458">
                  <c:v>7643178</c:v>
                </c:pt>
                <c:pt idx="459">
                  <c:v>7589338</c:v>
                </c:pt>
                <c:pt idx="460">
                  <c:v>1966247</c:v>
                </c:pt>
                <c:pt idx="461">
                  <c:v>4038652</c:v>
                </c:pt>
                <c:pt idx="462">
                  <c:v>7569552</c:v>
                </c:pt>
                <c:pt idx="463">
                  <c:v>4219975</c:v>
                </c:pt>
                <c:pt idx="464">
                  <c:v>6707259</c:v>
                </c:pt>
                <c:pt idx="465">
                  <c:v>3946431</c:v>
                </c:pt>
                <c:pt idx="466">
                  <c:v>7033898</c:v>
                </c:pt>
                <c:pt idx="467">
                  <c:v>3673880</c:v>
                </c:pt>
                <c:pt idx="468">
                  <c:v>2028639</c:v>
                </c:pt>
                <c:pt idx="469">
                  <c:v>5728083</c:v>
                </c:pt>
                <c:pt idx="470">
                  <c:v>96245</c:v>
                </c:pt>
                <c:pt idx="471">
                  <c:v>1731597</c:v>
                </c:pt>
                <c:pt idx="472">
                  <c:v>7601634</c:v>
                </c:pt>
                <c:pt idx="473">
                  <c:v>7505022</c:v>
                </c:pt>
                <c:pt idx="474">
                  <c:v>7509034</c:v>
                </c:pt>
                <c:pt idx="475">
                  <c:v>6897872</c:v>
                </c:pt>
                <c:pt idx="476">
                  <c:v>6808928</c:v>
                </c:pt>
                <c:pt idx="477">
                  <c:v>2988949</c:v>
                </c:pt>
                <c:pt idx="478">
                  <c:v>7234414</c:v>
                </c:pt>
                <c:pt idx="479">
                  <c:v>3558169</c:v>
                </c:pt>
                <c:pt idx="480">
                  <c:v>5885782</c:v>
                </c:pt>
                <c:pt idx="481">
                  <c:v>7520978</c:v>
                </c:pt>
                <c:pt idx="482">
                  <c:v>5170323</c:v>
                </c:pt>
                <c:pt idx="483">
                  <c:v>5480901</c:v>
                </c:pt>
                <c:pt idx="484">
                  <c:v>4707228</c:v>
                </c:pt>
                <c:pt idx="485">
                  <c:v>6253047</c:v>
                </c:pt>
                <c:pt idx="486">
                  <c:v>5308393</c:v>
                </c:pt>
                <c:pt idx="487">
                  <c:v>5220802</c:v>
                </c:pt>
                <c:pt idx="488">
                  <c:v>759250</c:v>
                </c:pt>
                <c:pt idx="489">
                  <c:v>5505177</c:v>
                </c:pt>
                <c:pt idx="490">
                  <c:v>7551474</c:v>
                </c:pt>
                <c:pt idx="491">
                  <c:v>1042310</c:v>
                </c:pt>
                <c:pt idx="492">
                  <c:v>7524905</c:v>
                </c:pt>
                <c:pt idx="493">
                  <c:v>4817161</c:v>
                </c:pt>
                <c:pt idx="494">
                  <c:v>890518</c:v>
                </c:pt>
                <c:pt idx="495">
                  <c:v>2862285</c:v>
                </c:pt>
                <c:pt idx="496">
                  <c:v>6109716</c:v>
                </c:pt>
                <c:pt idx="497">
                  <c:v>4830836</c:v>
                </c:pt>
                <c:pt idx="498">
                  <c:v>5320864</c:v>
                </c:pt>
                <c:pt idx="499">
                  <c:v>4596256</c:v>
                </c:pt>
                <c:pt idx="500">
                  <c:v>2292940</c:v>
                </c:pt>
                <c:pt idx="501">
                  <c:v>7311778</c:v>
                </c:pt>
                <c:pt idx="502">
                  <c:v>5132239</c:v>
                </c:pt>
                <c:pt idx="503">
                  <c:v>6767038</c:v>
                </c:pt>
                <c:pt idx="504">
                  <c:v>7258948</c:v>
                </c:pt>
                <c:pt idx="505">
                  <c:v>3883359</c:v>
                </c:pt>
                <c:pt idx="506">
                  <c:v>7513037</c:v>
                </c:pt>
                <c:pt idx="507">
                  <c:v>7130855</c:v>
                </c:pt>
                <c:pt idx="508">
                  <c:v>6292577</c:v>
                </c:pt>
                <c:pt idx="509">
                  <c:v>3524855</c:v>
                </c:pt>
                <c:pt idx="510">
                  <c:v>2603552</c:v>
                </c:pt>
                <c:pt idx="511">
                  <c:v>651722</c:v>
                </c:pt>
                <c:pt idx="512">
                  <c:v>5852502</c:v>
                </c:pt>
                <c:pt idx="513">
                  <c:v>5370601</c:v>
                </c:pt>
                <c:pt idx="514">
                  <c:v>3269796</c:v>
                </c:pt>
                <c:pt idx="515">
                  <c:v>2789261</c:v>
                </c:pt>
                <c:pt idx="516">
                  <c:v>6841710</c:v>
                </c:pt>
                <c:pt idx="517">
                  <c:v>6574676</c:v>
                </c:pt>
                <c:pt idx="518">
                  <c:v>1116792</c:v>
                </c:pt>
                <c:pt idx="519">
                  <c:v>5541276</c:v>
                </c:pt>
                <c:pt idx="520">
                  <c:v>401259</c:v>
                </c:pt>
                <c:pt idx="521">
                  <c:v>7366504</c:v>
                </c:pt>
                <c:pt idx="522">
                  <c:v>7422915</c:v>
                </c:pt>
                <c:pt idx="523">
                  <c:v>5119450</c:v>
                </c:pt>
                <c:pt idx="524">
                  <c:v>7479457</c:v>
                </c:pt>
                <c:pt idx="525">
                  <c:v>7544103</c:v>
                </c:pt>
                <c:pt idx="526">
                  <c:v>4468976</c:v>
                </c:pt>
                <c:pt idx="527">
                  <c:v>4205025</c:v>
                </c:pt>
                <c:pt idx="528">
                  <c:v>7334076</c:v>
                </c:pt>
                <c:pt idx="529">
                  <c:v>7203093</c:v>
                </c:pt>
                <c:pt idx="530">
                  <c:v>6889907</c:v>
                </c:pt>
                <c:pt idx="531">
                  <c:v>864667</c:v>
                </c:pt>
                <c:pt idx="532">
                  <c:v>5270888</c:v>
                </c:pt>
                <c:pt idx="533">
                  <c:v>6997596</c:v>
                </c:pt>
                <c:pt idx="534">
                  <c:v>7183737</c:v>
                </c:pt>
                <c:pt idx="535">
                  <c:v>7610013</c:v>
                </c:pt>
                <c:pt idx="536">
                  <c:v>4964509</c:v>
                </c:pt>
                <c:pt idx="537">
                  <c:v>7582973</c:v>
                </c:pt>
                <c:pt idx="538">
                  <c:v>6182284</c:v>
                </c:pt>
                <c:pt idx="539">
                  <c:v>7646891</c:v>
                </c:pt>
                <c:pt idx="540">
                  <c:v>3423782</c:v>
                </c:pt>
                <c:pt idx="541">
                  <c:v>3183065</c:v>
                </c:pt>
                <c:pt idx="542">
                  <c:v>2844065</c:v>
                </c:pt>
                <c:pt idx="543">
                  <c:v>6758582</c:v>
                </c:pt>
                <c:pt idx="544">
                  <c:v>3006887</c:v>
                </c:pt>
                <c:pt idx="545">
                  <c:v>2090607</c:v>
                </c:pt>
                <c:pt idx="546">
                  <c:v>6865948</c:v>
                </c:pt>
                <c:pt idx="547">
                  <c:v>5245863</c:v>
                </c:pt>
                <c:pt idx="548">
                  <c:v>487020</c:v>
                </c:pt>
                <c:pt idx="549">
                  <c:v>7540324</c:v>
                </c:pt>
                <c:pt idx="550">
                  <c:v>5716531</c:v>
                </c:pt>
                <c:pt idx="551">
                  <c:v>3867476</c:v>
                </c:pt>
                <c:pt idx="552">
                  <c:v>3607984</c:v>
                </c:pt>
                <c:pt idx="553">
                  <c:v>2935000</c:v>
                </c:pt>
                <c:pt idx="554">
                  <c:v>7069299</c:v>
                </c:pt>
                <c:pt idx="555">
                  <c:v>597137</c:v>
                </c:pt>
                <c:pt idx="556">
                  <c:v>5258376</c:v>
                </c:pt>
                <c:pt idx="557">
                  <c:v>2770960</c:v>
                </c:pt>
                <c:pt idx="558">
                  <c:v>3235184</c:v>
                </c:pt>
                <c:pt idx="559">
                  <c:v>6873949</c:v>
                </c:pt>
                <c:pt idx="560">
                  <c:v>1421770</c:v>
                </c:pt>
                <c:pt idx="561">
                  <c:v>6088742</c:v>
                </c:pt>
                <c:pt idx="562">
                  <c:v>6800654</c:v>
                </c:pt>
                <c:pt idx="563">
                  <c:v>6446208</c:v>
                </c:pt>
                <c:pt idx="564">
                  <c:v>6817162</c:v>
                </c:pt>
                <c:pt idx="565">
                  <c:v>4008190</c:v>
                </c:pt>
                <c:pt idx="566">
                  <c:v>3690279</c:v>
                </c:pt>
                <c:pt idx="567">
                  <c:v>2584654</c:v>
                </c:pt>
                <c:pt idx="568">
                  <c:v>2172256</c:v>
                </c:pt>
                <c:pt idx="569">
                  <c:v>3491286</c:v>
                </c:pt>
                <c:pt idx="570">
                  <c:v>6967993</c:v>
                </c:pt>
                <c:pt idx="571">
                  <c:v>6099236</c:v>
                </c:pt>
                <c:pt idx="572">
                  <c:v>5042485</c:v>
                </c:pt>
                <c:pt idx="573">
                  <c:v>4911585</c:v>
                </c:pt>
                <c:pt idx="574">
                  <c:v>5739621</c:v>
                </c:pt>
                <c:pt idx="575">
                  <c:v>5093838</c:v>
                </c:pt>
                <c:pt idx="576">
                  <c:v>5918604</c:v>
                </c:pt>
                <c:pt idx="577">
                  <c:v>7500987</c:v>
                </c:pt>
                <c:pt idx="578">
                  <c:v>3406833</c:v>
                </c:pt>
                <c:pt idx="579">
                  <c:v>5863626</c:v>
                </c:pt>
                <c:pt idx="580">
                  <c:v>6436812</c:v>
                </c:pt>
                <c:pt idx="581">
                  <c:v>6331768</c:v>
                </c:pt>
                <c:pt idx="582">
                  <c:v>4540124</c:v>
                </c:pt>
                <c:pt idx="583">
                  <c:v>7062304</c:v>
                </c:pt>
                <c:pt idx="584">
                  <c:v>6672535</c:v>
                </c:pt>
                <c:pt idx="585">
                  <c:v>7317406</c:v>
                </c:pt>
                <c:pt idx="586">
                  <c:v>7150981</c:v>
                </c:pt>
                <c:pt idx="587">
                  <c:v>6741565</c:v>
                </c:pt>
                <c:pt idx="588">
                  <c:v>3899190</c:v>
                </c:pt>
                <c:pt idx="589">
                  <c:v>7646250</c:v>
                </c:pt>
                <c:pt idx="590">
                  <c:v>5283400</c:v>
                </c:pt>
                <c:pt idx="591">
                  <c:v>7209495</c:v>
                </c:pt>
                <c:pt idx="592">
                  <c:v>3739146</c:v>
                </c:pt>
                <c:pt idx="593">
                  <c:v>7488301</c:v>
                </c:pt>
              </c:numCache>
            </c:numRef>
          </c:val>
          <c:smooth val="0"/>
          <c:extLst>
            <c:ext xmlns:c16="http://schemas.microsoft.com/office/drawing/2014/chart" uri="{C3380CC4-5D6E-409C-BE32-E72D297353CC}">
              <c16:uniqueId val="{00000000-359F-4C1C-B7DB-A72A4584969D}"/>
            </c:ext>
          </c:extLst>
        </c:ser>
        <c:dLbls>
          <c:dLblPos val="ctr"/>
          <c:showLegendKey val="0"/>
          <c:showVal val="1"/>
          <c:showCatName val="0"/>
          <c:showSerName val="0"/>
          <c:showPercent val="0"/>
          <c:showBubbleSize val="0"/>
        </c:dLbls>
        <c:marker val="1"/>
        <c:smooth val="0"/>
        <c:axId val="1066684784"/>
        <c:axId val="1066686704"/>
      </c:lineChart>
      <c:catAx>
        <c:axId val="10666847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Customers 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6686704"/>
        <c:crosses val="autoZero"/>
        <c:auto val="1"/>
        <c:lblAlgn val="ctr"/>
        <c:lblOffset val="100"/>
        <c:noMultiLvlLbl val="0"/>
      </c:catAx>
      <c:valAx>
        <c:axId val="10666867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Axis Cumulative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6668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[customer_analysis_dataset.xlsx]Sheet8!PivotTable5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Count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Sheet8!$A$2</c:f>
              <c:strCache>
                <c:ptCount val="1"/>
                <c:pt idx="0">
                  <c:v>New</c:v>
                </c:pt>
              </c:strCache>
            </c:strRef>
          </c:cat>
          <c:val>
            <c:numRef>
              <c:f>Sheet8!$B$2</c:f>
              <c:numCache>
                <c:formatCode>General</c:formatCode>
                <c:ptCount val="1"/>
                <c:pt idx="0">
                  <c:v>77204</c:v>
                </c:pt>
              </c:numCache>
            </c:numRef>
          </c:val>
          <c:extLst>
            <c:ext xmlns:c16="http://schemas.microsoft.com/office/drawing/2014/chart" uri="{C3380CC4-5D6E-409C-BE32-E72D297353CC}">
              <c16:uniqueId val="{00000002-2796-4BC0-83B7-BD0B9280D042}"/>
            </c:ext>
          </c:extLst>
        </c:ser>
        <c:dLbls>
          <c:dLblPos val="outEnd"/>
          <c:showLegendKey val="0"/>
          <c:showVal val="1"/>
          <c:showCatName val="0"/>
          <c:showSerName val="0"/>
          <c:showPercent val="0"/>
          <c:showBubbleSize val="0"/>
        </c:dLbls>
        <c:gapWidth val="219"/>
        <c:overlap val="-27"/>
        <c:axId val="1064091424"/>
        <c:axId val="1064095264"/>
      </c:barChart>
      <c:catAx>
        <c:axId val="106409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95264"/>
        <c:crosses val="autoZero"/>
        <c:auto val="1"/>
        <c:lblAlgn val="ctr"/>
        <c:lblOffset val="100"/>
        <c:noMultiLvlLbl val="0"/>
      </c:catAx>
      <c:valAx>
        <c:axId val="10640952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Orders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6409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[customer_analysis_dataset.xlsx]Sheet6!PivotTable3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759405074366"/>
          <c:y val="0.29106262758821816"/>
          <c:w val="0.68391863517060369"/>
          <c:h val="0.50415609507144943"/>
        </c:manualLayout>
      </c:layout>
      <c:lineChart>
        <c:grouping val="standard"/>
        <c:varyColors val="0"/>
        <c:ser>
          <c:idx val="0"/>
          <c:order val="0"/>
          <c:tx>
            <c:strRef>
              <c:f>Sheet6!$B$3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Sheet6!$A$4:$A$598</c:f>
              <c:strCache>
                <c:ptCount val="594"/>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1053</c:v>
                </c:pt>
                <c:pt idx="52">
                  <c:v>1054</c:v>
                </c:pt>
                <c:pt idx="53">
                  <c:v>1055</c:v>
                </c:pt>
                <c:pt idx="54">
                  <c:v>1056</c:v>
                </c:pt>
                <c:pt idx="55">
                  <c:v>1057</c:v>
                </c:pt>
                <c:pt idx="56">
                  <c:v>1058</c:v>
                </c:pt>
                <c:pt idx="57">
                  <c:v>1059</c:v>
                </c:pt>
                <c:pt idx="58">
                  <c:v>1060</c:v>
                </c:pt>
                <c:pt idx="59">
                  <c:v>1061</c:v>
                </c:pt>
                <c:pt idx="60">
                  <c:v>1062</c:v>
                </c:pt>
                <c:pt idx="61">
                  <c:v>1063</c:v>
                </c:pt>
                <c:pt idx="62">
                  <c:v>1064</c:v>
                </c:pt>
                <c:pt idx="63">
                  <c:v>1065</c:v>
                </c:pt>
                <c:pt idx="64">
                  <c:v>1066</c:v>
                </c:pt>
                <c:pt idx="65">
                  <c:v>1067</c:v>
                </c:pt>
                <c:pt idx="66">
                  <c:v>1068</c:v>
                </c:pt>
                <c:pt idx="67">
                  <c:v>1069</c:v>
                </c:pt>
                <c:pt idx="68">
                  <c:v>1070</c:v>
                </c:pt>
                <c:pt idx="69">
                  <c:v>1072</c:v>
                </c:pt>
                <c:pt idx="70">
                  <c:v>1073</c:v>
                </c:pt>
                <c:pt idx="71">
                  <c:v>1074</c:v>
                </c:pt>
                <c:pt idx="72">
                  <c:v>1075</c:v>
                </c:pt>
                <c:pt idx="73">
                  <c:v>1076</c:v>
                </c:pt>
                <c:pt idx="74">
                  <c:v>1077</c:v>
                </c:pt>
                <c:pt idx="75">
                  <c:v>1078</c:v>
                </c:pt>
                <c:pt idx="76">
                  <c:v>1079</c:v>
                </c:pt>
                <c:pt idx="77">
                  <c:v>1080</c:v>
                </c:pt>
                <c:pt idx="78">
                  <c:v>1081</c:v>
                </c:pt>
                <c:pt idx="79">
                  <c:v>1082</c:v>
                </c:pt>
                <c:pt idx="80">
                  <c:v>1083</c:v>
                </c:pt>
                <c:pt idx="81">
                  <c:v>1084</c:v>
                </c:pt>
                <c:pt idx="82">
                  <c:v>1085</c:v>
                </c:pt>
                <c:pt idx="83">
                  <c:v>1086</c:v>
                </c:pt>
                <c:pt idx="84">
                  <c:v>1087</c:v>
                </c:pt>
                <c:pt idx="85">
                  <c:v>1088</c:v>
                </c:pt>
                <c:pt idx="86">
                  <c:v>1089</c:v>
                </c:pt>
                <c:pt idx="87">
                  <c:v>1090</c:v>
                </c:pt>
                <c:pt idx="88">
                  <c:v>1091</c:v>
                </c:pt>
                <c:pt idx="89">
                  <c:v>1092</c:v>
                </c:pt>
                <c:pt idx="90">
                  <c:v>1093</c:v>
                </c:pt>
                <c:pt idx="91">
                  <c:v>1094</c:v>
                </c:pt>
                <c:pt idx="92">
                  <c:v>1095</c:v>
                </c:pt>
                <c:pt idx="93">
                  <c:v>1096</c:v>
                </c:pt>
                <c:pt idx="94">
                  <c:v>1097</c:v>
                </c:pt>
                <c:pt idx="95">
                  <c:v>1098</c:v>
                </c:pt>
                <c:pt idx="96">
                  <c:v>1099</c:v>
                </c:pt>
                <c:pt idx="97">
                  <c:v>1100</c:v>
                </c:pt>
                <c:pt idx="98">
                  <c:v>1101</c:v>
                </c:pt>
                <c:pt idx="99">
                  <c:v>1102</c:v>
                </c:pt>
                <c:pt idx="100">
                  <c:v>1103</c:v>
                </c:pt>
                <c:pt idx="101">
                  <c:v>1104</c:v>
                </c:pt>
                <c:pt idx="102">
                  <c:v>1105</c:v>
                </c:pt>
                <c:pt idx="103">
                  <c:v>1106</c:v>
                </c:pt>
                <c:pt idx="104">
                  <c:v>1107</c:v>
                </c:pt>
                <c:pt idx="105">
                  <c:v>1108</c:v>
                </c:pt>
                <c:pt idx="106">
                  <c:v>1109</c:v>
                </c:pt>
                <c:pt idx="107">
                  <c:v>1110</c:v>
                </c:pt>
                <c:pt idx="108">
                  <c:v>1111</c:v>
                </c:pt>
                <c:pt idx="109">
                  <c:v>1112</c:v>
                </c:pt>
                <c:pt idx="110">
                  <c:v>1113</c:v>
                </c:pt>
                <c:pt idx="111">
                  <c:v>1114</c:v>
                </c:pt>
                <c:pt idx="112">
                  <c:v>1115</c:v>
                </c:pt>
                <c:pt idx="113">
                  <c:v>1116</c:v>
                </c:pt>
                <c:pt idx="114">
                  <c:v>1117</c:v>
                </c:pt>
                <c:pt idx="115">
                  <c:v>1118</c:v>
                </c:pt>
                <c:pt idx="116">
                  <c:v>1119</c:v>
                </c:pt>
                <c:pt idx="117">
                  <c:v>1120</c:v>
                </c:pt>
                <c:pt idx="118">
                  <c:v>1121</c:v>
                </c:pt>
                <c:pt idx="119">
                  <c:v>1122</c:v>
                </c:pt>
                <c:pt idx="120">
                  <c:v>1123</c:v>
                </c:pt>
                <c:pt idx="121">
                  <c:v>1124</c:v>
                </c:pt>
                <c:pt idx="122">
                  <c:v>1125</c:v>
                </c:pt>
                <c:pt idx="123">
                  <c:v>1126</c:v>
                </c:pt>
                <c:pt idx="124">
                  <c:v>1127</c:v>
                </c:pt>
                <c:pt idx="125">
                  <c:v>1128</c:v>
                </c:pt>
                <c:pt idx="126">
                  <c:v>1129</c:v>
                </c:pt>
                <c:pt idx="127">
                  <c:v>1130</c:v>
                </c:pt>
                <c:pt idx="128">
                  <c:v>1131</c:v>
                </c:pt>
                <c:pt idx="129">
                  <c:v>1132</c:v>
                </c:pt>
                <c:pt idx="130">
                  <c:v>1133</c:v>
                </c:pt>
                <c:pt idx="131">
                  <c:v>1134</c:v>
                </c:pt>
                <c:pt idx="132">
                  <c:v>1135</c:v>
                </c:pt>
                <c:pt idx="133">
                  <c:v>1136</c:v>
                </c:pt>
                <c:pt idx="134">
                  <c:v>1137</c:v>
                </c:pt>
                <c:pt idx="135">
                  <c:v>1138</c:v>
                </c:pt>
                <c:pt idx="136">
                  <c:v>1139</c:v>
                </c:pt>
                <c:pt idx="137">
                  <c:v>1140</c:v>
                </c:pt>
                <c:pt idx="138">
                  <c:v>1141</c:v>
                </c:pt>
                <c:pt idx="139">
                  <c:v>1142</c:v>
                </c:pt>
                <c:pt idx="140">
                  <c:v>1143</c:v>
                </c:pt>
                <c:pt idx="141">
                  <c:v>1144</c:v>
                </c:pt>
                <c:pt idx="142">
                  <c:v>1145</c:v>
                </c:pt>
                <c:pt idx="143">
                  <c:v>1146</c:v>
                </c:pt>
                <c:pt idx="144">
                  <c:v>1147</c:v>
                </c:pt>
                <c:pt idx="145">
                  <c:v>1148</c:v>
                </c:pt>
                <c:pt idx="146">
                  <c:v>1149</c:v>
                </c:pt>
                <c:pt idx="147">
                  <c:v>1150</c:v>
                </c:pt>
                <c:pt idx="148">
                  <c:v>1151</c:v>
                </c:pt>
                <c:pt idx="149">
                  <c:v>1152</c:v>
                </c:pt>
                <c:pt idx="150">
                  <c:v>1153</c:v>
                </c:pt>
                <c:pt idx="151">
                  <c:v>1154</c:v>
                </c:pt>
                <c:pt idx="152">
                  <c:v>1155</c:v>
                </c:pt>
                <c:pt idx="153">
                  <c:v>1156</c:v>
                </c:pt>
                <c:pt idx="154">
                  <c:v>1157</c:v>
                </c:pt>
                <c:pt idx="155">
                  <c:v>1158</c:v>
                </c:pt>
                <c:pt idx="156">
                  <c:v>1159</c:v>
                </c:pt>
                <c:pt idx="157">
                  <c:v>1160</c:v>
                </c:pt>
                <c:pt idx="158">
                  <c:v>1161</c:v>
                </c:pt>
                <c:pt idx="159">
                  <c:v>1162</c:v>
                </c:pt>
                <c:pt idx="160">
                  <c:v>1163</c:v>
                </c:pt>
                <c:pt idx="161">
                  <c:v>1164</c:v>
                </c:pt>
                <c:pt idx="162">
                  <c:v>1165</c:v>
                </c:pt>
                <c:pt idx="163">
                  <c:v>1166</c:v>
                </c:pt>
                <c:pt idx="164">
                  <c:v>1167</c:v>
                </c:pt>
                <c:pt idx="165">
                  <c:v>1168</c:v>
                </c:pt>
                <c:pt idx="166">
                  <c:v>1169</c:v>
                </c:pt>
                <c:pt idx="167">
                  <c:v>1170</c:v>
                </c:pt>
                <c:pt idx="168">
                  <c:v>1171</c:v>
                </c:pt>
                <c:pt idx="169">
                  <c:v>1172</c:v>
                </c:pt>
                <c:pt idx="170">
                  <c:v>1173</c:v>
                </c:pt>
                <c:pt idx="171">
                  <c:v>1174</c:v>
                </c:pt>
                <c:pt idx="172">
                  <c:v>1175</c:v>
                </c:pt>
                <c:pt idx="173">
                  <c:v>1176</c:v>
                </c:pt>
                <c:pt idx="174">
                  <c:v>1177</c:v>
                </c:pt>
                <c:pt idx="175">
                  <c:v>1178</c:v>
                </c:pt>
                <c:pt idx="176">
                  <c:v>1179</c:v>
                </c:pt>
                <c:pt idx="177">
                  <c:v>1180</c:v>
                </c:pt>
                <c:pt idx="178">
                  <c:v>1181</c:v>
                </c:pt>
                <c:pt idx="179">
                  <c:v>1182</c:v>
                </c:pt>
                <c:pt idx="180">
                  <c:v>1183</c:v>
                </c:pt>
                <c:pt idx="181">
                  <c:v>1184</c:v>
                </c:pt>
                <c:pt idx="182">
                  <c:v>1185</c:v>
                </c:pt>
                <c:pt idx="183">
                  <c:v>1186</c:v>
                </c:pt>
                <c:pt idx="184">
                  <c:v>1187</c:v>
                </c:pt>
                <c:pt idx="185">
                  <c:v>1188</c:v>
                </c:pt>
                <c:pt idx="186">
                  <c:v>1189</c:v>
                </c:pt>
                <c:pt idx="187">
                  <c:v>1190</c:v>
                </c:pt>
                <c:pt idx="188">
                  <c:v>1191</c:v>
                </c:pt>
                <c:pt idx="189">
                  <c:v>1192</c:v>
                </c:pt>
                <c:pt idx="190">
                  <c:v>1193</c:v>
                </c:pt>
                <c:pt idx="191">
                  <c:v>1194</c:v>
                </c:pt>
                <c:pt idx="192">
                  <c:v>1195</c:v>
                </c:pt>
                <c:pt idx="193">
                  <c:v>1196</c:v>
                </c:pt>
                <c:pt idx="194">
                  <c:v>1198</c:v>
                </c:pt>
                <c:pt idx="195">
                  <c:v>1199</c:v>
                </c:pt>
                <c:pt idx="196">
                  <c:v>1200</c:v>
                </c:pt>
                <c:pt idx="197">
                  <c:v>1201</c:v>
                </c:pt>
                <c:pt idx="198">
                  <c:v>1202</c:v>
                </c:pt>
                <c:pt idx="199">
                  <c:v>1203</c:v>
                </c:pt>
                <c:pt idx="200">
                  <c:v>1204</c:v>
                </c:pt>
                <c:pt idx="201">
                  <c:v>1205</c:v>
                </c:pt>
                <c:pt idx="202">
                  <c:v>1206</c:v>
                </c:pt>
                <c:pt idx="203">
                  <c:v>1207</c:v>
                </c:pt>
                <c:pt idx="204">
                  <c:v>1208</c:v>
                </c:pt>
                <c:pt idx="205">
                  <c:v>1209</c:v>
                </c:pt>
                <c:pt idx="206">
                  <c:v>1210</c:v>
                </c:pt>
                <c:pt idx="207">
                  <c:v>1211</c:v>
                </c:pt>
                <c:pt idx="208">
                  <c:v>1212</c:v>
                </c:pt>
                <c:pt idx="209">
                  <c:v>1213</c:v>
                </c:pt>
                <c:pt idx="210">
                  <c:v>1214</c:v>
                </c:pt>
                <c:pt idx="211">
                  <c:v>1215</c:v>
                </c:pt>
                <c:pt idx="212">
                  <c:v>1216</c:v>
                </c:pt>
                <c:pt idx="213">
                  <c:v>1217</c:v>
                </c:pt>
                <c:pt idx="214">
                  <c:v>1218</c:v>
                </c:pt>
                <c:pt idx="215">
                  <c:v>1219</c:v>
                </c:pt>
                <c:pt idx="216">
                  <c:v>1220</c:v>
                </c:pt>
                <c:pt idx="217">
                  <c:v>1221</c:v>
                </c:pt>
                <c:pt idx="218">
                  <c:v>1222</c:v>
                </c:pt>
                <c:pt idx="219">
                  <c:v>1223</c:v>
                </c:pt>
                <c:pt idx="220">
                  <c:v>1224</c:v>
                </c:pt>
                <c:pt idx="221">
                  <c:v>1225</c:v>
                </c:pt>
                <c:pt idx="222">
                  <c:v>1226</c:v>
                </c:pt>
                <c:pt idx="223">
                  <c:v>1227</c:v>
                </c:pt>
                <c:pt idx="224">
                  <c:v>1228</c:v>
                </c:pt>
                <c:pt idx="225">
                  <c:v>1229</c:v>
                </c:pt>
                <c:pt idx="226">
                  <c:v>1230</c:v>
                </c:pt>
                <c:pt idx="227">
                  <c:v>1231</c:v>
                </c:pt>
                <c:pt idx="228">
                  <c:v>1232</c:v>
                </c:pt>
                <c:pt idx="229">
                  <c:v>1233</c:v>
                </c:pt>
                <c:pt idx="230">
                  <c:v>1234</c:v>
                </c:pt>
                <c:pt idx="231">
                  <c:v>1235</c:v>
                </c:pt>
                <c:pt idx="232">
                  <c:v>1236</c:v>
                </c:pt>
                <c:pt idx="233">
                  <c:v>1237</c:v>
                </c:pt>
                <c:pt idx="234">
                  <c:v>1238</c:v>
                </c:pt>
                <c:pt idx="235">
                  <c:v>1239</c:v>
                </c:pt>
                <c:pt idx="236">
                  <c:v>1240</c:v>
                </c:pt>
                <c:pt idx="237">
                  <c:v>1241</c:v>
                </c:pt>
                <c:pt idx="238">
                  <c:v>1242</c:v>
                </c:pt>
                <c:pt idx="239">
                  <c:v>1243</c:v>
                </c:pt>
                <c:pt idx="240">
                  <c:v>1244</c:v>
                </c:pt>
                <c:pt idx="241">
                  <c:v>1245</c:v>
                </c:pt>
                <c:pt idx="242">
                  <c:v>1246</c:v>
                </c:pt>
                <c:pt idx="243">
                  <c:v>1247</c:v>
                </c:pt>
                <c:pt idx="244">
                  <c:v>1248</c:v>
                </c:pt>
                <c:pt idx="245">
                  <c:v>1249</c:v>
                </c:pt>
                <c:pt idx="246">
                  <c:v>1250</c:v>
                </c:pt>
                <c:pt idx="247">
                  <c:v>1251</c:v>
                </c:pt>
                <c:pt idx="248">
                  <c:v>1252</c:v>
                </c:pt>
                <c:pt idx="249">
                  <c:v>1253</c:v>
                </c:pt>
                <c:pt idx="250">
                  <c:v>1254</c:v>
                </c:pt>
                <c:pt idx="251">
                  <c:v>1255</c:v>
                </c:pt>
                <c:pt idx="252">
                  <c:v>1256</c:v>
                </c:pt>
                <c:pt idx="253">
                  <c:v>1257</c:v>
                </c:pt>
                <c:pt idx="254">
                  <c:v>1258</c:v>
                </c:pt>
                <c:pt idx="255">
                  <c:v>1259</c:v>
                </c:pt>
                <c:pt idx="256">
                  <c:v>1260</c:v>
                </c:pt>
                <c:pt idx="257">
                  <c:v>1261</c:v>
                </c:pt>
                <c:pt idx="258">
                  <c:v>1262</c:v>
                </c:pt>
                <c:pt idx="259">
                  <c:v>1263</c:v>
                </c:pt>
                <c:pt idx="260">
                  <c:v>1264</c:v>
                </c:pt>
                <c:pt idx="261">
                  <c:v>1265</c:v>
                </c:pt>
                <c:pt idx="262">
                  <c:v>1266</c:v>
                </c:pt>
                <c:pt idx="263">
                  <c:v>1267</c:v>
                </c:pt>
                <c:pt idx="264">
                  <c:v>1268</c:v>
                </c:pt>
                <c:pt idx="265">
                  <c:v>1269</c:v>
                </c:pt>
                <c:pt idx="266">
                  <c:v>1270</c:v>
                </c:pt>
                <c:pt idx="267">
                  <c:v>1271</c:v>
                </c:pt>
                <c:pt idx="268">
                  <c:v>1272</c:v>
                </c:pt>
                <c:pt idx="269">
                  <c:v>1273</c:v>
                </c:pt>
                <c:pt idx="270">
                  <c:v>1274</c:v>
                </c:pt>
                <c:pt idx="271">
                  <c:v>1275</c:v>
                </c:pt>
                <c:pt idx="272">
                  <c:v>1276</c:v>
                </c:pt>
                <c:pt idx="273">
                  <c:v>1277</c:v>
                </c:pt>
                <c:pt idx="274">
                  <c:v>1278</c:v>
                </c:pt>
                <c:pt idx="275">
                  <c:v>1279</c:v>
                </c:pt>
                <c:pt idx="276">
                  <c:v>1280</c:v>
                </c:pt>
                <c:pt idx="277">
                  <c:v>1281</c:v>
                </c:pt>
                <c:pt idx="278">
                  <c:v>1282</c:v>
                </c:pt>
                <c:pt idx="279">
                  <c:v>1283</c:v>
                </c:pt>
                <c:pt idx="280">
                  <c:v>1284</c:v>
                </c:pt>
                <c:pt idx="281">
                  <c:v>1285</c:v>
                </c:pt>
                <c:pt idx="282">
                  <c:v>1286</c:v>
                </c:pt>
                <c:pt idx="283">
                  <c:v>1287</c:v>
                </c:pt>
                <c:pt idx="284">
                  <c:v>1288</c:v>
                </c:pt>
                <c:pt idx="285">
                  <c:v>1289</c:v>
                </c:pt>
                <c:pt idx="286">
                  <c:v>1290</c:v>
                </c:pt>
                <c:pt idx="287">
                  <c:v>1291</c:v>
                </c:pt>
                <c:pt idx="288">
                  <c:v>1292</c:v>
                </c:pt>
                <c:pt idx="289">
                  <c:v>1293</c:v>
                </c:pt>
                <c:pt idx="290">
                  <c:v>1294</c:v>
                </c:pt>
                <c:pt idx="291">
                  <c:v>1295</c:v>
                </c:pt>
                <c:pt idx="292">
                  <c:v>1296</c:v>
                </c:pt>
                <c:pt idx="293">
                  <c:v>1297</c:v>
                </c:pt>
                <c:pt idx="294">
                  <c:v>1298</c:v>
                </c:pt>
                <c:pt idx="295">
                  <c:v>1300</c:v>
                </c:pt>
                <c:pt idx="296">
                  <c:v>1301</c:v>
                </c:pt>
                <c:pt idx="297">
                  <c:v>1302</c:v>
                </c:pt>
                <c:pt idx="298">
                  <c:v>1303</c:v>
                </c:pt>
                <c:pt idx="299">
                  <c:v>1304</c:v>
                </c:pt>
                <c:pt idx="300">
                  <c:v>1305</c:v>
                </c:pt>
                <c:pt idx="301">
                  <c:v>1306</c:v>
                </c:pt>
                <c:pt idx="302">
                  <c:v>1307</c:v>
                </c:pt>
                <c:pt idx="303">
                  <c:v>1308</c:v>
                </c:pt>
                <c:pt idx="304">
                  <c:v>1309</c:v>
                </c:pt>
                <c:pt idx="305">
                  <c:v>1310</c:v>
                </c:pt>
                <c:pt idx="306">
                  <c:v>1311</c:v>
                </c:pt>
                <c:pt idx="307">
                  <c:v>1312</c:v>
                </c:pt>
                <c:pt idx="308">
                  <c:v>1313</c:v>
                </c:pt>
                <c:pt idx="309">
                  <c:v>1314</c:v>
                </c:pt>
                <c:pt idx="310">
                  <c:v>1315</c:v>
                </c:pt>
                <c:pt idx="311">
                  <c:v>1316</c:v>
                </c:pt>
                <c:pt idx="312">
                  <c:v>1317</c:v>
                </c:pt>
                <c:pt idx="313">
                  <c:v>1318</c:v>
                </c:pt>
                <c:pt idx="314">
                  <c:v>1319</c:v>
                </c:pt>
                <c:pt idx="315">
                  <c:v>1320</c:v>
                </c:pt>
                <c:pt idx="316">
                  <c:v>1321</c:v>
                </c:pt>
                <c:pt idx="317">
                  <c:v>1322</c:v>
                </c:pt>
                <c:pt idx="318">
                  <c:v>1323</c:v>
                </c:pt>
                <c:pt idx="319">
                  <c:v>1324</c:v>
                </c:pt>
                <c:pt idx="320">
                  <c:v>1325</c:v>
                </c:pt>
                <c:pt idx="321">
                  <c:v>1326</c:v>
                </c:pt>
                <c:pt idx="322">
                  <c:v>1327</c:v>
                </c:pt>
                <c:pt idx="323">
                  <c:v>1328</c:v>
                </c:pt>
                <c:pt idx="324">
                  <c:v>1329</c:v>
                </c:pt>
                <c:pt idx="325">
                  <c:v>1330</c:v>
                </c:pt>
                <c:pt idx="326">
                  <c:v>1331</c:v>
                </c:pt>
                <c:pt idx="327">
                  <c:v>1332</c:v>
                </c:pt>
                <c:pt idx="328">
                  <c:v>1333</c:v>
                </c:pt>
                <c:pt idx="329">
                  <c:v>1334</c:v>
                </c:pt>
                <c:pt idx="330">
                  <c:v>1335</c:v>
                </c:pt>
                <c:pt idx="331">
                  <c:v>1336</c:v>
                </c:pt>
                <c:pt idx="332">
                  <c:v>1337</c:v>
                </c:pt>
                <c:pt idx="333">
                  <c:v>1338</c:v>
                </c:pt>
                <c:pt idx="334">
                  <c:v>1339</c:v>
                </c:pt>
                <c:pt idx="335">
                  <c:v>1340</c:v>
                </c:pt>
                <c:pt idx="336">
                  <c:v>1341</c:v>
                </c:pt>
                <c:pt idx="337">
                  <c:v>1342</c:v>
                </c:pt>
                <c:pt idx="338">
                  <c:v>1343</c:v>
                </c:pt>
                <c:pt idx="339">
                  <c:v>1344</c:v>
                </c:pt>
                <c:pt idx="340">
                  <c:v>1345</c:v>
                </c:pt>
                <c:pt idx="341">
                  <c:v>1346</c:v>
                </c:pt>
                <c:pt idx="342">
                  <c:v>1347</c:v>
                </c:pt>
                <c:pt idx="343">
                  <c:v>1348</c:v>
                </c:pt>
                <c:pt idx="344">
                  <c:v>1349</c:v>
                </c:pt>
                <c:pt idx="345">
                  <c:v>1350</c:v>
                </c:pt>
                <c:pt idx="346">
                  <c:v>1351</c:v>
                </c:pt>
                <c:pt idx="347">
                  <c:v>1352</c:v>
                </c:pt>
                <c:pt idx="348">
                  <c:v>1353</c:v>
                </c:pt>
                <c:pt idx="349">
                  <c:v>1354</c:v>
                </c:pt>
                <c:pt idx="350">
                  <c:v>1355</c:v>
                </c:pt>
                <c:pt idx="351">
                  <c:v>1356</c:v>
                </c:pt>
                <c:pt idx="352">
                  <c:v>1357</c:v>
                </c:pt>
                <c:pt idx="353">
                  <c:v>1358</c:v>
                </c:pt>
                <c:pt idx="354">
                  <c:v>1359</c:v>
                </c:pt>
                <c:pt idx="355">
                  <c:v>1360</c:v>
                </c:pt>
                <c:pt idx="356">
                  <c:v>1361</c:v>
                </c:pt>
                <c:pt idx="357">
                  <c:v>1362</c:v>
                </c:pt>
                <c:pt idx="358">
                  <c:v>1363</c:v>
                </c:pt>
                <c:pt idx="359">
                  <c:v>1364</c:v>
                </c:pt>
                <c:pt idx="360">
                  <c:v>1365</c:v>
                </c:pt>
                <c:pt idx="361">
                  <c:v>1366</c:v>
                </c:pt>
                <c:pt idx="362">
                  <c:v>1367</c:v>
                </c:pt>
                <c:pt idx="363">
                  <c:v>1368</c:v>
                </c:pt>
                <c:pt idx="364">
                  <c:v>1369</c:v>
                </c:pt>
                <c:pt idx="365">
                  <c:v>1370</c:v>
                </c:pt>
                <c:pt idx="366">
                  <c:v>1371</c:v>
                </c:pt>
                <c:pt idx="367">
                  <c:v>1372</c:v>
                </c:pt>
                <c:pt idx="368">
                  <c:v>1373</c:v>
                </c:pt>
                <c:pt idx="369">
                  <c:v>1374</c:v>
                </c:pt>
                <c:pt idx="370">
                  <c:v>1375</c:v>
                </c:pt>
                <c:pt idx="371">
                  <c:v>1376</c:v>
                </c:pt>
                <c:pt idx="372">
                  <c:v>1377</c:v>
                </c:pt>
                <c:pt idx="373">
                  <c:v>1378</c:v>
                </c:pt>
                <c:pt idx="374">
                  <c:v>1379</c:v>
                </c:pt>
                <c:pt idx="375">
                  <c:v>1380</c:v>
                </c:pt>
                <c:pt idx="376">
                  <c:v>1381</c:v>
                </c:pt>
                <c:pt idx="377">
                  <c:v>1382</c:v>
                </c:pt>
                <c:pt idx="378">
                  <c:v>1383</c:v>
                </c:pt>
                <c:pt idx="379">
                  <c:v>1384</c:v>
                </c:pt>
                <c:pt idx="380">
                  <c:v>1385</c:v>
                </c:pt>
                <c:pt idx="381">
                  <c:v>1386</c:v>
                </c:pt>
                <c:pt idx="382">
                  <c:v>1387</c:v>
                </c:pt>
                <c:pt idx="383">
                  <c:v>1388</c:v>
                </c:pt>
                <c:pt idx="384">
                  <c:v>1389</c:v>
                </c:pt>
                <c:pt idx="385">
                  <c:v>1390</c:v>
                </c:pt>
                <c:pt idx="386">
                  <c:v>1391</c:v>
                </c:pt>
                <c:pt idx="387">
                  <c:v>1392</c:v>
                </c:pt>
                <c:pt idx="388">
                  <c:v>1393</c:v>
                </c:pt>
                <c:pt idx="389">
                  <c:v>1394</c:v>
                </c:pt>
                <c:pt idx="390">
                  <c:v>1395</c:v>
                </c:pt>
                <c:pt idx="391">
                  <c:v>1396</c:v>
                </c:pt>
                <c:pt idx="392">
                  <c:v>1397</c:v>
                </c:pt>
                <c:pt idx="393">
                  <c:v>1398</c:v>
                </c:pt>
                <c:pt idx="394">
                  <c:v>1399</c:v>
                </c:pt>
                <c:pt idx="395">
                  <c:v>1400</c:v>
                </c:pt>
                <c:pt idx="396">
                  <c:v>1401</c:v>
                </c:pt>
                <c:pt idx="397">
                  <c:v>1402</c:v>
                </c:pt>
                <c:pt idx="398">
                  <c:v>1403</c:v>
                </c:pt>
                <c:pt idx="399">
                  <c:v>1404</c:v>
                </c:pt>
                <c:pt idx="400">
                  <c:v>1405</c:v>
                </c:pt>
                <c:pt idx="401">
                  <c:v>1406</c:v>
                </c:pt>
                <c:pt idx="402">
                  <c:v>1407</c:v>
                </c:pt>
                <c:pt idx="403">
                  <c:v>1408</c:v>
                </c:pt>
                <c:pt idx="404">
                  <c:v>1409</c:v>
                </c:pt>
                <c:pt idx="405">
                  <c:v>1410</c:v>
                </c:pt>
                <c:pt idx="406">
                  <c:v>1411</c:v>
                </c:pt>
                <c:pt idx="407">
                  <c:v>1412</c:v>
                </c:pt>
                <c:pt idx="408">
                  <c:v>1413</c:v>
                </c:pt>
                <c:pt idx="409">
                  <c:v>1414</c:v>
                </c:pt>
                <c:pt idx="410">
                  <c:v>1415</c:v>
                </c:pt>
                <c:pt idx="411">
                  <c:v>1416</c:v>
                </c:pt>
                <c:pt idx="412">
                  <c:v>1417</c:v>
                </c:pt>
                <c:pt idx="413">
                  <c:v>1418</c:v>
                </c:pt>
                <c:pt idx="414">
                  <c:v>1419</c:v>
                </c:pt>
                <c:pt idx="415">
                  <c:v>1420</c:v>
                </c:pt>
                <c:pt idx="416">
                  <c:v>1421</c:v>
                </c:pt>
                <c:pt idx="417">
                  <c:v>1422</c:v>
                </c:pt>
                <c:pt idx="418">
                  <c:v>1423</c:v>
                </c:pt>
                <c:pt idx="419">
                  <c:v>1424</c:v>
                </c:pt>
                <c:pt idx="420">
                  <c:v>1425</c:v>
                </c:pt>
                <c:pt idx="421">
                  <c:v>1426</c:v>
                </c:pt>
                <c:pt idx="422">
                  <c:v>1427</c:v>
                </c:pt>
                <c:pt idx="423">
                  <c:v>1428</c:v>
                </c:pt>
                <c:pt idx="424">
                  <c:v>1429</c:v>
                </c:pt>
                <c:pt idx="425">
                  <c:v>1430</c:v>
                </c:pt>
                <c:pt idx="426">
                  <c:v>1431</c:v>
                </c:pt>
                <c:pt idx="427">
                  <c:v>1432</c:v>
                </c:pt>
                <c:pt idx="428">
                  <c:v>1434</c:v>
                </c:pt>
                <c:pt idx="429">
                  <c:v>1435</c:v>
                </c:pt>
                <c:pt idx="430">
                  <c:v>1436</c:v>
                </c:pt>
                <c:pt idx="431">
                  <c:v>1437</c:v>
                </c:pt>
                <c:pt idx="432">
                  <c:v>1438</c:v>
                </c:pt>
                <c:pt idx="433">
                  <c:v>1439</c:v>
                </c:pt>
                <c:pt idx="434">
                  <c:v>1440</c:v>
                </c:pt>
                <c:pt idx="435">
                  <c:v>1441</c:v>
                </c:pt>
                <c:pt idx="436">
                  <c:v>1442</c:v>
                </c:pt>
                <c:pt idx="437">
                  <c:v>1443</c:v>
                </c:pt>
                <c:pt idx="438">
                  <c:v>1444</c:v>
                </c:pt>
                <c:pt idx="439">
                  <c:v>1445</c:v>
                </c:pt>
                <c:pt idx="440">
                  <c:v>1446</c:v>
                </c:pt>
                <c:pt idx="441">
                  <c:v>1447</c:v>
                </c:pt>
                <c:pt idx="442">
                  <c:v>1448</c:v>
                </c:pt>
                <c:pt idx="443">
                  <c:v>1449</c:v>
                </c:pt>
                <c:pt idx="444">
                  <c:v>1450</c:v>
                </c:pt>
                <c:pt idx="445">
                  <c:v>1451</c:v>
                </c:pt>
                <c:pt idx="446">
                  <c:v>1452</c:v>
                </c:pt>
                <c:pt idx="447">
                  <c:v>1453</c:v>
                </c:pt>
                <c:pt idx="448">
                  <c:v>1454</c:v>
                </c:pt>
                <c:pt idx="449">
                  <c:v>1455</c:v>
                </c:pt>
                <c:pt idx="450">
                  <c:v>1456</c:v>
                </c:pt>
                <c:pt idx="451">
                  <c:v>1457</c:v>
                </c:pt>
                <c:pt idx="452">
                  <c:v>1458</c:v>
                </c:pt>
                <c:pt idx="453">
                  <c:v>1459</c:v>
                </c:pt>
                <c:pt idx="454">
                  <c:v>1460</c:v>
                </c:pt>
                <c:pt idx="455">
                  <c:v>1461</c:v>
                </c:pt>
                <c:pt idx="456">
                  <c:v>1462</c:v>
                </c:pt>
                <c:pt idx="457">
                  <c:v>1463</c:v>
                </c:pt>
                <c:pt idx="458">
                  <c:v>1464</c:v>
                </c:pt>
                <c:pt idx="459">
                  <c:v>1465</c:v>
                </c:pt>
                <c:pt idx="460">
                  <c:v>1466</c:v>
                </c:pt>
                <c:pt idx="461">
                  <c:v>1467</c:v>
                </c:pt>
                <c:pt idx="462">
                  <c:v>1468</c:v>
                </c:pt>
                <c:pt idx="463">
                  <c:v>1469</c:v>
                </c:pt>
                <c:pt idx="464">
                  <c:v>1470</c:v>
                </c:pt>
                <c:pt idx="465">
                  <c:v>1471</c:v>
                </c:pt>
                <c:pt idx="466">
                  <c:v>1472</c:v>
                </c:pt>
                <c:pt idx="467">
                  <c:v>1473</c:v>
                </c:pt>
                <c:pt idx="468">
                  <c:v>1474</c:v>
                </c:pt>
                <c:pt idx="469">
                  <c:v>1475</c:v>
                </c:pt>
                <c:pt idx="470">
                  <c:v>1476</c:v>
                </c:pt>
                <c:pt idx="471">
                  <c:v>1477</c:v>
                </c:pt>
                <c:pt idx="472">
                  <c:v>1478</c:v>
                </c:pt>
                <c:pt idx="473">
                  <c:v>1479</c:v>
                </c:pt>
                <c:pt idx="474">
                  <c:v>1480</c:v>
                </c:pt>
                <c:pt idx="475">
                  <c:v>1481</c:v>
                </c:pt>
                <c:pt idx="476">
                  <c:v>1482</c:v>
                </c:pt>
                <c:pt idx="477">
                  <c:v>1483</c:v>
                </c:pt>
                <c:pt idx="478">
                  <c:v>1484</c:v>
                </c:pt>
                <c:pt idx="479">
                  <c:v>1485</c:v>
                </c:pt>
                <c:pt idx="480">
                  <c:v>1486</c:v>
                </c:pt>
                <c:pt idx="481">
                  <c:v>1487</c:v>
                </c:pt>
                <c:pt idx="482">
                  <c:v>1488</c:v>
                </c:pt>
                <c:pt idx="483">
                  <c:v>1489</c:v>
                </c:pt>
                <c:pt idx="484">
                  <c:v>1490</c:v>
                </c:pt>
                <c:pt idx="485">
                  <c:v>1491</c:v>
                </c:pt>
                <c:pt idx="486">
                  <c:v>1492</c:v>
                </c:pt>
                <c:pt idx="487">
                  <c:v>1493</c:v>
                </c:pt>
                <c:pt idx="488">
                  <c:v>1494</c:v>
                </c:pt>
                <c:pt idx="489">
                  <c:v>1495</c:v>
                </c:pt>
                <c:pt idx="490">
                  <c:v>1496</c:v>
                </c:pt>
                <c:pt idx="491">
                  <c:v>1497</c:v>
                </c:pt>
                <c:pt idx="492">
                  <c:v>1498</c:v>
                </c:pt>
                <c:pt idx="493">
                  <c:v>1499</c:v>
                </c:pt>
                <c:pt idx="494">
                  <c:v>1500</c:v>
                </c:pt>
                <c:pt idx="495">
                  <c:v>1501</c:v>
                </c:pt>
                <c:pt idx="496">
                  <c:v>1502</c:v>
                </c:pt>
                <c:pt idx="497">
                  <c:v>1503</c:v>
                </c:pt>
                <c:pt idx="498">
                  <c:v>1504</c:v>
                </c:pt>
                <c:pt idx="499">
                  <c:v>1505</c:v>
                </c:pt>
                <c:pt idx="500">
                  <c:v>1506</c:v>
                </c:pt>
                <c:pt idx="501">
                  <c:v>1507</c:v>
                </c:pt>
                <c:pt idx="502">
                  <c:v>1508</c:v>
                </c:pt>
                <c:pt idx="503">
                  <c:v>1509</c:v>
                </c:pt>
                <c:pt idx="504">
                  <c:v>1510</c:v>
                </c:pt>
                <c:pt idx="505">
                  <c:v>1511</c:v>
                </c:pt>
                <c:pt idx="506">
                  <c:v>1512</c:v>
                </c:pt>
                <c:pt idx="507">
                  <c:v>1513</c:v>
                </c:pt>
                <c:pt idx="508">
                  <c:v>1514</c:v>
                </c:pt>
                <c:pt idx="509">
                  <c:v>1515</c:v>
                </c:pt>
                <c:pt idx="510">
                  <c:v>1516</c:v>
                </c:pt>
                <c:pt idx="511">
                  <c:v>1517</c:v>
                </c:pt>
                <c:pt idx="512">
                  <c:v>1518</c:v>
                </c:pt>
                <c:pt idx="513">
                  <c:v>1519</c:v>
                </c:pt>
                <c:pt idx="514">
                  <c:v>1520</c:v>
                </c:pt>
                <c:pt idx="515">
                  <c:v>1521</c:v>
                </c:pt>
                <c:pt idx="516">
                  <c:v>1522</c:v>
                </c:pt>
                <c:pt idx="517">
                  <c:v>1523</c:v>
                </c:pt>
                <c:pt idx="518">
                  <c:v>1524</c:v>
                </c:pt>
                <c:pt idx="519">
                  <c:v>1525</c:v>
                </c:pt>
                <c:pt idx="520">
                  <c:v>1526</c:v>
                </c:pt>
                <c:pt idx="521">
                  <c:v>1527</c:v>
                </c:pt>
                <c:pt idx="522">
                  <c:v>1528</c:v>
                </c:pt>
                <c:pt idx="523">
                  <c:v>1529</c:v>
                </c:pt>
                <c:pt idx="524">
                  <c:v>1530</c:v>
                </c:pt>
                <c:pt idx="525">
                  <c:v>1531</c:v>
                </c:pt>
                <c:pt idx="526">
                  <c:v>1532</c:v>
                </c:pt>
                <c:pt idx="527">
                  <c:v>1533</c:v>
                </c:pt>
                <c:pt idx="528">
                  <c:v>1534</c:v>
                </c:pt>
                <c:pt idx="529">
                  <c:v>1535</c:v>
                </c:pt>
                <c:pt idx="530">
                  <c:v>1536</c:v>
                </c:pt>
                <c:pt idx="531">
                  <c:v>1537</c:v>
                </c:pt>
                <c:pt idx="532">
                  <c:v>1538</c:v>
                </c:pt>
                <c:pt idx="533">
                  <c:v>1539</c:v>
                </c:pt>
                <c:pt idx="534">
                  <c:v>1540</c:v>
                </c:pt>
                <c:pt idx="535">
                  <c:v>1541</c:v>
                </c:pt>
                <c:pt idx="536">
                  <c:v>1542</c:v>
                </c:pt>
                <c:pt idx="537">
                  <c:v>1543</c:v>
                </c:pt>
                <c:pt idx="538">
                  <c:v>1544</c:v>
                </c:pt>
                <c:pt idx="539">
                  <c:v>1545</c:v>
                </c:pt>
                <c:pt idx="540">
                  <c:v>1546</c:v>
                </c:pt>
                <c:pt idx="541">
                  <c:v>1547</c:v>
                </c:pt>
                <c:pt idx="542">
                  <c:v>1548</c:v>
                </c:pt>
                <c:pt idx="543">
                  <c:v>1549</c:v>
                </c:pt>
                <c:pt idx="544">
                  <c:v>1550</c:v>
                </c:pt>
                <c:pt idx="545">
                  <c:v>1551</c:v>
                </c:pt>
                <c:pt idx="546">
                  <c:v>1552</c:v>
                </c:pt>
                <c:pt idx="547">
                  <c:v>1553</c:v>
                </c:pt>
                <c:pt idx="548">
                  <c:v>1554</c:v>
                </c:pt>
                <c:pt idx="549">
                  <c:v>1555</c:v>
                </c:pt>
                <c:pt idx="550">
                  <c:v>1556</c:v>
                </c:pt>
                <c:pt idx="551">
                  <c:v>1557</c:v>
                </c:pt>
                <c:pt idx="552">
                  <c:v>1558</c:v>
                </c:pt>
                <c:pt idx="553">
                  <c:v>1559</c:v>
                </c:pt>
                <c:pt idx="554">
                  <c:v>1560</c:v>
                </c:pt>
                <c:pt idx="555">
                  <c:v>1561</c:v>
                </c:pt>
                <c:pt idx="556">
                  <c:v>1562</c:v>
                </c:pt>
                <c:pt idx="557">
                  <c:v>1563</c:v>
                </c:pt>
                <c:pt idx="558">
                  <c:v>1564</c:v>
                </c:pt>
                <c:pt idx="559">
                  <c:v>1565</c:v>
                </c:pt>
                <c:pt idx="560">
                  <c:v>1566</c:v>
                </c:pt>
                <c:pt idx="561">
                  <c:v>1567</c:v>
                </c:pt>
                <c:pt idx="562">
                  <c:v>1568</c:v>
                </c:pt>
                <c:pt idx="563">
                  <c:v>1569</c:v>
                </c:pt>
                <c:pt idx="564">
                  <c:v>1570</c:v>
                </c:pt>
                <c:pt idx="565">
                  <c:v>1571</c:v>
                </c:pt>
                <c:pt idx="566">
                  <c:v>1572</c:v>
                </c:pt>
                <c:pt idx="567">
                  <c:v>1573</c:v>
                </c:pt>
                <c:pt idx="568">
                  <c:v>1574</c:v>
                </c:pt>
                <c:pt idx="569">
                  <c:v>1575</c:v>
                </c:pt>
                <c:pt idx="570">
                  <c:v>1576</c:v>
                </c:pt>
                <c:pt idx="571">
                  <c:v>1577</c:v>
                </c:pt>
                <c:pt idx="572">
                  <c:v>1578</c:v>
                </c:pt>
                <c:pt idx="573">
                  <c:v>1579</c:v>
                </c:pt>
                <c:pt idx="574">
                  <c:v>1580</c:v>
                </c:pt>
                <c:pt idx="575">
                  <c:v>1581</c:v>
                </c:pt>
                <c:pt idx="576">
                  <c:v>1582</c:v>
                </c:pt>
                <c:pt idx="577">
                  <c:v>1583</c:v>
                </c:pt>
                <c:pt idx="578">
                  <c:v>1584</c:v>
                </c:pt>
                <c:pt idx="579">
                  <c:v>1585</c:v>
                </c:pt>
                <c:pt idx="580">
                  <c:v>1586</c:v>
                </c:pt>
                <c:pt idx="581">
                  <c:v>1587</c:v>
                </c:pt>
                <c:pt idx="582">
                  <c:v>1588</c:v>
                </c:pt>
                <c:pt idx="583">
                  <c:v>1589</c:v>
                </c:pt>
                <c:pt idx="584">
                  <c:v>1590</c:v>
                </c:pt>
                <c:pt idx="585">
                  <c:v>1591</c:v>
                </c:pt>
                <c:pt idx="586">
                  <c:v>1592</c:v>
                </c:pt>
                <c:pt idx="587">
                  <c:v>1593</c:v>
                </c:pt>
                <c:pt idx="588">
                  <c:v>1594</c:v>
                </c:pt>
                <c:pt idx="589">
                  <c:v>1595</c:v>
                </c:pt>
                <c:pt idx="590">
                  <c:v>1596</c:v>
                </c:pt>
                <c:pt idx="591">
                  <c:v>1597</c:v>
                </c:pt>
                <c:pt idx="592">
                  <c:v>1598</c:v>
                </c:pt>
                <c:pt idx="593">
                  <c:v>1599</c:v>
                </c:pt>
              </c:strCache>
            </c:strRef>
          </c:cat>
          <c:val>
            <c:numRef>
              <c:f>Sheet6!$B$4:$B$598</c:f>
              <c:numCache>
                <c:formatCode>General</c:formatCode>
                <c:ptCount val="594"/>
                <c:pt idx="0">
                  <c:v>4554231</c:v>
                </c:pt>
                <c:pt idx="1">
                  <c:v>3835656</c:v>
                </c:pt>
                <c:pt idx="2">
                  <c:v>6750088</c:v>
                </c:pt>
                <c:pt idx="3">
                  <c:v>7562437</c:v>
                </c:pt>
                <c:pt idx="4">
                  <c:v>4353494</c:v>
                </c:pt>
                <c:pt idx="5">
                  <c:v>7592485</c:v>
                </c:pt>
                <c:pt idx="6">
                  <c:v>2734172</c:v>
                </c:pt>
                <c:pt idx="7">
                  <c:v>3165637</c:v>
                </c:pt>
                <c:pt idx="8">
                  <c:v>7377054</c:v>
                </c:pt>
                <c:pt idx="9">
                  <c:v>2312976</c:v>
                </c:pt>
                <c:pt idx="10">
                  <c:v>6243082</c:v>
                </c:pt>
                <c:pt idx="11">
                  <c:v>812191</c:v>
                </c:pt>
                <c:pt idx="12">
                  <c:v>4871482</c:v>
                </c:pt>
                <c:pt idx="13">
                  <c:v>2807556</c:v>
                </c:pt>
                <c:pt idx="14">
                  <c:v>5106653</c:v>
                </c:pt>
                <c:pt idx="15">
                  <c:v>7294491</c:v>
                </c:pt>
                <c:pt idx="16">
                  <c:v>2252838</c:v>
                </c:pt>
                <c:pt idx="17">
                  <c:v>7637633</c:v>
                </c:pt>
                <c:pt idx="18">
                  <c:v>2411900</c:v>
                </c:pt>
                <c:pt idx="19">
                  <c:v>2970996</c:v>
                </c:pt>
                <c:pt idx="20">
                  <c:v>4069038</c:v>
                </c:pt>
                <c:pt idx="21">
                  <c:v>1688286</c:v>
                </c:pt>
                <c:pt idx="22">
                  <c:v>1860363</c:v>
                </c:pt>
                <c:pt idx="23">
                  <c:v>7645111</c:v>
                </c:pt>
                <c:pt idx="24">
                  <c:v>5029599</c:v>
                </c:pt>
                <c:pt idx="25">
                  <c:v>6036135</c:v>
                </c:pt>
                <c:pt idx="26">
                  <c:v>5576793</c:v>
                </c:pt>
                <c:pt idx="27">
                  <c:v>4803481</c:v>
                </c:pt>
                <c:pt idx="28">
                  <c:v>2678692</c:v>
                </c:pt>
                <c:pt idx="29">
                  <c:v>6937283</c:v>
                </c:pt>
                <c:pt idx="30">
                  <c:v>7124112</c:v>
                </c:pt>
                <c:pt idx="31">
                  <c:v>7566024</c:v>
                </c:pt>
                <c:pt idx="32">
                  <c:v>7496851</c:v>
                </c:pt>
                <c:pt idx="33">
                  <c:v>6520361</c:v>
                </c:pt>
                <c:pt idx="34">
                  <c:v>4053862</c:v>
                </c:pt>
                <c:pt idx="35">
                  <c:v>6601656</c:v>
                </c:pt>
                <c:pt idx="36">
                  <c:v>6792284</c:v>
                </c:pt>
                <c:pt idx="37">
                  <c:v>7387553</c:v>
                </c:pt>
                <c:pt idx="38">
                  <c:v>992043</c:v>
                </c:pt>
                <c:pt idx="39">
                  <c:v>3787614</c:v>
                </c:pt>
                <c:pt idx="40">
                  <c:v>1092066</c:v>
                </c:pt>
                <c:pt idx="41">
                  <c:v>5993780</c:v>
                </c:pt>
                <c:pt idx="42">
                  <c:v>2332849</c:v>
                </c:pt>
                <c:pt idx="43">
                  <c:v>7246769</c:v>
                </c:pt>
                <c:pt idx="44">
                  <c:v>7642179</c:v>
                </c:pt>
                <c:pt idx="45">
                  <c:v>4397115</c:v>
                </c:pt>
                <c:pt idx="46">
                  <c:v>785827</c:v>
                </c:pt>
                <c:pt idx="47">
                  <c:v>7604553</c:v>
                </c:pt>
                <c:pt idx="48">
                  <c:v>4511708</c:v>
                </c:pt>
                <c:pt idx="49">
                  <c:v>7339566</c:v>
                </c:pt>
                <c:pt idx="50">
                  <c:v>5796476</c:v>
                </c:pt>
                <c:pt idx="51">
                  <c:v>2372415</c:v>
                </c:pt>
                <c:pt idx="52">
                  <c:v>6565662</c:v>
                </c:pt>
                <c:pt idx="53">
                  <c:v>4382603</c:v>
                </c:pt>
                <c:pt idx="54">
                  <c:v>6120167</c:v>
                </c:pt>
                <c:pt idx="55">
                  <c:v>7371794</c:v>
                </c:pt>
                <c:pt idx="56">
                  <c:v>3060255</c:v>
                </c:pt>
                <c:pt idx="57">
                  <c:v>5456580</c:v>
                </c:pt>
                <c:pt idx="58">
                  <c:v>6398995</c:v>
                </c:pt>
                <c:pt idx="59">
                  <c:v>6881936</c:v>
                </c:pt>
                <c:pt idx="60">
                  <c:v>6341438</c:v>
                </c:pt>
                <c:pt idx="61">
                  <c:v>3474480</c:v>
                </c:pt>
                <c:pt idx="62">
                  <c:v>7264977</c:v>
                </c:pt>
                <c:pt idx="63">
                  <c:v>5233337</c:v>
                </c:pt>
                <c:pt idx="64">
                  <c:v>6379871</c:v>
                </c:pt>
                <c:pt idx="65">
                  <c:v>7532683</c:v>
                </c:pt>
                <c:pt idx="66">
                  <c:v>7090038</c:v>
                </c:pt>
                <c:pt idx="67">
                  <c:v>3304331</c:v>
                </c:pt>
                <c:pt idx="68">
                  <c:v>5646918</c:v>
                </c:pt>
                <c:pt idx="69">
                  <c:v>7442381</c:v>
                </c:pt>
                <c:pt idx="70">
                  <c:v>3803711</c:v>
                </c:pt>
                <c:pt idx="71">
                  <c:v>6775475</c:v>
                </c:pt>
                <c:pt idx="72">
                  <c:v>221785</c:v>
                </c:pt>
                <c:pt idx="73">
                  <c:v>6141010</c:v>
                </c:pt>
                <c:pt idx="74">
                  <c:v>7103750</c:v>
                </c:pt>
                <c:pt idx="75">
                  <c:v>3252506</c:v>
                </c:pt>
                <c:pt idx="76">
                  <c:v>6502036</c:v>
                </c:pt>
                <c:pt idx="77">
                  <c:v>7558812</c:v>
                </c:pt>
                <c:pt idx="78">
                  <c:v>4440388</c:v>
                </c:pt>
                <c:pt idx="79">
                  <c:v>7221992</c:v>
                </c:pt>
                <c:pt idx="80">
                  <c:v>4844470</c:v>
                </c:pt>
                <c:pt idx="81">
                  <c:v>371931</c:v>
                </c:pt>
                <c:pt idx="82">
                  <c:v>6913709</c:v>
                </c:pt>
                <c:pt idx="83">
                  <c:v>2622433</c:v>
                </c:pt>
                <c:pt idx="84">
                  <c:v>4411565</c:v>
                </c:pt>
                <c:pt idx="85">
                  <c:v>4898236</c:v>
                </c:pt>
                <c:pt idx="86">
                  <c:v>5003649</c:v>
                </c:pt>
                <c:pt idx="87">
                  <c:v>6151419</c:v>
                </c:pt>
                <c:pt idx="88">
                  <c:v>7196653</c:v>
                </c:pt>
                <c:pt idx="89">
                  <c:v>1881750</c:v>
                </c:pt>
                <c:pt idx="90">
                  <c:v>7322980</c:v>
                </c:pt>
                <c:pt idx="91">
                  <c:v>7607303</c:v>
                </c:pt>
                <c:pt idx="92">
                  <c:v>4762314</c:v>
                </c:pt>
                <c:pt idx="93">
                  <c:v>5432177</c:v>
                </c:pt>
                <c:pt idx="94">
                  <c:v>6921586</c:v>
                </c:pt>
                <c:pt idx="95">
                  <c:v>4084204</c:v>
                </c:pt>
                <c:pt idx="96">
                  <c:v>1017205</c:v>
                </c:pt>
                <c:pt idx="97">
                  <c:v>7083140</c:v>
                </c:pt>
                <c:pt idx="98">
                  <c:v>6282717</c:v>
                </c:pt>
                <c:pt idx="99">
                  <c:v>2070058</c:v>
                </c:pt>
                <c:pt idx="100">
                  <c:v>5081015</c:v>
                </c:pt>
                <c:pt idx="101">
                  <c:v>3095558</c:v>
                </c:pt>
                <c:pt idx="102">
                  <c:v>6583684</c:v>
                </c:pt>
                <c:pt idx="103">
                  <c:v>4568262</c:v>
                </c:pt>
                <c:pt idx="104">
                  <c:v>4857979</c:v>
                </c:pt>
                <c:pt idx="105">
                  <c:v>5333320</c:v>
                </c:pt>
                <c:pt idx="106">
                  <c:v>1753178</c:v>
                </c:pt>
                <c:pt idx="107">
                  <c:v>7631994</c:v>
                </c:pt>
                <c:pt idx="108">
                  <c:v>4990631</c:v>
                </c:pt>
                <c:pt idx="109">
                  <c:v>6474260</c:v>
                </c:pt>
                <c:pt idx="110">
                  <c:v>705859</c:v>
                </c:pt>
                <c:pt idx="111">
                  <c:v>3440718</c:v>
                </c:pt>
                <c:pt idx="112">
                  <c:v>6698615</c:v>
                </c:pt>
                <c:pt idx="113">
                  <c:v>5704959</c:v>
                </c:pt>
                <c:pt idx="114">
                  <c:v>2431403</c:v>
                </c:pt>
                <c:pt idx="115">
                  <c:v>458866</c:v>
                </c:pt>
                <c:pt idx="116">
                  <c:v>2212587</c:v>
                </c:pt>
                <c:pt idx="117">
                  <c:v>4114503</c:v>
                </c:pt>
                <c:pt idx="118">
                  <c:v>7617849</c:v>
                </c:pt>
                <c:pt idx="119">
                  <c:v>1945207</c:v>
                </c:pt>
                <c:pt idx="120">
                  <c:v>7517036</c:v>
                </c:pt>
                <c:pt idx="121">
                  <c:v>4338774</c:v>
                </c:pt>
                <c:pt idx="122">
                  <c:v>7427806</c:v>
                </c:pt>
                <c:pt idx="123">
                  <c:v>4610200</c:v>
                </c:pt>
                <c:pt idx="124">
                  <c:v>3200493</c:v>
                </c:pt>
                <c:pt idx="125">
                  <c:v>3819707</c:v>
                </c:pt>
                <c:pt idx="126">
                  <c:v>2953031</c:v>
                </c:pt>
                <c:pt idx="127">
                  <c:v>542251</c:v>
                </c:pt>
                <c:pt idx="128">
                  <c:v>3042574</c:v>
                </c:pt>
                <c:pt idx="129">
                  <c:v>3992836</c:v>
                </c:pt>
                <c:pt idx="130">
                  <c:v>2697213</c:v>
                </c:pt>
                <c:pt idx="131">
                  <c:v>6689942</c:v>
                </c:pt>
                <c:pt idx="132">
                  <c:v>7627610</c:v>
                </c:pt>
                <c:pt idx="133">
                  <c:v>7620425</c:v>
                </c:pt>
                <c:pt idx="134">
                  <c:v>1578848</c:v>
                </c:pt>
                <c:pt idx="135">
                  <c:v>7048165</c:v>
                </c:pt>
                <c:pt idx="136">
                  <c:v>4425977</c:v>
                </c:pt>
                <c:pt idx="137">
                  <c:v>6975416</c:v>
                </c:pt>
                <c:pt idx="138">
                  <c:v>5144945</c:v>
                </c:pt>
                <c:pt idx="139">
                  <c:v>6929447</c:v>
                </c:pt>
                <c:pt idx="140">
                  <c:v>1774657</c:v>
                </c:pt>
                <c:pt idx="141">
                  <c:v>1067246</c:v>
                </c:pt>
                <c:pt idx="142">
                  <c:v>3574821</c:v>
                </c:pt>
                <c:pt idx="143">
                  <c:v>5358193</c:v>
                </c:pt>
                <c:pt idx="144">
                  <c:v>916136</c:v>
                </c:pt>
                <c:pt idx="145">
                  <c:v>6733027</c:v>
                </c:pt>
                <c:pt idx="146">
                  <c:v>2546823</c:v>
                </c:pt>
                <c:pt idx="147">
                  <c:v>7615242</c:v>
                </c:pt>
                <c:pt idx="148">
                  <c:v>6192524</c:v>
                </c:pt>
                <c:pt idx="149">
                  <c:v>7117351</c:v>
                </c:pt>
                <c:pt idx="150">
                  <c:v>3961982</c:v>
                </c:pt>
                <c:pt idx="151">
                  <c:v>32724</c:v>
                </c:pt>
                <c:pt idx="152">
                  <c:v>7170763</c:v>
                </c:pt>
                <c:pt idx="153">
                  <c:v>2049367</c:v>
                </c:pt>
                <c:pt idx="154">
                  <c:v>4977586</c:v>
                </c:pt>
                <c:pt idx="155">
                  <c:v>7345040</c:v>
                </c:pt>
                <c:pt idx="156">
                  <c:v>1534318</c:v>
                </c:pt>
                <c:pt idx="157">
                  <c:v>282606</c:v>
                </c:pt>
                <c:pt idx="158">
                  <c:v>732612</c:v>
                </c:pt>
                <c:pt idx="159">
                  <c:v>4190002</c:v>
                </c:pt>
                <c:pt idx="160">
                  <c:v>1307655</c:v>
                </c:pt>
                <c:pt idx="161">
                  <c:v>5068189</c:v>
                </c:pt>
                <c:pt idx="162">
                  <c:v>1838945</c:v>
                </c:pt>
                <c:pt idx="163">
                  <c:v>6322095</c:v>
                </c:pt>
                <c:pt idx="164">
                  <c:v>4497478</c:v>
                </c:pt>
                <c:pt idx="165">
                  <c:v>3024766</c:v>
                </c:pt>
                <c:pt idx="166">
                  <c:v>7437530</c:v>
                </c:pt>
                <c:pt idx="167">
                  <c:v>4789777</c:v>
                </c:pt>
                <c:pt idx="168">
                  <c:v>7644154</c:v>
                </c:pt>
                <c:pt idx="169">
                  <c:v>3657464</c:v>
                </c:pt>
                <c:pt idx="170">
                  <c:v>2450817</c:v>
                </c:pt>
                <c:pt idx="171">
                  <c:v>6272849</c:v>
                </c:pt>
                <c:pt idx="172">
                  <c:v>7177264</c:v>
                </c:pt>
                <c:pt idx="173">
                  <c:v>7019484</c:v>
                </c:pt>
                <c:pt idx="174">
                  <c:v>7157662</c:v>
                </c:pt>
                <c:pt idx="175">
                  <c:v>4638028</c:v>
                </c:pt>
                <c:pt idx="176">
                  <c:v>5940258</c:v>
                </c:pt>
                <c:pt idx="177">
                  <c:v>7215764</c:v>
                </c:pt>
                <c:pt idx="178">
                  <c:v>7645804</c:v>
                </c:pt>
                <c:pt idx="179">
                  <c:v>4023429</c:v>
                </c:pt>
                <c:pt idx="180">
                  <c:v>252329</c:v>
                </c:pt>
                <c:pt idx="181">
                  <c:v>6360703</c:v>
                </c:pt>
                <c:pt idx="182">
                  <c:v>7528796</c:v>
                </c:pt>
                <c:pt idx="183">
                  <c:v>7408069</c:v>
                </c:pt>
                <c:pt idx="184">
                  <c:v>7397994</c:v>
                </c:pt>
                <c:pt idx="185">
                  <c:v>678901</c:v>
                </c:pt>
                <c:pt idx="186">
                  <c:v>7470359</c:v>
                </c:pt>
                <c:pt idx="187">
                  <c:v>941519</c:v>
                </c:pt>
                <c:pt idx="188">
                  <c:v>6046676</c:v>
                </c:pt>
                <c:pt idx="189">
                  <c:v>1644801</c:v>
                </c:pt>
                <c:pt idx="190">
                  <c:v>7595594</c:v>
                </c:pt>
                <c:pt idx="191">
                  <c:v>4129638</c:v>
                </c:pt>
                <c:pt idx="192">
                  <c:v>6663780</c:v>
                </c:pt>
                <c:pt idx="193">
                  <c:v>838498</c:v>
                </c:pt>
                <c:pt idx="194">
                  <c:v>2752594</c:v>
                </c:pt>
                <c:pt idx="195">
                  <c:v>7586163</c:v>
                </c:pt>
                <c:pt idx="196">
                  <c:v>7004932</c:v>
                </c:pt>
                <c:pt idx="197">
                  <c:v>1353570</c:v>
                </c:pt>
                <c:pt idx="198">
                  <c:v>3641001</c:v>
                </c:pt>
                <c:pt idx="199">
                  <c:v>2715710</c:v>
                </c:pt>
                <c:pt idx="200">
                  <c:v>4938093</c:v>
                </c:pt>
                <c:pt idx="201">
                  <c:v>7190210</c:v>
                </c:pt>
                <c:pt idx="202">
                  <c:v>7447115</c:v>
                </c:pt>
                <c:pt idx="203">
                  <c:v>5830205</c:v>
                </c:pt>
                <c:pt idx="204">
                  <c:v>7026732</c:v>
                </c:pt>
                <c:pt idx="205">
                  <c:v>6025572</c:v>
                </c:pt>
                <c:pt idx="206">
                  <c:v>6715890</c:v>
                </c:pt>
                <c:pt idx="207">
                  <c:v>6849867</c:v>
                </c:pt>
                <c:pt idx="208">
                  <c:v>7640799</c:v>
                </c:pt>
                <c:pt idx="209">
                  <c:v>2660043</c:v>
                </c:pt>
                <c:pt idx="210">
                  <c:v>2880505</c:v>
                </c:pt>
                <c:pt idx="211">
                  <c:v>6655006</c:v>
                </c:pt>
                <c:pt idx="212">
                  <c:v>1141450</c:v>
                </c:pt>
                <c:pt idx="213">
                  <c:v>3755354</c:v>
                </c:pt>
                <c:pt idx="214">
                  <c:v>2352643</c:v>
                </c:pt>
                <c:pt idx="215">
                  <c:v>7625267</c:v>
                </c:pt>
                <c:pt idx="216">
                  <c:v>1237251</c:v>
                </c:pt>
                <c:pt idx="217">
                  <c:v>7355835</c:v>
                </c:pt>
                <c:pt idx="218">
                  <c:v>5972470</c:v>
                </c:pt>
                <c:pt idx="219">
                  <c:v>159474</c:v>
                </c:pt>
                <c:pt idx="220">
                  <c:v>5670183</c:v>
                </c:pt>
                <c:pt idx="221">
                  <c:v>5611938</c:v>
                </c:pt>
                <c:pt idx="222">
                  <c:v>1189840</c:v>
                </c:pt>
                <c:pt idx="223">
                  <c:v>2489495</c:v>
                </c:pt>
                <c:pt idx="224">
                  <c:v>5819006</c:v>
                </c:pt>
                <c:pt idx="225">
                  <c:v>3722883</c:v>
                </c:pt>
                <c:pt idx="226">
                  <c:v>6212860</c:v>
                </c:pt>
                <c:pt idx="227">
                  <c:v>2470175</c:v>
                </c:pt>
                <c:pt idx="228">
                  <c:v>7076230</c:v>
                </c:pt>
                <c:pt idx="229">
                  <c:v>430079</c:v>
                </c:pt>
                <c:pt idx="230">
                  <c:v>6172019</c:v>
                </c:pt>
                <c:pt idx="231">
                  <c:v>6312271</c:v>
                </c:pt>
                <c:pt idx="232">
                  <c:v>6833536</c:v>
                </c:pt>
                <c:pt idx="233">
                  <c:v>6389435</c:v>
                </c:pt>
                <c:pt idx="234">
                  <c:v>7417994</c:v>
                </c:pt>
                <c:pt idx="235">
                  <c:v>4159896</c:v>
                </c:pt>
                <c:pt idx="236">
                  <c:v>7536513</c:v>
                </c:pt>
                <c:pt idx="237">
                  <c:v>6492813</c:v>
                </c:pt>
                <c:pt idx="238">
                  <c:v>1330725</c:v>
                </c:pt>
                <c:pt idx="239">
                  <c:v>4309215</c:v>
                </c:pt>
                <c:pt idx="240">
                  <c:v>5681802</c:v>
                </c:pt>
                <c:pt idx="241">
                  <c:v>7361193</c:v>
                </c:pt>
                <c:pt idx="242">
                  <c:v>6592682</c:v>
                </c:pt>
                <c:pt idx="243">
                  <c:v>5762430</c:v>
                </c:pt>
                <c:pt idx="244">
                  <c:v>7432676</c:v>
                </c:pt>
                <c:pt idx="245">
                  <c:v>7474917</c:v>
                </c:pt>
                <c:pt idx="246">
                  <c:v>5517261</c:v>
                </c:pt>
                <c:pt idx="247">
                  <c:v>2825842</c:v>
                </c:pt>
                <c:pt idx="248">
                  <c:v>7622871</c:v>
                </c:pt>
                <c:pt idx="249">
                  <c:v>1987077</c:v>
                </c:pt>
                <c:pt idx="250">
                  <c:v>2192435</c:v>
                </c:pt>
                <c:pt idx="251">
                  <c:v>7639217</c:v>
                </c:pt>
                <c:pt idx="252">
                  <c:v>5896802</c:v>
                </c:pt>
                <c:pt idx="253">
                  <c:v>7382312</c:v>
                </c:pt>
                <c:pt idx="254">
                  <c:v>6547593</c:v>
                </c:pt>
                <c:pt idx="255">
                  <c:v>5468746</c:v>
                </c:pt>
                <c:pt idx="256">
                  <c:v>1622839</c:v>
                </c:pt>
                <c:pt idx="257">
                  <c:v>1166050</c:v>
                </c:pt>
                <c:pt idx="258">
                  <c:v>5623636</c:v>
                </c:pt>
                <c:pt idx="259">
                  <c:v>5407650</c:v>
                </c:pt>
                <c:pt idx="260">
                  <c:v>5395318</c:v>
                </c:pt>
                <c:pt idx="261">
                  <c:v>5773790</c:v>
                </c:pt>
                <c:pt idx="262">
                  <c:v>5055347</c:v>
                </c:pt>
                <c:pt idx="263">
                  <c:v>7555145</c:v>
                </c:pt>
                <c:pt idx="264">
                  <c:v>514730</c:v>
                </c:pt>
                <c:pt idx="265">
                  <c:v>7306034</c:v>
                </c:pt>
                <c:pt idx="266">
                  <c:v>6681250</c:v>
                </c:pt>
                <c:pt idx="267">
                  <c:v>6825361</c:v>
                </c:pt>
                <c:pt idx="268">
                  <c:v>7579783</c:v>
                </c:pt>
                <c:pt idx="269">
                  <c:v>1260863</c:v>
                </c:pt>
                <c:pt idx="270">
                  <c:v>4884864</c:v>
                </c:pt>
                <c:pt idx="271">
                  <c:v>7270993</c:v>
                </c:pt>
                <c:pt idx="272">
                  <c:v>5751055</c:v>
                </c:pt>
                <c:pt idx="273">
                  <c:v>1284418</c:v>
                </c:pt>
                <c:pt idx="274">
                  <c:v>6464957</c:v>
                </c:pt>
                <c:pt idx="275">
                  <c:v>6511204</c:v>
                </c:pt>
                <c:pt idx="276">
                  <c:v>4748564</c:v>
                </c:pt>
                <c:pt idx="277">
                  <c:v>4099362</c:v>
                </c:pt>
                <c:pt idx="278">
                  <c:v>7276978</c:v>
                </c:pt>
                <c:pt idx="279">
                  <c:v>3706615</c:v>
                </c:pt>
                <c:pt idx="280">
                  <c:v>5444411</c:v>
                </c:pt>
                <c:pt idx="281">
                  <c:v>1489503</c:v>
                </c:pt>
                <c:pt idx="282">
                  <c:v>3457607</c:v>
                </c:pt>
                <c:pt idx="283">
                  <c:v>5529269</c:v>
                </c:pt>
                <c:pt idx="284">
                  <c:v>342343</c:v>
                </c:pt>
                <c:pt idx="285">
                  <c:v>2007858</c:v>
                </c:pt>
                <c:pt idx="286">
                  <c:v>6529454</c:v>
                </c:pt>
                <c:pt idx="287">
                  <c:v>6455588</c:v>
                </c:pt>
                <c:pt idx="288">
                  <c:v>7164220</c:v>
                </c:pt>
                <c:pt idx="289">
                  <c:v>5195597</c:v>
                </c:pt>
                <c:pt idx="290">
                  <c:v>4582261</c:v>
                </c:pt>
                <c:pt idx="291">
                  <c:v>6067722</c:v>
                </c:pt>
                <c:pt idx="292">
                  <c:v>3389883</c:v>
                </c:pt>
                <c:pt idx="293">
                  <c:v>7403067</c:v>
                </c:pt>
                <c:pt idx="294">
                  <c:v>6370298</c:v>
                </c:pt>
                <c:pt idx="295">
                  <c:v>7012212</c:v>
                </c:pt>
                <c:pt idx="296">
                  <c:v>2508729</c:v>
                </c:pt>
                <c:pt idx="297">
                  <c:v>190971</c:v>
                </c:pt>
                <c:pt idx="298">
                  <c:v>1213592</c:v>
                </c:pt>
                <c:pt idx="299">
                  <c:v>5635277</c:v>
                </c:pt>
                <c:pt idx="300">
                  <c:v>2111051</c:v>
                </c:pt>
                <c:pt idx="301">
                  <c:v>4174972</c:v>
                </c:pt>
                <c:pt idx="302">
                  <c:v>7300269</c:v>
                </c:pt>
                <c:pt idx="303">
                  <c:v>6952727</c:v>
                </c:pt>
                <c:pt idx="304">
                  <c:v>6202717</c:v>
                </c:pt>
                <c:pt idx="305">
                  <c:v>7576460</c:v>
                </c:pt>
                <c:pt idx="306">
                  <c:v>5874725</c:v>
                </c:pt>
                <c:pt idx="307">
                  <c:v>6538541</c:v>
                </c:pt>
                <c:pt idx="308">
                  <c:v>2131478</c:v>
                </c:pt>
                <c:pt idx="309">
                  <c:v>3113131</c:v>
                </c:pt>
                <c:pt idx="310">
                  <c:v>7451828</c:v>
                </c:pt>
                <c:pt idx="311">
                  <c:v>6161735</c:v>
                </c:pt>
                <c:pt idx="312">
                  <c:v>7646666</c:v>
                </c:pt>
                <c:pt idx="313">
                  <c:v>624479</c:v>
                </c:pt>
                <c:pt idx="314">
                  <c:v>7634052</c:v>
                </c:pt>
                <c:pt idx="315">
                  <c:v>2527801</c:v>
                </c:pt>
                <c:pt idx="316">
                  <c:v>5157644</c:v>
                </c:pt>
                <c:pt idx="317">
                  <c:v>7461195</c:v>
                </c:pt>
                <c:pt idx="318">
                  <c:v>3130692</c:v>
                </c:pt>
                <c:pt idx="319">
                  <c:v>5807784</c:v>
                </c:pt>
                <c:pt idx="320">
                  <c:v>6078236</c:v>
                </c:pt>
                <c:pt idx="321">
                  <c:v>4924848</c:v>
                </c:pt>
                <c:pt idx="322">
                  <c:v>5658553</c:v>
                </c:pt>
                <c:pt idx="323">
                  <c:v>6427404</c:v>
                </c:pt>
                <c:pt idx="324">
                  <c:v>4693424</c:v>
                </c:pt>
                <c:pt idx="325">
                  <c:v>4454694</c:v>
                </c:pt>
                <c:pt idx="326">
                  <c:v>6015002</c:v>
                </c:pt>
                <c:pt idx="327">
                  <c:v>7240600</c:v>
                </c:pt>
                <c:pt idx="328">
                  <c:v>7598640</c:v>
                </c:pt>
                <c:pt idx="329">
                  <c:v>4525923</c:v>
                </c:pt>
                <c:pt idx="330">
                  <c:v>3355793</c:v>
                </c:pt>
                <c:pt idx="331">
                  <c:v>4483232</c:v>
                </c:pt>
                <c:pt idx="332">
                  <c:v>3508075</c:v>
                </c:pt>
                <c:pt idx="333">
                  <c:v>2232717</c:v>
                </c:pt>
                <c:pt idx="334">
                  <c:v>7392789</c:v>
                </c:pt>
                <c:pt idx="335">
                  <c:v>6417965</c:v>
                </c:pt>
                <c:pt idx="336">
                  <c:v>6619572</c:v>
                </c:pt>
                <c:pt idx="337">
                  <c:v>127870</c:v>
                </c:pt>
                <c:pt idx="338">
                  <c:v>5295901</c:v>
                </c:pt>
                <c:pt idx="339">
                  <c:v>312563</c:v>
                </c:pt>
                <c:pt idx="340">
                  <c:v>6408498</c:v>
                </c:pt>
                <c:pt idx="341">
                  <c:v>3771515</c:v>
                </c:pt>
                <c:pt idx="342">
                  <c:v>7573052</c:v>
                </c:pt>
                <c:pt idx="343">
                  <c:v>4324025</c:v>
                </c:pt>
                <c:pt idx="344">
                  <c:v>966843</c:v>
                </c:pt>
                <c:pt idx="345">
                  <c:v>4665765</c:v>
                </c:pt>
                <c:pt idx="346">
                  <c:v>7288700</c:v>
                </c:pt>
                <c:pt idx="347">
                  <c:v>7612633</c:v>
                </c:pt>
                <c:pt idx="348">
                  <c:v>5208224</c:v>
                </c:pt>
                <c:pt idx="349">
                  <c:v>3591449</c:v>
                </c:pt>
                <c:pt idx="350">
                  <c:v>7547796</c:v>
                </c:pt>
                <c:pt idx="351">
                  <c:v>4294404</c:v>
                </c:pt>
                <c:pt idx="352">
                  <c:v>7228218</c:v>
                </c:pt>
                <c:pt idx="353">
                  <c:v>5588513</c:v>
                </c:pt>
                <c:pt idx="354">
                  <c:v>4234903</c:v>
                </c:pt>
                <c:pt idx="355">
                  <c:v>4279582</c:v>
                </c:pt>
                <c:pt idx="356">
                  <c:v>4264724</c:v>
                </c:pt>
                <c:pt idx="357">
                  <c:v>7144286</c:v>
                </c:pt>
                <c:pt idx="358">
                  <c:v>1466970</c:v>
                </c:pt>
                <c:pt idx="359">
                  <c:v>2151869</c:v>
                </c:pt>
                <c:pt idx="360">
                  <c:v>1902990</c:v>
                </c:pt>
                <c:pt idx="361">
                  <c:v>6262979</c:v>
                </c:pt>
                <c:pt idx="362">
                  <c:v>6628458</c:v>
                </c:pt>
                <c:pt idx="363">
                  <c:v>7635996</c:v>
                </c:pt>
                <c:pt idx="364">
                  <c:v>6302425</c:v>
                </c:pt>
                <c:pt idx="365">
                  <c:v>6556639</c:v>
                </c:pt>
                <c:pt idx="366">
                  <c:v>4951309</c:v>
                </c:pt>
                <c:pt idx="367">
                  <c:v>6483546</c:v>
                </c:pt>
                <c:pt idx="368">
                  <c:v>5929441</c:v>
                </c:pt>
                <c:pt idx="369">
                  <c:v>1511916</c:v>
                </c:pt>
                <c:pt idx="370">
                  <c:v>3338671</c:v>
                </c:pt>
                <c:pt idx="371">
                  <c:v>1600861</c:v>
                </c:pt>
                <c:pt idx="372">
                  <c:v>3977481</c:v>
                </c:pt>
                <c:pt idx="373">
                  <c:v>1924165</c:v>
                </c:pt>
                <c:pt idx="374">
                  <c:v>5841355</c:v>
                </c:pt>
                <c:pt idx="375">
                  <c:v>1709948</c:v>
                </c:pt>
                <c:pt idx="376">
                  <c:v>1556714</c:v>
                </c:pt>
                <c:pt idx="377">
                  <c:v>5907740</c:v>
                </c:pt>
                <c:pt idx="378">
                  <c:v>6982827</c:v>
                </c:pt>
                <c:pt idx="379">
                  <c:v>7096915</c:v>
                </c:pt>
                <c:pt idx="380">
                  <c:v>4368056</c:v>
                </c:pt>
                <c:pt idx="381">
                  <c:v>2392176</c:v>
                </c:pt>
                <c:pt idx="382">
                  <c:v>3321531</c:v>
                </c:pt>
                <c:pt idx="383">
                  <c:v>7282845</c:v>
                </c:pt>
                <c:pt idx="384">
                  <c:v>7492599</c:v>
                </c:pt>
                <c:pt idx="385">
                  <c:v>5600228</c:v>
                </c:pt>
                <c:pt idx="386">
                  <c:v>3624506</c:v>
                </c:pt>
                <c:pt idx="387">
                  <c:v>3541515</c:v>
                </c:pt>
                <c:pt idx="388">
                  <c:v>5553186</c:v>
                </c:pt>
                <c:pt idx="389">
                  <c:v>6905828</c:v>
                </c:pt>
                <c:pt idx="390">
                  <c:v>5565068</c:v>
                </c:pt>
                <c:pt idx="391">
                  <c:v>6783906</c:v>
                </c:pt>
                <c:pt idx="392">
                  <c:v>3287069</c:v>
                </c:pt>
                <c:pt idx="393">
                  <c:v>6004415</c:v>
                </c:pt>
                <c:pt idx="394">
                  <c:v>1444399</c:v>
                </c:pt>
                <c:pt idx="395">
                  <c:v>4721025</c:v>
                </c:pt>
                <c:pt idx="396">
                  <c:v>569743</c:v>
                </c:pt>
                <c:pt idx="397">
                  <c:v>7041051</c:v>
                </c:pt>
                <c:pt idx="398">
                  <c:v>6945020</c:v>
                </c:pt>
                <c:pt idx="399">
                  <c:v>5693381</c:v>
                </c:pt>
                <c:pt idx="400">
                  <c:v>2898714</c:v>
                </c:pt>
                <c:pt idx="401">
                  <c:v>4624123</c:v>
                </c:pt>
                <c:pt idx="402">
                  <c:v>2272903</c:v>
                </c:pt>
                <c:pt idx="403">
                  <c:v>5016646</c:v>
                </c:pt>
                <c:pt idx="404">
                  <c:v>7413055</c:v>
                </c:pt>
                <c:pt idx="405">
                  <c:v>5961777</c:v>
                </c:pt>
                <c:pt idx="406">
                  <c:v>7350468</c:v>
                </c:pt>
                <c:pt idx="407">
                  <c:v>7137584</c:v>
                </c:pt>
                <c:pt idx="408">
                  <c:v>7629892</c:v>
                </c:pt>
                <c:pt idx="409">
                  <c:v>3077925</c:v>
                </c:pt>
                <c:pt idx="410">
                  <c:v>4734804</c:v>
                </c:pt>
                <c:pt idx="411">
                  <c:v>5382965</c:v>
                </c:pt>
                <c:pt idx="412">
                  <c:v>6057202</c:v>
                </c:pt>
                <c:pt idx="413">
                  <c:v>6724484</c:v>
                </c:pt>
                <c:pt idx="414">
                  <c:v>5419921</c:v>
                </c:pt>
                <c:pt idx="415">
                  <c:v>1817518</c:v>
                </c:pt>
                <c:pt idx="416">
                  <c:v>7328553</c:v>
                </c:pt>
                <c:pt idx="417">
                  <c:v>3148176</c:v>
                </c:pt>
                <c:pt idx="418">
                  <c:v>7456523</c:v>
                </c:pt>
                <c:pt idx="419">
                  <c:v>4144773</c:v>
                </c:pt>
                <c:pt idx="420">
                  <c:v>5182964</c:v>
                </c:pt>
                <c:pt idx="421">
                  <c:v>4776053</c:v>
                </c:pt>
                <c:pt idx="422">
                  <c:v>2565747</c:v>
                </c:pt>
                <c:pt idx="423">
                  <c:v>5493039</c:v>
                </c:pt>
                <c:pt idx="424">
                  <c:v>5951031</c:v>
                </c:pt>
                <c:pt idx="425">
                  <c:v>7110577</c:v>
                </c:pt>
                <c:pt idx="426">
                  <c:v>6857936</c:v>
                </c:pt>
                <c:pt idx="427">
                  <c:v>1796089</c:v>
                </c:pt>
                <c:pt idx="428">
                  <c:v>6960363</c:v>
                </c:pt>
                <c:pt idx="429">
                  <c:v>64553</c:v>
                </c:pt>
                <c:pt idx="430">
                  <c:v>1666554</c:v>
                </c:pt>
                <c:pt idx="431">
                  <c:v>4249824</c:v>
                </c:pt>
                <c:pt idx="432">
                  <c:v>6990218</c:v>
                </c:pt>
                <c:pt idx="433">
                  <c:v>7252894</c:v>
                </c:pt>
                <c:pt idx="434">
                  <c:v>5345760</c:v>
                </c:pt>
                <c:pt idx="435">
                  <c:v>1376378</c:v>
                </c:pt>
                <c:pt idx="436">
                  <c:v>3914968</c:v>
                </c:pt>
                <c:pt idx="437">
                  <c:v>3930732</c:v>
                </c:pt>
                <c:pt idx="438">
                  <c:v>7483914</c:v>
                </c:pt>
                <c:pt idx="439">
                  <c:v>4679608</c:v>
                </c:pt>
                <c:pt idx="440">
                  <c:v>6610620</c:v>
                </c:pt>
                <c:pt idx="441">
                  <c:v>5785136</c:v>
                </c:pt>
                <c:pt idx="442">
                  <c:v>6223003</c:v>
                </c:pt>
                <c:pt idx="443">
                  <c:v>3217842</c:v>
                </c:pt>
                <c:pt idx="444">
                  <c:v>2641261</c:v>
                </c:pt>
                <c:pt idx="445">
                  <c:v>6637343</c:v>
                </c:pt>
                <c:pt idx="446">
                  <c:v>7055255</c:v>
                </c:pt>
                <c:pt idx="447">
                  <c:v>6233088</c:v>
                </c:pt>
                <c:pt idx="448">
                  <c:v>6130592</c:v>
                </c:pt>
                <c:pt idx="449">
                  <c:v>1399085</c:v>
                </c:pt>
                <c:pt idx="450">
                  <c:v>3372906</c:v>
                </c:pt>
                <c:pt idx="451">
                  <c:v>5983127</c:v>
                </c:pt>
                <c:pt idx="452">
                  <c:v>7465785</c:v>
                </c:pt>
                <c:pt idx="453">
                  <c:v>2916890</c:v>
                </c:pt>
                <c:pt idx="454">
                  <c:v>3851584</c:v>
                </c:pt>
                <c:pt idx="455">
                  <c:v>6351072</c:v>
                </c:pt>
                <c:pt idx="456">
                  <c:v>6646219</c:v>
                </c:pt>
                <c:pt idx="457">
                  <c:v>4651902</c:v>
                </c:pt>
                <c:pt idx="458">
                  <c:v>7643178</c:v>
                </c:pt>
                <c:pt idx="459">
                  <c:v>7589338</c:v>
                </c:pt>
                <c:pt idx="460">
                  <c:v>1966247</c:v>
                </c:pt>
                <c:pt idx="461">
                  <c:v>4038652</c:v>
                </c:pt>
                <c:pt idx="462">
                  <c:v>7569552</c:v>
                </c:pt>
                <c:pt idx="463">
                  <c:v>4219975</c:v>
                </c:pt>
                <c:pt idx="464">
                  <c:v>6707259</c:v>
                </c:pt>
                <c:pt idx="465">
                  <c:v>3946431</c:v>
                </c:pt>
                <c:pt idx="466">
                  <c:v>7033898</c:v>
                </c:pt>
                <c:pt idx="467">
                  <c:v>3673880</c:v>
                </c:pt>
                <c:pt idx="468">
                  <c:v>2028639</c:v>
                </c:pt>
                <c:pt idx="469">
                  <c:v>5728083</c:v>
                </c:pt>
                <c:pt idx="470">
                  <c:v>96245</c:v>
                </c:pt>
                <c:pt idx="471">
                  <c:v>1731597</c:v>
                </c:pt>
                <c:pt idx="472">
                  <c:v>7601634</c:v>
                </c:pt>
                <c:pt idx="473">
                  <c:v>7505022</c:v>
                </c:pt>
                <c:pt idx="474">
                  <c:v>7509034</c:v>
                </c:pt>
                <c:pt idx="475">
                  <c:v>6897872</c:v>
                </c:pt>
                <c:pt idx="476">
                  <c:v>6808928</c:v>
                </c:pt>
                <c:pt idx="477">
                  <c:v>2988949</c:v>
                </c:pt>
                <c:pt idx="478">
                  <c:v>7234414</c:v>
                </c:pt>
                <c:pt idx="479">
                  <c:v>3558169</c:v>
                </c:pt>
                <c:pt idx="480">
                  <c:v>5885782</c:v>
                </c:pt>
                <c:pt idx="481">
                  <c:v>7520978</c:v>
                </c:pt>
                <c:pt idx="482">
                  <c:v>5170323</c:v>
                </c:pt>
                <c:pt idx="483">
                  <c:v>5480901</c:v>
                </c:pt>
                <c:pt idx="484">
                  <c:v>4707228</c:v>
                </c:pt>
                <c:pt idx="485">
                  <c:v>6253047</c:v>
                </c:pt>
                <c:pt idx="486">
                  <c:v>5308393</c:v>
                </c:pt>
                <c:pt idx="487">
                  <c:v>5220802</c:v>
                </c:pt>
                <c:pt idx="488">
                  <c:v>759250</c:v>
                </c:pt>
                <c:pt idx="489">
                  <c:v>5505177</c:v>
                </c:pt>
                <c:pt idx="490">
                  <c:v>7551474</c:v>
                </c:pt>
                <c:pt idx="491">
                  <c:v>1042310</c:v>
                </c:pt>
                <c:pt idx="492">
                  <c:v>7524905</c:v>
                </c:pt>
                <c:pt idx="493">
                  <c:v>4817161</c:v>
                </c:pt>
                <c:pt idx="494">
                  <c:v>890518</c:v>
                </c:pt>
                <c:pt idx="495">
                  <c:v>2862285</c:v>
                </c:pt>
                <c:pt idx="496">
                  <c:v>6109716</c:v>
                </c:pt>
                <c:pt idx="497">
                  <c:v>4830836</c:v>
                </c:pt>
                <c:pt idx="498">
                  <c:v>5320864</c:v>
                </c:pt>
                <c:pt idx="499">
                  <c:v>4596256</c:v>
                </c:pt>
                <c:pt idx="500">
                  <c:v>2292940</c:v>
                </c:pt>
                <c:pt idx="501">
                  <c:v>7311778</c:v>
                </c:pt>
                <c:pt idx="502">
                  <c:v>5132239</c:v>
                </c:pt>
                <c:pt idx="503">
                  <c:v>6767038</c:v>
                </c:pt>
                <c:pt idx="504">
                  <c:v>7258948</c:v>
                </c:pt>
                <c:pt idx="505">
                  <c:v>3883359</c:v>
                </c:pt>
                <c:pt idx="506">
                  <c:v>7513037</c:v>
                </c:pt>
                <c:pt idx="507">
                  <c:v>7130855</c:v>
                </c:pt>
                <c:pt idx="508">
                  <c:v>6292577</c:v>
                </c:pt>
                <c:pt idx="509">
                  <c:v>3524855</c:v>
                </c:pt>
                <c:pt idx="510">
                  <c:v>2603552</c:v>
                </c:pt>
                <c:pt idx="511">
                  <c:v>651722</c:v>
                </c:pt>
                <c:pt idx="512">
                  <c:v>5852502</c:v>
                </c:pt>
                <c:pt idx="513">
                  <c:v>5370601</c:v>
                </c:pt>
                <c:pt idx="514">
                  <c:v>3269796</c:v>
                </c:pt>
                <c:pt idx="515">
                  <c:v>2789261</c:v>
                </c:pt>
                <c:pt idx="516">
                  <c:v>6841710</c:v>
                </c:pt>
                <c:pt idx="517">
                  <c:v>6574676</c:v>
                </c:pt>
                <c:pt idx="518">
                  <c:v>1116792</c:v>
                </c:pt>
                <c:pt idx="519">
                  <c:v>5541276</c:v>
                </c:pt>
                <c:pt idx="520">
                  <c:v>401259</c:v>
                </c:pt>
                <c:pt idx="521">
                  <c:v>7366504</c:v>
                </c:pt>
                <c:pt idx="522">
                  <c:v>7422915</c:v>
                </c:pt>
                <c:pt idx="523">
                  <c:v>5119450</c:v>
                </c:pt>
                <c:pt idx="524">
                  <c:v>7479457</c:v>
                </c:pt>
                <c:pt idx="525">
                  <c:v>7544103</c:v>
                </c:pt>
                <c:pt idx="526">
                  <c:v>4468976</c:v>
                </c:pt>
                <c:pt idx="527">
                  <c:v>4205025</c:v>
                </c:pt>
                <c:pt idx="528">
                  <c:v>7334076</c:v>
                </c:pt>
                <c:pt idx="529">
                  <c:v>7203093</c:v>
                </c:pt>
                <c:pt idx="530">
                  <c:v>6889907</c:v>
                </c:pt>
                <c:pt idx="531">
                  <c:v>864667</c:v>
                </c:pt>
                <c:pt idx="532">
                  <c:v>5270888</c:v>
                </c:pt>
                <c:pt idx="533">
                  <c:v>6997596</c:v>
                </c:pt>
                <c:pt idx="534">
                  <c:v>7183737</c:v>
                </c:pt>
                <c:pt idx="535">
                  <c:v>7610013</c:v>
                </c:pt>
                <c:pt idx="536">
                  <c:v>4964509</c:v>
                </c:pt>
                <c:pt idx="537">
                  <c:v>7582973</c:v>
                </c:pt>
                <c:pt idx="538">
                  <c:v>6182284</c:v>
                </c:pt>
                <c:pt idx="539">
                  <c:v>7646891</c:v>
                </c:pt>
                <c:pt idx="540">
                  <c:v>3423782</c:v>
                </c:pt>
                <c:pt idx="541">
                  <c:v>3183065</c:v>
                </c:pt>
                <c:pt idx="542">
                  <c:v>2844065</c:v>
                </c:pt>
                <c:pt idx="543">
                  <c:v>6758582</c:v>
                </c:pt>
                <c:pt idx="544">
                  <c:v>3006887</c:v>
                </c:pt>
                <c:pt idx="545">
                  <c:v>2090607</c:v>
                </c:pt>
                <c:pt idx="546">
                  <c:v>6865948</c:v>
                </c:pt>
                <c:pt idx="547">
                  <c:v>5245863</c:v>
                </c:pt>
                <c:pt idx="548">
                  <c:v>487020</c:v>
                </c:pt>
                <c:pt idx="549">
                  <c:v>7540324</c:v>
                </c:pt>
                <c:pt idx="550">
                  <c:v>5716531</c:v>
                </c:pt>
                <c:pt idx="551">
                  <c:v>3867476</c:v>
                </c:pt>
                <c:pt idx="552">
                  <c:v>3607984</c:v>
                </c:pt>
                <c:pt idx="553">
                  <c:v>2935000</c:v>
                </c:pt>
                <c:pt idx="554">
                  <c:v>7069299</c:v>
                </c:pt>
                <c:pt idx="555">
                  <c:v>597137</c:v>
                </c:pt>
                <c:pt idx="556">
                  <c:v>5258376</c:v>
                </c:pt>
                <c:pt idx="557">
                  <c:v>2770960</c:v>
                </c:pt>
                <c:pt idx="558">
                  <c:v>3235184</c:v>
                </c:pt>
                <c:pt idx="559">
                  <c:v>6873949</c:v>
                </c:pt>
                <c:pt idx="560">
                  <c:v>1421770</c:v>
                </c:pt>
                <c:pt idx="561">
                  <c:v>6088742</c:v>
                </c:pt>
                <c:pt idx="562">
                  <c:v>6800654</c:v>
                </c:pt>
                <c:pt idx="563">
                  <c:v>6446208</c:v>
                </c:pt>
                <c:pt idx="564">
                  <c:v>6817162</c:v>
                </c:pt>
                <c:pt idx="565">
                  <c:v>4008190</c:v>
                </c:pt>
                <c:pt idx="566">
                  <c:v>3690279</c:v>
                </c:pt>
                <c:pt idx="567">
                  <c:v>2584654</c:v>
                </c:pt>
                <c:pt idx="568">
                  <c:v>2172256</c:v>
                </c:pt>
                <c:pt idx="569">
                  <c:v>3491286</c:v>
                </c:pt>
                <c:pt idx="570">
                  <c:v>6967993</c:v>
                </c:pt>
                <c:pt idx="571">
                  <c:v>6099236</c:v>
                </c:pt>
                <c:pt idx="572">
                  <c:v>5042485</c:v>
                </c:pt>
                <c:pt idx="573">
                  <c:v>4911585</c:v>
                </c:pt>
                <c:pt idx="574">
                  <c:v>5739621</c:v>
                </c:pt>
                <c:pt idx="575">
                  <c:v>5093838</c:v>
                </c:pt>
                <c:pt idx="576">
                  <c:v>5918604</c:v>
                </c:pt>
                <c:pt idx="577">
                  <c:v>7500987</c:v>
                </c:pt>
                <c:pt idx="578">
                  <c:v>3406833</c:v>
                </c:pt>
                <c:pt idx="579">
                  <c:v>5863626</c:v>
                </c:pt>
                <c:pt idx="580">
                  <c:v>6436812</c:v>
                </c:pt>
                <c:pt idx="581">
                  <c:v>6331768</c:v>
                </c:pt>
                <c:pt idx="582">
                  <c:v>4540124</c:v>
                </c:pt>
                <c:pt idx="583">
                  <c:v>7062304</c:v>
                </c:pt>
                <c:pt idx="584">
                  <c:v>6672535</c:v>
                </c:pt>
                <c:pt idx="585">
                  <c:v>7317406</c:v>
                </c:pt>
                <c:pt idx="586">
                  <c:v>7150981</c:v>
                </c:pt>
                <c:pt idx="587">
                  <c:v>6741565</c:v>
                </c:pt>
                <c:pt idx="588">
                  <c:v>3899190</c:v>
                </c:pt>
                <c:pt idx="589">
                  <c:v>7646250</c:v>
                </c:pt>
                <c:pt idx="590">
                  <c:v>5283400</c:v>
                </c:pt>
                <c:pt idx="591">
                  <c:v>7209495</c:v>
                </c:pt>
                <c:pt idx="592">
                  <c:v>3739146</c:v>
                </c:pt>
                <c:pt idx="593">
                  <c:v>7488301</c:v>
                </c:pt>
              </c:numCache>
            </c:numRef>
          </c:val>
          <c:smooth val="0"/>
          <c:extLst>
            <c:ext xmlns:c16="http://schemas.microsoft.com/office/drawing/2014/chart" uri="{C3380CC4-5D6E-409C-BE32-E72D297353CC}">
              <c16:uniqueId val="{00000000-AA9D-42CF-A6D1-0DA97F0255E0}"/>
            </c:ext>
          </c:extLst>
        </c:ser>
        <c:dLbls>
          <c:dLblPos val="ctr"/>
          <c:showLegendKey val="0"/>
          <c:showVal val="1"/>
          <c:showCatName val="0"/>
          <c:showSerName val="0"/>
          <c:showPercent val="0"/>
          <c:showBubbleSize val="0"/>
        </c:dLbls>
        <c:marker val="1"/>
        <c:smooth val="0"/>
        <c:axId val="1066684784"/>
        <c:axId val="1066686704"/>
      </c:lineChart>
      <c:catAx>
        <c:axId val="10666847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Customers 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6686704"/>
        <c:crosses val="autoZero"/>
        <c:auto val="1"/>
        <c:lblAlgn val="ctr"/>
        <c:lblOffset val="100"/>
        <c:noMultiLvlLbl val="0"/>
      </c:catAx>
      <c:valAx>
        <c:axId val="10666867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Axis Cumulative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6668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219075</xdr:colOff>
      <xdr:row>6</xdr:row>
      <xdr:rowOff>76199</xdr:rowOff>
    </xdr:from>
    <xdr:to>
      <xdr:col>9</xdr:col>
      <xdr:colOff>409575</xdr:colOff>
      <xdr:row>20</xdr:row>
      <xdr:rowOff>128586</xdr:rowOff>
    </xdr:to>
    <xdr:graphicFrame macro="">
      <xdr:nvGraphicFramePr>
        <xdr:cNvPr id="2" name="Chart 1">
          <a:extLst>
            <a:ext uri="{FF2B5EF4-FFF2-40B4-BE49-F238E27FC236}">
              <a16:creationId xmlns:a16="http://schemas.microsoft.com/office/drawing/2014/main" id="{2B1B3468-86C8-D1F3-BA7C-D7E32CCDE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671512</xdr:colOff>
      <xdr:row>7</xdr:row>
      <xdr:rowOff>128587</xdr:rowOff>
    </xdr:from>
    <xdr:to>
      <xdr:col>8</xdr:col>
      <xdr:colOff>366712</xdr:colOff>
      <xdr:row>22</xdr:row>
      <xdr:rowOff>14287</xdr:rowOff>
    </xdr:to>
    <xdr:graphicFrame macro="">
      <xdr:nvGraphicFramePr>
        <xdr:cNvPr id="2" name="Chart 1">
          <a:extLst>
            <a:ext uri="{FF2B5EF4-FFF2-40B4-BE49-F238E27FC236}">
              <a16:creationId xmlns:a16="http://schemas.microsoft.com/office/drawing/2014/main" id="{40430AE0-7524-8B9E-F3C7-A884F705E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xdr:colOff>
      <xdr:row>6</xdr:row>
      <xdr:rowOff>42862</xdr:rowOff>
    </xdr:from>
    <xdr:to>
      <xdr:col>4</xdr:col>
      <xdr:colOff>371475</xdr:colOff>
      <xdr:row>19</xdr:row>
      <xdr:rowOff>57150</xdr:rowOff>
    </xdr:to>
    <xdr:graphicFrame macro="">
      <xdr:nvGraphicFramePr>
        <xdr:cNvPr id="2" name="Chart 1">
          <a:extLst>
            <a:ext uri="{FF2B5EF4-FFF2-40B4-BE49-F238E27FC236}">
              <a16:creationId xmlns:a16="http://schemas.microsoft.com/office/drawing/2014/main" id="{D5E71169-4EFC-8DA4-F0DA-4954F7306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xdr:colOff>
      <xdr:row>6</xdr:row>
      <xdr:rowOff>42862</xdr:rowOff>
    </xdr:from>
    <xdr:to>
      <xdr:col>5</xdr:col>
      <xdr:colOff>457206</xdr:colOff>
      <xdr:row>20</xdr:row>
      <xdr:rowOff>119062</xdr:rowOff>
    </xdr:to>
    <xdr:graphicFrame macro="">
      <xdr:nvGraphicFramePr>
        <xdr:cNvPr id="2" name="Chart 1">
          <a:extLst>
            <a:ext uri="{FF2B5EF4-FFF2-40B4-BE49-F238E27FC236}">
              <a16:creationId xmlns:a16="http://schemas.microsoft.com/office/drawing/2014/main" id="{2D356FA8-2465-86A2-4CD3-BE35863A9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123825</xdr:colOff>
      <xdr:row>5</xdr:row>
      <xdr:rowOff>185737</xdr:rowOff>
    </xdr:from>
    <xdr:to>
      <xdr:col>10</xdr:col>
      <xdr:colOff>566737</xdr:colOff>
      <xdr:row>20</xdr:row>
      <xdr:rowOff>71437</xdr:rowOff>
    </xdr:to>
    <xdr:graphicFrame macro="">
      <xdr:nvGraphicFramePr>
        <xdr:cNvPr id="3" name="Chart 2">
          <a:extLst>
            <a:ext uri="{FF2B5EF4-FFF2-40B4-BE49-F238E27FC236}">
              <a16:creationId xmlns:a16="http://schemas.microsoft.com/office/drawing/2014/main" id="{8D18688E-4D6E-3783-C129-C446FEEE9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552450</xdr:colOff>
      <xdr:row>2</xdr:row>
      <xdr:rowOff>76201</xdr:rowOff>
    </xdr:from>
    <xdr:to>
      <xdr:col>8</xdr:col>
      <xdr:colOff>314325</xdr:colOff>
      <xdr:row>11</xdr:row>
      <xdr:rowOff>1</xdr:rowOff>
    </xdr:to>
    <xdr:graphicFrame macro="">
      <xdr:nvGraphicFramePr>
        <xdr:cNvPr id="2" name="Chart 1">
          <a:extLst>
            <a:ext uri="{FF2B5EF4-FFF2-40B4-BE49-F238E27FC236}">
              <a16:creationId xmlns:a16="http://schemas.microsoft.com/office/drawing/2014/main" id="{45EBDB76-FCE6-4ED7-B7D5-DD35E82C9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447675</xdr:colOff>
      <xdr:row>1</xdr:row>
      <xdr:rowOff>161926</xdr:rowOff>
    </xdr:from>
    <xdr:to>
      <xdr:col>14</xdr:col>
      <xdr:colOff>352425</xdr:colOff>
      <xdr:row>11</xdr:row>
      <xdr:rowOff>28576</xdr:rowOff>
    </xdr:to>
    <xdr:graphicFrame macro="">
      <xdr:nvGraphicFramePr>
        <xdr:cNvPr id="3" name="Chart 2">
          <a:extLst>
            <a:ext uri="{FF2B5EF4-FFF2-40B4-BE49-F238E27FC236}">
              <a16:creationId xmlns:a16="http://schemas.microsoft.com/office/drawing/2014/main" id="{13E84CF0-C8C6-4AA4-9E60-FD9EBF040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342901</xdr:colOff>
      <xdr:row>12</xdr:row>
      <xdr:rowOff>104774</xdr:rowOff>
    </xdr:from>
    <xdr:to>
      <xdr:col>10</xdr:col>
      <xdr:colOff>114300</xdr:colOff>
      <xdr:row>25</xdr:row>
      <xdr:rowOff>38099</xdr:rowOff>
    </xdr:to>
    <xdr:graphicFrame macro="">
      <xdr:nvGraphicFramePr>
        <xdr:cNvPr id="4" name="Chart 3">
          <a:extLst>
            <a:ext uri="{FF2B5EF4-FFF2-40B4-BE49-F238E27FC236}">
              <a16:creationId xmlns:a16="http://schemas.microsoft.com/office/drawing/2014/main" id="{BB508C2B-D768-4C08-B037-9C371729A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466724</xdr:colOff>
      <xdr:row>1</xdr:row>
      <xdr:rowOff>142876</xdr:rowOff>
    </xdr:from>
    <xdr:to>
      <xdr:col>18</xdr:col>
      <xdr:colOff>485775</xdr:colOff>
      <xdr:row>11</xdr:row>
      <xdr:rowOff>19050</xdr:rowOff>
    </xdr:to>
    <xdr:graphicFrame macro="">
      <xdr:nvGraphicFramePr>
        <xdr:cNvPr id="5" name="Chart 4">
          <a:extLst>
            <a:ext uri="{FF2B5EF4-FFF2-40B4-BE49-F238E27FC236}">
              <a16:creationId xmlns:a16="http://schemas.microsoft.com/office/drawing/2014/main" id="{7A66149E-F925-4332-BC59-4E4B923C7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34</xdr:row>
      <xdr:rowOff>0</xdr:rowOff>
    </xdr:from>
    <xdr:to>
      <xdr:col>25</xdr:col>
      <xdr:colOff>14287</xdr:colOff>
      <xdr:row>46</xdr:row>
      <xdr:rowOff>152400</xdr:rowOff>
    </xdr:to>
    <xdr:graphicFrame macro="">
      <xdr:nvGraphicFramePr>
        <xdr:cNvPr id="6" name="Chart 5">
          <a:extLst>
            <a:ext uri="{FF2B5EF4-FFF2-40B4-BE49-F238E27FC236}">
              <a16:creationId xmlns:a16="http://schemas.microsoft.com/office/drawing/2014/main" id="{F7DA05B7-1E96-4E6C-8128-920584AB5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32</xdr:row>
      <xdr:rowOff>0</xdr:rowOff>
    </xdr:from>
    <xdr:to>
      <xdr:col>14</xdr:col>
      <xdr:colOff>304800</xdr:colOff>
      <xdr:row>46</xdr:row>
      <xdr:rowOff>76200</xdr:rowOff>
    </xdr:to>
    <xdr:graphicFrame macro="">
      <xdr:nvGraphicFramePr>
        <xdr:cNvPr id="7" name="Chart 6">
          <a:extLst>
            <a:ext uri="{FF2B5EF4-FFF2-40B4-BE49-F238E27FC236}">
              <a16:creationId xmlns:a16="http://schemas.microsoft.com/office/drawing/2014/main" id="{BC57EBED-A0DD-4407-8DB4-A8A2597E1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228600</xdr:colOff>
      <xdr:row>12</xdr:row>
      <xdr:rowOff>66675</xdr:rowOff>
    </xdr:from>
    <xdr:to>
      <xdr:col>18</xdr:col>
      <xdr:colOff>242887</xdr:colOff>
      <xdr:row>25</xdr:row>
      <xdr:rowOff>28575</xdr:rowOff>
    </xdr:to>
    <xdr:graphicFrame macro="">
      <xdr:nvGraphicFramePr>
        <xdr:cNvPr id="8" name="Chart 7">
          <a:extLst>
            <a:ext uri="{FF2B5EF4-FFF2-40B4-BE49-F238E27FC236}">
              <a16:creationId xmlns:a16="http://schemas.microsoft.com/office/drawing/2014/main" id="{309B1D8B-785D-4B9A-A0B6-1C76C069F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28575</xdr:colOff>
      <xdr:row>12</xdr:row>
      <xdr:rowOff>57150</xdr:rowOff>
    </xdr:from>
    <xdr:to>
      <xdr:col>2</xdr:col>
      <xdr:colOff>561975</xdr:colOff>
      <xdr:row>19</xdr:row>
      <xdr:rowOff>47625</xdr:rowOff>
    </xdr:to>
    <mc:AlternateContent xmlns:mc="http://schemas.openxmlformats.org/markup-compatibility/2006">
      <mc:Choice xmlns:a14="http://schemas.microsoft.com/office/drawing/2010/main" Requires="a14">
        <xdr:graphicFrame macro="">
          <xdr:nvGraphicFramePr>
            <xdr:cNvPr id="9" name="Old_Vs_New_Customer">
              <a:extLst>
                <a:ext uri="{FF2B5EF4-FFF2-40B4-BE49-F238E27FC236}">
                  <a16:creationId xmlns:a16="http://schemas.microsoft.com/office/drawing/2014/main" id="{E10B36B8-18B2-7C62-8D1F-CEB810AF4724}"/>
                </a:ext>
              </a:extLst>
            </xdr:cNvPr>
            <xdr:cNvGraphicFramePr/>
          </xdr:nvGraphicFramePr>
          <xdr:xfrm>
            <a:off x="0" y="0"/>
            <a:ext cx="0" cy="0"/>
          </xdr:xfrm>
          <a:graphic>
            <a:graphicData uri="http://schemas.microsoft.com/office/drawing/2010/slicer">
              <sle:slicer xmlns:sle="http://schemas.microsoft.com/office/drawing/2010/slicer" name="Old_Vs_New_Customer"/>
            </a:graphicData>
          </a:graphic>
        </xdr:graphicFrame>
      </mc:Choice>
      <mc:Fallback>
        <xdr:sp macro="" textlink="">
          <xdr:nvSpPr>
            <xdr:cNvPr id="0" name=""/>
            <xdr:cNvSpPr>
              <a:spLocks noTextEdit="1"/>
            </xdr:cNvSpPr>
          </xdr:nvSpPr>
          <xdr:spPr>
            <a:xfrm>
              <a:off x="28575" y="2343150"/>
              <a:ext cx="17526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xdr:row>
      <xdr:rowOff>47626</xdr:rowOff>
    </xdr:from>
    <xdr:to>
      <xdr:col>2</xdr:col>
      <xdr:colOff>571500</xdr:colOff>
      <xdr:row>10</xdr:row>
      <xdr:rowOff>104776</xdr:rowOff>
    </xdr:to>
    <mc:AlternateContent xmlns:mc="http://schemas.openxmlformats.org/markup-compatibility/2006">
      <mc:Choice xmlns:a14="http://schemas.microsoft.com/office/drawing/2010/main" Requires="a14">
        <xdr:graphicFrame macro="">
          <xdr:nvGraphicFramePr>
            <xdr:cNvPr id="10" name="Top_20%">
              <a:extLst>
                <a:ext uri="{FF2B5EF4-FFF2-40B4-BE49-F238E27FC236}">
                  <a16:creationId xmlns:a16="http://schemas.microsoft.com/office/drawing/2014/main" id="{D0FC49E4-D803-1287-3358-F1FB711F6C75}"/>
                </a:ext>
              </a:extLst>
            </xdr:cNvPr>
            <xdr:cNvGraphicFramePr/>
          </xdr:nvGraphicFramePr>
          <xdr:xfrm>
            <a:off x="0" y="0"/>
            <a:ext cx="0" cy="0"/>
          </xdr:xfrm>
          <a:graphic>
            <a:graphicData uri="http://schemas.microsoft.com/office/drawing/2010/slicer">
              <sle:slicer xmlns:sle="http://schemas.microsoft.com/office/drawing/2010/slicer" name="Top_20%"/>
            </a:graphicData>
          </a:graphic>
        </xdr:graphicFrame>
      </mc:Choice>
      <mc:Fallback>
        <xdr:sp macro="" textlink="">
          <xdr:nvSpPr>
            <xdr:cNvPr id="0" name=""/>
            <xdr:cNvSpPr>
              <a:spLocks noTextEdit="1"/>
            </xdr:cNvSpPr>
          </xdr:nvSpPr>
          <xdr:spPr>
            <a:xfrm>
              <a:off x="57150" y="428626"/>
              <a:ext cx="173355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728662</xdr:colOff>
      <xdr:row>6</xdr:row>
      <xdr:rowOff>42862</xdr:rowOff>
    </xdr:from>
    <xdr:to>
      <xdr:col>6</xdr:col>
      <xdr:colOff>414337</xdr:colOff>
      <xdr:row>20</xdr:row>
      <xdr:rowOff>119062</xdr:rowOff>
    </xdr:to>
    <xdr:graphicFrame macro="">
      <xdr:nvGraphicFramePr>
        <xdr:cNvPr id="3" name="Chart 2">
          <a:extLst>
            <a:ext uri="{FF2B5EF4-FFF2-40B4-BE49-F238E27FC236}">
              <a16:creationId xmlns:a16="http://schemas.microsoft.com/office/drawing/2014/main" id="{1FD024EA-D874-3A26-24A3-5E2CB9133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438149</xdr:colOff>
      <xdr:row>6</xdr:row>
      <xdr:rowOff>38100</xdr:rowOff>
    </xdr:from>
    <xdr:to>
      <xdr:col>13</xdr:col>
      <xdr:colOff>452436</xdr:colOff>
      <xdr:row>19</xdr:row>
      <xdr:rowOff>0</xdr:rowOff>
    </xdr:to>
    <xdr:graphicFrame macro="">
      <xdr:nvGraphicFramePr>
        <xdr:cNvPr id="4" name="Chart 3">
          <a:extLst>
            <a:ext uri="{FF2B5EF4-FFF2-40B4-BE49-F238E27FC236}">
              <a16:creationId xmlns:a16="http://schemas.microsoft.com/office/drawing/2014/main" id="{F4F6743F-CBA5-421B-BD8D-4EF2B92D9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refreshedDate="46041.854013194446" createdVersion="8" refreshedVersion="8" minRefreshableVersion="3" recordCount="3000" xr:uid="{16268188-8BA8-4E1F-84F8-43F417CA64A8}">
  <cacheSource type="worksheet">
    <worksheetSource ref="A1:G3001" sheet="Raw_Data"/>
  </cacheSource>
  <cacheFields count="7">
    <cacheField name="CustomerID" numFmtId="0">
      <sharedItems containsSemiMixedTypes="0" containsString="0" containsNumber="1" containsInteger="1" minValue="1001" maxValue="1599"/>
    </cacheField>
    <cacheField name="OrderID" numFmtId="0">
      <sharedItems containsSemiMixedTypes="0" containsString="0" containsNumber="1" containsInteger="1" minValue="50001" maxValue="53000"/>
    </cacheField>
    <cacheField name="OrderDate" numFmtId="164">
      <sharedItems containsSemiMixedTypes="0" containsNonDate="0" containsDate="1" containsString="0" minDate="2023-01-01T00:00:00" maxDate="2025-01-01T00:00:00"/>
    </cacheField>
    <cacheField name="Age" numFmtId="0">
      <sharedItems containsSemiMixedTypes="0" containsString="0" containsNumber="1" containsInteger="1" minValue="18" maxValue="64"/>
    </cacheField>
    <cacheField name="Gender" numFmtId="0">
      <sharedItems/>
    </cacheField>
    <cacheField name="Region" numFmtId="0">
      <sharedItems count="4">
        <s v="North"/>
        <s v="East"/>
        <s v="West"/>
        <s v="South"/>
      </sharedItems>
    </cacheField>
    <cacheField name="OrderAmount" numFmtId="0">
      <sharedItems containsSemiMixedTypes="0" containsString="0" containsNumber="1" containsInteger="1" minValue="202" maxValue="4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refreshedDate="46041.859203935186" createdVersion="8" refreshedVersion="8" minRefreshableVersion="3" recordCount="594" xr:uid="{64AE5F3D-4133-4AA8-9187-5D175D17A13A}">
  <cacheSource type="worksheet">
    <worksheetSource ref="A1:E595" sheet="Sheet2"/>
  </cacheSource>
  <cacheFields count="5">
    <cacheField name="CustomerID" numFmtId="0">
      <sharedItems containsSemiMixedTypes="0" containsString="0" containsNumber="1" containsInteger="1" minValue="1001" maxValue="1599"/>
    </cacheField>
    <cacheField name="Total_Orders" numFmtId="0">
      <sharedItems containsSemiMixedTypes="0" containsString="0" containsNumber="1" containsInteger="1" minValue="1" maxValue="12"/>
    </cacheField>
    <cacheField name="Total_Revenue" numFmtId="0">
      <sharedItems containsSemiMixedTypes="0" containsString="0" containsNumber="1" containsInteger="1" minValue="225" maxValue="32724"/>
    </cacheField>
    <cacheField name="Avg_Order_Value" numFmtId="0">
      <sharedItems containsSemiMixedTypes="0" containsString="0" containsNumber="1" minValue="225" maxValue="4986"/>
    </cacheField>
    <cacheField name="Old_Vs_New_Customer" numFmtId="0">
      <sharedItems count="2">
        <s v="Repeat"/>
        <s v="New"/>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refreshedDate="46042.490663194447" createdVersion="8" refreshedVersion="8" minRefreshableVersion="3" recordCount="594" xr:uid="{C3F9B1CF-1599-4A86-89AD-FB7FA56DF502}">
  <cacheSource type="worksheet">
    <worksheetSource ref="A1:H595" sheet="Sheet2"/>
  </cacheSource>
  <cacheFields count="8">
    <cacheField name="CustomerID" numFmtId="0">
      <sharedItems containsSemiMixedTypes="0" containsString="0" containsNumber="1" containsInteger="1" minValue="1001" maxValue="1599" count="594">
        <n v="1154"/>
        <n v="1435"/>
        <n v="1476"/>
        <n v="1342"/>
        <n v="1223"/>
        <n v="1302"/>
        <n v="1075"/>
        <n v="1183"/>
        <n v="1160"/>
        <n v="1344"/>
        <n v="1288"/>
        <n v="1084"/>
        <n v="1526"/>
        <n v="1233"/>
        <n v="1118"/>
        <n v="1554"/>
        <n v="1268"/>
        <n v="1130"/>
        <n v="1401"/>
        <n v="1561"/>
        <n v="1318"/>
        <n v="1517"/>
        <n v="1188"/>
        <n v="1113"/>
        <n v="1161"/>
        <n v="1494"/>
        <n v="1047"/>
        <n v="1012"/>
        <n v="1196"/>
        <n v="1537"/>
        <n v="1500"/>
        <n v="1147"/>
        <n v="1190"/>
        <n v="1349"/>
        <n v="1039"/>
        <n v="1099"/>
        <n v="1497"/>
        <n v="1144"/>
        <n v="1041"/>
        <n v="1524"/>
        <n v="1216"/>
        <n v="1261"/>
        <n v="1226"/>
        <n v="1303"/>
        <n v="1220"/>
        <n v="1273"/>
        <n v="1277"/>
        <n v="1163"/>
        <n v="1242"/>
        <n v="1201"/>
        <n v="1441"/>
        <n v="1455"/>
        <n v="1566"/>
        <n v="1399"/>
        <n v="1363"/>
        <n v="1285"/>
        <n v="1374"/>
        <n v="1159"/>
        <n v="1381"/>
        <n v="1137"/>
        <n v="1376"/>
        <n v="1260"/>
        <n v="1192"/>
        <n v="1436"/>
        <n v="1022"/>
        <n v="1380"/>
        <n v="1477"/>
        <n v="1109"/>
        <n v="1143"/>
        <n v="1432"/>
        <n v="1420"/>
        <n v="1165"/>
        <n v="1023"/>
        <n v="1092"/>
        <n v="1365"/>
        <n v="1378"/>
        <n v="1122"/>
        <n v="1466"/>
        <n v="1253"/>
        <n v="1289"/>
        <n v="1474"/>
        <n v="1156"/>
        <n v="1102"/>
        <n v="1551"/>
        <n v="1305"/>
        <n v="1313"/>
        <n v="1364"/>
        <n v="1574"/>
        <n v="1254"/>
        <n v="1119"/>
        <n v="1338"/>
        <n v="1017"/>
        <n v="1407"/>
        <n v="1506"/>
        <n v="1010"/>
        <n v="1043"/>
        <n v="1218"/>
        <n v="1053"/>
        <n v="1386"/>
        <n v="1019"/>
        <n v="1117"/>
        <n v="1173"/>
        <n v="1231"/>
        <n v="1227"/>
        <n v="1301"/>
        <n v="1320"/>
        <n v="1149"/>
        <n v="1427"/>
        <n v="1573"/>
        <n v="1516"/>
        <n v="1086"/>
        <n v="1450"/>
        <n v="1213"/>
        <n v="1029"/>
        <n v="1133"/>
        <n v="1203"/>
        <n v="1007"/>
        <n v="1198"/>
        <n v="1563"/>
        <n v="1521"/>
        <n v="1014"/>
        <n v="1251"/>
        <n v="1548"/>
        <n v="1501"/>
        <n v="1214"/>
        <n v="1405"/>
        <n v="1459"/>
        <n v="1559"/>
        <n v="1129"/>
        <n v="1020"/>
        <n v="1483"/>
        <n v="1550"/>
        <n v="1168"/>
        <n v="1131"/>
        <n v="1058"/>
        <n v="1414"/>
        <n v="1104"/>
        <n v="1314"/>
        <n v="1323"/>
        <n v="1422"/>
        <n v="1008"/>
        <n v="1547"/>
        <n v="1127"/>
        <n v="1449"/>
        <n v="1564"/>
        <n v="1078"/>
        <n v="1520"/>
        <n v="1397"/>
        <n v="1069"/>
        <n v="1387"/>
        <n v="1375"/>
        <n v="1335"/>
        <n v="1456"/>
        <n v="1296"/>
        <n v="1584"/>
        <n v="1546"/>
        <n v="1114"/>
        <n v="1286"/>
        <n v="1063"/>
        <n v="1575"/>
        <n v="1337"/>
        <n v="1515"/>
        <n v="1392"/>
        <n v="1485"/>
        <n v="1145"/>
        <n v="1354"/>
        <n v="1558"/>
        <n v="1391"/>
        <n v="1202"/>
        <n v="1172"/>
        <n v="1473"/>
        <n v="1572"/>
        <n v="1283"/>
        <n v="1229"/>
        <n v="1598"/>
        <n v="1217"/>
        <n v="1346"/>
        <n v="1040"/>
        <n v="1073"/>
        <n v="1128"/>
        <n v="1002"/>
        <n v="1460"/>
        <n v="1557"/>
        <n v="1511"/>
        <n v="1594"/>
        <n v="1442"/>
        <n v="1443"/>
        <n v="1471"/>
        <n v="1153"/>
        <n v="1377"/>
        <n v="1132"/>
        <n v="1571"/>
        <n v="1182"/>
        <n v="1467"/>
        <n v="1035"/>
        <n v="1021"/>
        <n v="1098"/>
        <n v="1281"/>
        <n v="1120"/>
        <n v="1194"/>
        <n v="1424"/>
        <n v="1239"/>
        <n v="1306"/>
        <n v="1162"/>
        <n v="1533"/>
        <n v="1469"/>
        <n v="1359"/>
        <n v="1437"/>
        <n v="1361"/>
        <n v="1360"/>
        <n v="1356"/>
        <n v="1243"/>
        <n v="1348"/>
        <n v="1124"/>
        <n v="1005"/>
        <n v="1385"/>
        <n v="1055"/>
        <n v="1046"/>
        <n v="1087"/>
        <n v="1139"/>
        <n v="1081"/>
        <n v="1330"/>
        <n v="1532"/>
        <n v="1336"/>
        <n v="1167"/>
        <n v="1049"/>
        <n v="1334"/>
        <n v="1588"/>
        <n v="1001"/>
        <n v="1106"/>
        <n v="1294"/>
        <n v="1505"/>
        <n v="1126"/>
        <n v="1406"/>
        <n v="1178"/>
        <n v="1463"/>
        <n v="1350"/>
        <n v="1445"/>
        <n v="1329"/>
        <n v="1490"/>
        <n v="1400"/>
        <n v="1415"/>
        <n v="1280"/>
        <n v="1095"/>
        <n v="1426"/>
        <n v="1170"/>
        <n v="1028"/>
        <n v="1499"/>
        <n v="1503"/>
        <n v="1083"/>
        <n v="1107"/>
        <n v="1013"/>
        <n v="1274"/>
        <n v="1088"/>
        <n v="1579"/>
        <n v="1326"/>
        <n v="1204"/>
        <n v="1371"/>
        <n v="1542"/>
        <n v="1157"/>
        <n v="1111"/>
        <n v="1089"/>
        <n v="1408"/>
        <n v="1025"/>
        <n v="1578"/>
        <n v="1266"/>
        <n v="1164"/>
        <n v="1103"/>
        <n v="1581"/>
        <n v="1015"/>
        <n v="1529"/>
        <n v="1508"/>
        <n v="1141"/>
        <n v="1321"/>
        <n v="1488"/>
        <n v="1425"/>
        <n v="1293"/>
        <n v="1353"/>
        <n v="1493"/>
        <n v="1065"/>
        <n v="1553"/>
        <n v="1562"/>
        <n v="1538"/>
        <n v="1596"/>
        <n v="1343"/>
        <n v="1492"/>
        <n v="1504"/>
        <n v="1108"/>
        <n v="1440"/>
        <n v="1146"/>
        <n v="1519"/>
        <n v="1416"/>
        <n v="1264"/>
        <n v="1263"/>
        <n v="1419"/>
        <n v="1096"/>
        <n v="1284"/>
        <n v="1059"/>
        <n v="1259"/>
        <n v="1489"/>
        <n v="1428"/>
        <n v="1495"/>
        <n v="1250"/>
        <n v="1287"/>
        <n v="1525"/>
        <n v="1393"/>
        <n v="1395"/>
        <n v="1027"/>
        <n v="1358"/>
        <n v="1390"/>
        <n v="1225"/>
        <n v="1262"/>
        <n v="1304"/>
        <n v="1070"/>
        <n v="1327"/>
        <n v="1224"/>
        <n v="1244"/>
        <n v="1404"/>
        <n v="1116"/>
        <n v="1556"/>
        <n v="1475"/>
        <n v="1580"/>
        <n v="1276"/>
        <n v="1247"/>
        <n v="1265"/>
        <n v="1447"/>
        <n v="1051"/>
        <n v="1324"/>
        <n v="1228"/>
        <n v="1207"/>
        <n v="1379"/>
        <n v="1518"/>
        <n v="1585"/>
        <n v="1311"/>
        <n v="1486"/>
        <n v="1256"/>
        <n v="1382"/>
        <n v="1582"/>
        <n v="1373"/>
        <n v="1179"/>
        <n v="1429"/>
        <n v="1410"/>
        <n v="1222"/>
        <n v="1457"/>
        <n v="1042"/>
        <n v="1398"/>
        <n v="1331"/>
        <n v="1209"/>
        <n v="1026"/>
        <n v="1191"/>
        <n v="1417"/>
        <n v="1295"/>
        <n v="1325"/>
        <n v="1567"/>
        <n v="1577"/>
        <n v="1502"/>
        <n v="1056"/>
        <n v="1454"/>
        <n v="1076"/>
        <n v="1090"/>
        <n v="1316"/>
        <n v="1234"/>
        <n v="1544"/>
        <n v="1151"/>
        <n v="1309"/>
        <n v="1230"/>
        <n v="1448"/>
        <n v="1453"/>
        <n v="1011"/>
        <n v="1491"/>
        <n v="1366"/>
        <n v="1174"/>
        <n v="1101"/>
        <n v="1514"/>
        <n v="1369"/>
        <n v="1235"/>
        <n v="1166"/>
        <n v="1587"/>
        <n v="1062"/>
        <n v="1461"/>
        <n v="1184"/>
        <n v="1298"/>
        <n v="1066"/>
        <n v="1237"/>
        <n v="1060"/>
        <n v="1345"/>
        <n v="1340"/>
        <n v="1328"/>
        <n v="1586"/>
        <n v="1569"/>
        <n v="1291"/>
        <n v="1278"/>
        <n v="1112"/>
        <n v="1372"/>
        <n v="1241"/>
        <n v="1079"/>
        <n v="1279"/>
        <n v="1034"/>
        <n v="1290"/>
        <n v="1312"/>
        <n v="1258"/>
        <n v="1370"/>
        <n v="1054"/>
        <n v="1523"/>
        <n v="1105"/>
        <n v="1246"/>
        <n v="1036"/>
        <n v="1446"/>
        <n v="1341"/>
        <n v="1367"/>
        <n v="1451"/>
        <n v="1462"/>
        <n v="1215"/>
        <n v="1195"/>
        <n v="1590"/>
        <n v="1270"/>
        <n v="1134"/>
        <n v="1115"/>
        <n v="1470"/>
        <n v="1210"/>
        <n v="1418"/>
        <n v="1148"/>
        <n v="1593"/>
        <n v="1003"/>
        <n v="1549"/>
        <n v="1509"/>
        <n v="1074"/>
        <n v="1396"/>
        <n v="1037"/>
        <n v="1568"/>
        <n v="1482"/>
        <n v="1570"/>
        <n v="1271"/>
        <n v="1236"/>
        <n v="1522"/>
        <n v="1211"/>
        <n v="1431"/>
        <n v="1552"/>
        <n v="1565"/>
        <n v="1061"/>
        <n v="1536"/>
        <n v="1481"/>
        <n v="1394"/>
        <n v="1085"/>
        <n v="1097"/>
        <n v="1142"/>
        <n v="1030"/>
        <n v="1403"/>
        <n v="1308"/>
        <n v="1434"/>
        <n v="1576"/>
        <n v="1140"/>
        <n v="1383"/>
        <n v="1438"/>
        <n v="1539"/>
        <n v="1200"/>
        <n v="1300"/>
        <n v="1176"/>
        <n v="1208"/>
        <n v="1472"/>
        <n v="1402"/>
        <n v="1138"/>
        <n v="1452"/>
        <n v="1589"/>
        <n v="1560"/>
        <n v="1232"/>
        <n v="1100"/>
        <n v="1068"/>
        <n v="1384"/>
        <n v="1077"/>
        <n v="1430"/>
        <n v="1152"/>
        <n v="1031"/>
        <n v="1513"/>
        <n v="1412"/>
        <n v="1362"/>
        <n v="1592"/>
        <n v="1177"/>
        <n v="1292"/>
        <n v="1155"/>
        <n v="1175"/>
        <n v="1540"/>
        <n v="1205"/>
        <n v="1091"/>
        <n v="1535"/>
        <n v="1597"/>
        <n v="1180"/>
        <n v="1082"/>
        <n v="1357"/>
        <n v="1484"/>
        <n v="1332"/>
        <n v="1044"/>
        <n v="1439"/>
        <n v="1510"/>
        <n v="1064"/>
        <n v="1275"/>
        <n v="1282"/>
        <n v="1388"/>
        <n v="1351"/>
        <n v="1016"/>
        <n v="1307"/>
        <n v="1269"/>
        <n v="1507"/>
        <n v="1591"/>
        <n v="1093"/>
        <n v="1421"/>
        <n v="1534"/>
        <n v="1050"/>
        <n v="1158"/>
        <n v="1411"/>
        <n v="1221"/>
        <n v="1245"/>
        <n v="1527"/>
        <n v="1057"/>
        <n v="1009"/>
        <n v="1257"/>
        <n v="1038"/>
        <n v="1339"/>
        <n v="1187"/>
        <n v="1297"/>
        <n v="1186"/>
        <n v="1409"/>
        <n v="1238"/>
        <n v="1528"/>
        <n v="1125"/>
        <n v="1248"/>
        <n v="1169"/>
        <n v="1072"/>
        <n v="1206"/>
        <n v="1315"/>
        <n v="1423"/>
        <n v="1322"/>
        <n v="1458"/>
        <n v="1189"/>
        <n v="1249"/>
        <n v="1530"/>
        <n v="1444"/>
        <n v="1599"/>
        <n v="1389"/>
        <n v="1033"/>
        <n v="1583"/>
        <n v="1479"/>
        <n v="1480"/>
        <n v="1512"/>
        <n v="1123"/>
        <n v="1487"/>
        <n v="1498"/>
        <n v="1185"/>
        <n v="1067"/>
        <n v="1240"/>
        <n v="1555"/>
        <n v="1531"/>
        <n v="1355"/>
        <n v="1496"/>
        <n v="1267"/>
        <n v="1080"/>
        <n v="1004"/>
        <n v="1032"/>
        <n v="1468"/>
        <n v="1347"/>
        <n v="1310"/>
        <n v="1272"/>
        <n v="1543"/>
        <n v="1199"/>
        <n v="1465"/>
        <n v="1006"/>
        <n v="1193"/>
        <n v="1333"/>
        <n v="1478"/>
        <n v="1048"/>
        <n v="1094"/>
        <n v="1541"/>
        <n v="1352"/>
        <n v="1150"/>
        <n v="1121"/>
        <n v="1136"/>
        <n v="1252"/>
        <n v="1219"/>
        <n v="1135"/>
        <n v="1413"/>
        <n v="1110"/>
        <n v="1319"/>
        <n v="1368"/>
        <n v="1018"/>
        <n v="1255"/>
        <n v="1212"/>
        <n v="1045"/>
        <n v="1464"/>
        <n v="1171"/>
        <n v="1024"/>
        <n v="1181"/>
        <n v="1595"/>
        <n v="1317"/>
        <n v="1545"/>
      </sharedItems>
    </cacheField>
    <cacheField name="Total_Orders" numFmtId="2">
      <sharedItems containsSemiMixedTypes="0" containsString="0" containsNumber="1" containsInteger="1" minValue="1" maxValue="12"/>
    </cacheField>
    <cacheField name="Total_Revenue" numFmtId="2">
      <sharedItems containsSemiMixedTypes="0" containsString="0" containsNumber="1" containsInteger="1" minValue="225" maxValue="32724"/>
    </cacheField>
    <cacheField name="Avg_Order_Value" numFmtId="2">
      <sharedItems containsSemiMixedTypes="0" containsString="0" containsNumber="1" minValue="225" maxValue="4986"/>
    </cacheField>
    <cacheField name="Old_Vs_New_Customer" numFmtId="0">
      <sharedItems count="2">
        <s v="Repeat"/>
        <s v="New"/>
      </sharedItems>
    </cacheField>
    <cacheField name="Cumulative_Revenue" numFmtId="2">
      <sharedItems containsSemiMixedTypes="0" containsString="0" containsNumber="1" containsInteger="1" minValue="32724" maxValue="7646891"/>
    </cacheField>
    <cacheField name="Revenue_%" numFmtId="10">
      <sharedItems containsSemiMixedTypes="0" containsString="0" containsNumber="1" minValue="4.2793862237607413E-3" maxValue="1"/>
    </cacheField>
    <cacheField name="Top_20%" numFmtId="0">
      <sharedItems count="2">
        <s v="Top Customers"/>
        <s v="Others"/>
      </sharedItems>
    </cacheField>
  </cacheFields>
  <extLst>
    <ext xmlns:x14="http://schemas.microsoft.com/office/spreadsheetml/2009/9/main" uri="{725AE2AE-9491-48be-B2B4-4EB974FC3084}">
      <x14:pivotCacheDefinition pivotCacheId="1875830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103"/>
    <n v="50001"/>
    <d v="2023-01-01T00:00:00"/>
    <n v="38"/>
    <s v="Female"/>
    <x v="0"/>
    <n v="3435"/>
  </r>
  <r>
    <n v="1436"/>
    <n v="50002"/>
    <d v="2023-01-01T05:50:31"/>
    <n v="38"/>
    <s v="Female"/>
    <x v="1"/>
    <n v="4776"/>
  </r>
  <r>
    <n v="1271"/>
    <n v="50003"/>
    <d v="2023-01-01T11:41:02"/>
    <n v="60"/>
    <s v="Female"/>
    <x v="2"/>
    <n v="2331"/>
  </r>
  <r>
    <n v="1107"/>
    <n v="50004"/>
    <d v="2023-01-01T17:31:33"/>
    <n v="30"/>
    <s v="Male"/>
    <x v="2"/>
    <n v="1300"/>
  </r>
  <r>
    <n v="1072"/>
    <n v="50005"/>
    <d v="2023-01-01T23:22:04"/>
    <n v="54"/>
    <s v="Female"/>
    <x v="2"/>
    <n v="872"/>
  </r>
  <r>
    <n v="1021"/>
    <n v="50006"/>
    <d v="2023-01-02T05:12:35"/>
    <n v="50"/>
    <s v="Female"/>
    <x v="1"/>
    <n v="716"/>
  </r>
  <r>
    <n v="1122"/>
    <n v="50007"/>
    <d v="2023-01-02T11:03:06"/>
    <n v="41"/>
    <s v="Male"/>
    <x v="1"/>
    <n v="2732"/>
  </r>
  <r>
    <n v="1467"/>
    <n v="50008"/>
    <d v="2023-01-02T16:53:37"/>
    <n v="61"/>
    <s v="Male"/>
    <x v="0"/>
    <n v="3870"/>
  </r>
  <r>
    <n v="1215"/>
    <n v="50009"/>
    <d v="2023-01-02T22:44:08"/>
    <n v="28"/>
    <s v="Female"/>
    <x v="3"/>
    <n v="981"/>
  </r>
  <r>
    <n v="1331"/>
    <n v="50010"/>
    <d v="2023-01-03T04:34:39"/>
    <n v="34"/>
    <s v="Male"/>
    <x v="1"/>
    <n v="3723"/>
  </r>
  <r>
    <n v="1459"/>
    <n v="50011"/>
    <d v="2023-01-03T10:25:10"/>
    <n v="21"/>
    <s v="Female"/>
    <x v="3"/>
    <n v="3758"/>
  </r>
  <r>
    <n v="1088"/>
    <n v="50012"/>
    <d v="2023-01-03T16:15:41"/>
    <n v="64"/>
    <s v="Female"/>
    <x v="3"/>
    <n v="2586"/>
  </r>
  <r>
    <n v="1373"/>
    <n v="50013"/>
    <d v="2023-01-03T22:06:12"/>
    <n v="42"/>
    <s v="Male"/>
    <x v="1"/>
    <n v="4982"/>
  </r>
  <r>
    <n v="1100"/>
    <n v="50014"/>
    <d v="2023-01-04T03:56:43"/>
    <n v="47"/>
    <s v="Female"/>
    <x v="2"/>
    <n v="1789"/>
  </r>
  <r>
    <n v="1131"/>
    <n v="50015"/>
    <d v="2023-01-04T09:47:14"/>
    <n v="26"/>
    <s v="Male"/>
    <x v="0"/>
    <n v="1701"/>
  </r>
  <r>
    <n v="1309"/>
    <n v="50016"/>
    <d v="2023-01-04T15:37:45"/>
    <n v="38"/>
    <s v="Male"/>
    <x v="3"/>
    <n v="3994"/>
  </r>
  <r>
    <n v="1344"/>
    <n v="50017"/>
    <d v="2023-01-04T21:28:16"/>
    <n v="37"/>
    <s v="Male"/>
    <x v="2"/>
    <n v="4518"/>
  </r>
  <r>
    <n v="1492"/>
    <n v="50018"/>
    <d v="2023-01-05T03:18:47"/>
    <n v="36"/>
    <s v="Female"/>
    <x v="1"/>
    <n v="3280"/>
  </r>
  <r>
    <n v="1414"/>
    <n v="50019"/>
    <d v="2023-01-05T09:09:18"/>
    <n v="36"/>
    <s v="Male"/>
    <x v="3"/>
    <n v="1276"/>
  </r>
  <r>
    <n v="1386"/>
    <n v="50020"/>
    <d v="2023-01-05T14:59:49"/>
    <n v="29"/>
    <s v="Male"/>
    <x v="3"/>
    <n v="1300"/>
  </r>
  <r>
    <n v="1192"/>
    <n v="50021"/>
    <d v="2023-01-05T20:50:20"/>
    <n v="54"/>
    <s v="Female"/>
    <x v="3"/>
    <n v="702"/>
  </r>
  <r>
    <n v="1277"/>
    <n v="50022"/>
    <d v="2023-01-06T02:40:51"/>
    <n v="59"/>
    <s v="Female"/>
    <x v="2"/>
    <n v="1539"/>
  </r>
  <r>
    <n v="1161"/>
    <n v="50023"/>
    <d v="2023-01-06T08:31:22"/>
    <n v="34"/>
    <s v="Female"/>
    <x v="2"/>
    <n v="4085"/>
  </r>
  <r>
    <n v="1460"/>
    <n v="50024"/>
    <d v="2023-01-06T14:21:53"/>
    <n v="54"/>
    <s v="Female"/>
    <x v="2"/>
    <n v="823"/>
  </r>
  <r>
    <n v="1314"/>
    <n v="50025"/>
    <d v="2023-01-06T20:12:24"/>
    <n v="56"/>
    <s v="Male"/>
    <x v="3"/>
    <n v="2086"/>
  </r>
  <r>
    <n v="1022"/>
    <n v="50026"/>
    <d v="2023-01-07T02:02:55"/>
    <n v="45"/>
    <s v="Male"/>
    <x v="3"/>
    <n v="3550"/>
  </r>
  <r>
    <n v="1253"/>
    <n v="50027"/>
    <d v="2023-01-07T07:53:26"/>
    <n v="58"/>
    <s v="Male"/>
    <x v="0"/>
    <n v="1250"/>
  </r>
  <r>
    <n v="1561"/>
    <n v="50028"/>
    <d v="2023-01-07T13:43:57"/>
    <n v="52"/>
    <s v="Female"/>
    <x v="0"/>
    <n v="3972"/>
  </r>
  <r>
    <n v="1475"/>
    <n v="50029"/>
    <d v="2023-01-07T19:34:28"/>
    <n v="64"/>
    <s v="Female"/>
    <x v="2"/>
    <n v="4116"/>
  </r>
  <r>
    <n v="1059"/>
    <n v="50030"/>
    <d v="2023-01-08T01:24:59"/>
    <n v="35"/>
    <s v="Male"/>
    <x v="2"/>
    <n v="4218"/>
  </r>
  <r>
    <n v="1511"/>
    <n v="50031"/>
    <d v="2023-01-08T07:15:30"/>
    <n v="31"/>
    <s v="Female"/>
    <x v="1"/>
    <n v="1529"/>
  </r>
  <r>
    <n v="1476"/>
    <n v="50032"/>
    <d v="2023-01-08T13:06:01"/>
    <n v="52"/>
    <s v="Female"/>
    <x v="2"/>
    <n v="4314"/>
  </r>
  <r>
    <n v="1190"/>
    <n v="50033"/>
    <d v="2023-01-08T18:56:32"/>
    <n v="61"/>
    <s v="Male"/>
    <x v="0"/>
    <n v="3567"/>
  </r>
  <r>
    <n v="1563"/>
    <n v="50034"/>
    <d v="2023-01-09T00:47:03"/>
    <n v="58"/>
    <s v="Male"/>
    <x v="0"/>
    <n v="4151"/>
  </r>
  <r>
    <n v="1567"/>
    <n v="50035"/>
    <d v="2023-01-09T06:37:34"/>
    <n v="24"/>
    <s v="Female"/>
    <x v="0"/>
    <n v="2697"/>
  </r>
  <r>
    <n v="1244"/>
    <n v="50036"/>
    <d v="2023-01-09T12:28:05"/>
    <n v="58"/>
    <s v="Female"/>
    <x v="3"/>
    <n v="1773"/>
  </r>
  <r>
    <n v="1505"/>
    <n v="50037"/>
    <d v="2023-01-09T18:18:36"/>
    <n v="30"/>
    <s v="Female"/>
    <x v="3"/>
    <n v="2834"/>
  </r>
  <r>
    <n v="1131"/>
    <n v="50038"/>
    <d v="2023-01-10T00:09:07"/>
    <n v="35"/>
    <s v="Male"/>
    <x v="2"/>
    <n v="2968"/>
  </r>
  <r>
    <n v="1485"/>
    <n v="50039"/>
    <d v="2023-01-10T05:59:38"/>
    <n v="54"/>
    <s v="Male"/>
    <x v="1"/>
    <n v="1411"/>
  </r>
  <r>
    <n v="1021"/>
    <n v="50040"/>
    <d v="2023-01-10T11:50:09"/>
    <n v="30"/>
    <s v="Male"/>
    <x v="1"/>
    <n v="975"/>
  </r>
  <r>
    <n v="1167"/>
    <n v="50041"/>
    <d v="2023-01-10T17:40:40"/>
    <n v="53"/>
    <s v="Male"/>
    <x v="1"/>
    <n v="1360"/>
  </r>
  <r>
    <n v="1274"/>
    <n v="50042"/>
    <d v="2023-01-10T23:31:11"/>
    <n v="48"/>
    <s v="Male"/>
    <x v="3"/>
    <n v="2583"/>
  </r>
  <r>
    <n v="1388"/>
    <n v="50043"/>
    <d v="2023-01-11T05:21:42"/>
    <n v="19"/>
    <s v="Female"/>
    <x v="0"/>
    <n v="2854"/>
  </r>
  <r>
    <n v="1316"/>
    <n v="50044"/>
    <d v="2023-01-11T11:12:13"/>
    <n v="33"/>
    <s v="Female"/>
    <x v="0"/>
    <n v="3740"/>
  </r>
  <r>
    <n v="1014"/>
    <n v="50045"/>
    <d v="2023-01-11T17:02:44"/>
    <n v="26"/>
    <s v="Female"/>
    <x v="3"/>
    <n v="4897"/>
  </r>
  <r>
    <n v="1242"/>
    <n v="50046"/>
    <d v="2023-01-11T22:53:15"/>
    <n v="26"/>
    <s v="Male"/>
    <x v="1"/>
    <n v="4835"/>
  </r>
  <r>
    <n v="1346"/>
    <n v="50047"/>
    <d v="2023-01-12T04:43:46"/>
    <n v="55"/>
    <s v="Male"/>
    <x v="1"/>
    <n v="1295"/>
  </r>
  <r>
    <n v="1565"/>
    <n v="50048"/>
    <d v="2023-01-12T10:34:17"/>
    <n v="28"/>
    <s v="Male"/>
    <x v="2"/>
    <n v="223"/>
  </r>
  <r>
    <n v="1340"/>
    <n v="50049"/>
    <d v="2023-01-12T16:24:48"/>
    <n v="39"/>
    <s v="Female"/>
    <x v="2"/>
    <n v="4919"/>
  </r>
  <r>
    <n v="1092"/>
    <n v="50050"/>
    <d v="2023-01-12T22:15:20"/>
    <n v="50"/>
    <s v="Male"/>
    <x v="1"/>
    <n v="3756"/>
  </r>
  <r>
    <n v="1367"/>
    <n v="50051"/>
    <d v="2023-01-13T04:05:51"/>
    <n v="53"/>
    <s v="Male"/>
    <x v="3"/>
    <n v="1279"/>
  </r>
  <r>
    <n v="1455"/>
    <n v="50052"/>
    <d v="2023-01-13T09:56:22"/>
    <n v="62"/>
    <s v="Female"/>
    <x v="1"/>
    <n v="4518"/>
  </r>
  <r>
    <n v="1428"/>
    <n v="50053"/>
    <d v="2023-01-13T15:46:53"/>
    <n v="40"/>
    <s v="Male"/>
    <x v="2"/>
    <n v="378"/>
  </r>
  <r>
    <n v="1509"/>
    <n v="50054"/>
    <d v="2023-01-13T21:37:24"/>
    <n v="62"/>
    <s v="Female"/>
    <x v="1"/>
    <n v="3047"/>
  </r>
  <r>
    <n v="1035"/>
    <n v="50055"/>
    <d v="2023-01-14T03:27:55"/>
    <n v="62"/>
    <s v="Male"/>
    <x v="3"/>
    <n v="2160"/>
  </r>
  <r>
    <n v="1206"/>
    <n v="50056"/>
    <d v="2023-01-14T09:18:26"/>
    <n v="51"/>
    <s v="Male"/>
    <x v="0"/>
    <n v="1673"/>
  </r>
  <r>
    <n v="1081"/>
    <n v="50057"/>
    <d v="2023-01-14T15:08:57"/>
    <n v="26"/>
    <s v="Female"/>
    <x v="3"/>
    <n v="1412"/>
  </r>
  <r>
    <n v="1562"/>
    <n v="50058"/>
    <d v="2023-01-14T20:59:28"/>
    <n v="41"/>
    <s v="Female"/>
    <x v="3"/>
    <n v="1009"/>
  </r>
  <r>
    <n v="1388"/>
    <n v="50059"/>
    <d v="2023-01-15T02:49:59"/>
    <n v="25"/>
    <s v="Female"/>
    <x v="2"/>
    <n v="619"/>
  </r>
  <r>
    <n v="1002"/>
    <n v="50060"/>
    <d v="2023-01-15T08:40:30"/>
    <n v="24"/>
    <s v="Female"/>
    <x v="3"/>
    <n v="3859"/>
  </r>
  <r>
    <n v="1390"/>
    <n v="50061"/>
    <d v="2023-01-15T14:31:01"/>
    <n v="53"/>
    <s v="Female"/>
    <x v="3"/>
    <n v="4016"/>
  </r>
  <r>
    <n v="1566"/>
    <n v="50062"/>
    <d v="2023-01-15T20:21:32"/>
    <n v="35"/>
    <s v="Female"/>
    <x v="2"/>
    <n v="1478"/>
  </r>
  <r>
    <n v="1106"/>
    <n v="50063"/>
    <d v="2023-01-16T02:12:03"/>
    <n v="20"/>
    <s v="Male"/>
    <x v="2"/>
    <n v="2723"/>
  </r>
  <r>
    <n v="1477"/>
    <n v="50064"/>
    <d v="2023-01-16T08:02:34"/>
    <n v="45"/>
    <s v="Male"/>
    <x v="0"/>
    <n v="1640"/>
  </r>
  <r>
    <n v="1402"/>
    <n v="50065"/>
    <d v="2023-01-16T13:53:05"/>
    <n v="23"/>
    <s v="Female"/>
    <x v="1"/>
    <n v="1540"/>
  </r>
  <r>
    <n v="1556"/>
    <n v="50066"/>
    <d v="2023-01-16T19:43:36"/>
    <n v="61"/>
    <s v="Male"/>
    <x v="3"/>
    <n v="2421"/>
  </r>
  <r>
    <n v="1162"/>
    <n v="50067"/>
    <d v="2023-01-17T01:34:07"/>
    <n v="61"/>
    <s v="Female"/>
    <x v="2"/>
    <n v="2592"/>
  </r>
  <r>
    <n v="1202"/>
    <n v="50068"/>
    <d v="2023-01-17T07:24:38"/>
    <n v="38"/>
    <s v="Male"/>
    <x v="0"/>
    <n v="1561"/>
  </r>
  <r>
    <n v="1270"/>
    <n v="50069"/>
    <d v="2023-01-17T13:15:09"/>
    <n v="45"/>
    <s v="Female"/>
    <x v="1"/>
    <n v="791"/>
  </r>
  <r>
    <n v="1271"/>
    <n v="50070"/>
    <d v="2023-01-17T19:05:40"/>
    <n v="57"/>
    <s v="Male"/>
    <x v="2"/>
    <n v="726"/>
  </r>
  <r>
    <n v="1456"/>
    <n v="50071"/>
    <d v="2023-01-18T00:56:11"/>
    <n v="18"/>
    <s v="Male"/>
    <x v="1"/>
    <n v="2703"/>
  </r>
  <r>
    <n v="1462"/>
    <n v="50072"/>
    <d v="2023-01-18T06:46:42"/>
    <n v="53"/>
    <s v="Male"/>
    <x v="1"/>
    <n v="1492"/>
  </r>
  <r>
    <n v="1252"/>
    <n v="50073"/>
    <d v="2023-01-18T12:37:13"/>
    <n v="38"/>
    <s v="Male"/>
    <x v="3"/>
    <n v="1854"/>
  </r>
  <r>
    <n v="1296"/>
    <n v="50074"/>
    <d v="2023-01-18T18:27:44"/>
    <n v="60"/>
    <s v="Male"/>
    <x v="3"/>
    <n v="387"/>
  </r>
  <r>
    <n v="1338"/>
    <n v="50075"/>
    <d v="2023-01-19T00:18:15"/>
    <n v="52"/>
    <s v="Female"/>
    <x v="2"/>
    <n v="2958"/>
  </r>
  <r>
    <n v="1053"/>
    <n v="50076"/>
    <d v="2023-01-19T06:08:46"/>
    <n v="30"/>
    <s v="Female"/>
    <x v="1"/>
    <n v="728"/>
  </r>
  <r>
    <n v="1217"/>
    <n v="50077"/>
    <d v="2023-01-19T11:59:17"/>
    <n v="27"/>
    <s v="Female"/>
    <x v="2"/>
    <n v="633"/>
  </r>
  <r>
    <n v="1188"/>
    <n v="50078"/>
    <d v="2023-01-19T17:49:48"/>
    <n v="61"/>
    <s v="Male"/>
    <x v="2"/>
    <n v="3712"/>
  </r>
  <r>
    <n v="1380"/>
    <n v="50079"/>
    <d v="2023-01-19T23:40:19"/>
    <n v="64"/>
    <s v="Female"/>
    <x v="1"/>
    <n v="2004"/>
  </r>
  <r>
    <n v="1493"/>
    <n v="50080"/>
    <d v="2023-01-20T05:30:50"/>
    <n v="27"/>
    <s v="Male"/>
    <x v="2"/>
    <n v="502"/>
  </r>
  <r>
    <n v="1041"/>
    <n v="50081"/>
    <d v="2023-01-20T11:21:21"/>
    <n v="63"/>
    <s v="Male"/>
    <x v="1"/>
    <n v="4382"/>
  </r>
  <r>
    <n v="1157"/>
    <n v="50082"/>
    <d v="2023-01-20T17:11:52"/>
    <n v="30"/>
    <s v="Male"/>
    <x v="1"/>
    <n v="637"/>
  </r>
  <r>
    <n v="1015"/>
    <n v="50083"/>
    <d v="2023-01-20T23:02:23"/>
    <n v="54"/>
    <s v="Female"/>
    <x v="1"/>
    <n v="2788"/>
  </r>
  <r>
    <n v="1065"/>
    <n v="50084"/>
    <d v="2023-01-21T04:52:54"/>
    <n v="55"/>
    <s v="Male"/>
    <x v="1"/>
    <n v="1032"/>
  </r>
  <r>
    <n v="1521"/>
    <n v="50085"/>
    <d v="2023-01-21T10:43:25"/>
    <n v="41"/>
    <s v="Female"/>
    <x v="0"/>
    <n v="996"/>
  </r>
  <r>
    <n v="1344"/>
    <n v="50086"/>
    <d v="2023-01-21T16:33:56"/>
    <n v="19"/>
    <s v="Female"/>
    <x v="1"/>
    <n v="759"/>
  </r>
  <r>
    <n v="1129"/>
    <n v="50087"/>
    <d v="2023-01-21T22:24:27"/>
    <n v="39"/>
    <s v="Male"/>
    <x v="3"/>
    <n v="3788"/>
  </r>
  <r>
    <n v="1472"/>
    <n v="50088"/>
    <d v="2023-01-22T04:14:58"/>
    <n v="34"/>
    <s v="Male"/>
    <x v="3"/>
    <n v="961"/>
  </r>
  <r>
    <n v="1063"/>
    <n v="50089"/>
    <d v="2023-01-22T10:05:29"/>
    <n v="53"/>
    <s v="Female"/>
    <x v="3"/>
    <n v="3774"/>
  </r>
  <r>
    <n v="1139"/>
    <n v="50090"/>
    <d v="2023-01-22T15:56:00"/>
    <n v="31"/>
    <s v="Female"/>
    <x v="1"/>
    <n v="3985"/>
  </r>
  <r>
    <n v="1499"/>
    <n v="50091"/>
    <d v="2023-01-22T21:46:31"/>
    <n v="27"/>
    <s v="Female"/>
    <x v="3"/>
    <n v="2714"/>
  </r>
  <r>
    <n v="1593"/>
    <n v="50092"/>
    <d v="2023-01-23T03:37:02"/>
    <n v="52"/>
    <s v="Female"/>
    <x v="0"/>
    <n v="884"/>
  </r>
  <r>
    <n v="1392"/>
    <n v="50093"/>
    <d v="2023-01-23T09:27:33"/>
    <n v="42"/>
    <s v="Female"/>
    <x v="2"/>
    <n v="4433"/>
  </r>
  <r>
    <n v="1419"/>
    <n v="50094"/>
    <d v="2023-01-23T15:18:04"/>
    <n v="20"/>
    <s v="Female"/>
    <x v="1"/>
    <n v="777"/>
  </r>
  <r>
    <n v="1289"/>
    <n v="50095"/>
    <d v="2023-01-23T21:08:35"/>
    <n v="64"/>
    <s v="Male"/>
    <x v="3"/>
    <n v="427"/>
  </r>
  <r>
    <n v="1379"/>
    <n v="50096"/>
    <d v="2023-01-24T02:59:06"/>
    <n v="55"/>
    <s v="Female"/>
    <x v="0"/>
    <n v="2528"/>
  </r>
  <r>
    <n v="1490"/>
    <n v="50097"/>
    <d v="2023-01-24T08:49:37"/>
    <n v="34"/>
    <s v="Female"/>
    <x v="2"/>
    <n v="2931"/>
  </r>
  <r>
    <n v="1231"/>
    <n v="50098"/>
    <d v="2023-01-24T14:40:08"/>
    <n v="29"/>
    <s v="Female"/>
    <x v="0"/>
    <n v="1027"/>
  </r>
  <r>
    <n v="1041"/>
    <n v="50099"/>
    <d v="2023-01-24T20:30:39"/>
    <n v="41"/>
    <s v="Female"/>
    <x v="3"/>
    <n v="630"/>
  </r>
  <r>
    <n v="1028"/>
    <n v="50100"/>
    <d v="2023-01-25T02:21:10"/>
    <n v="46"/>
    <s v="Male"/>
    <x v="0"/>
    <n v="1263"/>
  </r>
  <r>
    <n v="1135"/>
    <n v="50101"/>
    <d v="2023-01-25T08:11:41"/>
    <n v="60"/>
    <s v="Male"/>
    <x v="2"/>
    <n v="1909"/>
  </r>
  <r>
    <n v="1201"/>
    <n v="50102"/>
    <d v="2023-01-25T14:02:12"/>
    <n v="42"/>
    <s v="Female"/>
    <x v="3"/>
    <n v="1434"/>
  </r>
  <r>
    <n v="1033"/>
    <n v="50103"/>
    <d v="2023-01-25T19:52:43"/>
    <n v="53"/>
    <s v="Female"/>
    <x v="2"/>
    <n v="501"/>
  </r>
  <r>
    <n v="1048"/>
    <n v="50104"/>
    <d v="2023-01-26T01:43:14"/>
    <n v="43"/>
    <s v="Female"/>
    <x v="0"/>
    <n v="1620"/>
  </r>
  <r>
    <n v="1503"/>
    <n v="50105"/>
    <d v="2023-01-26T07:33:45"/>
    <n v="55"/>
    <s v="Male"/>
    <x v="1"/>
    <n v="4828"/>
  </r>
  <r>
    <n v="1407"/>
    <n v="50106"/>
    <d v="2023-01-26T13:24:16"/>
    <n v="18"/>
    <s v="Male"/>
    <x v="1"/>
    <n v="968"/>
  </r>
  <r>
    <n v="1574"/>
    <n v="50107"/>
    <d v="2023-01-26T19:14:47"/>
    <n v="37"/>
    <s v="Male"/>
    <x v="1"/>
    <n v="1604"/>
  </r>
  <r>
    <n v="1099"/>
    <n v="50108"/>
    <d v="2023-01-27T01:05:18"/>
    <n v="45"/>
    <s v="Male"/>
    <x v="1"/>
    <n v="643"/>
  </r>
  <r>
    <n v="1547"/>
    <n v="50109"/>
    <d v="2023-01-27T06:55:49"/>
    <n v="33"/>
    <s v="Male"/>
    <x v="2"/>
    <n v="3304"/>
  </r>
  <r>
    <n v="1462"/>
    <n v="50110"/>
    <d v="2023-01-27T12:46:20"/>
    <n v="64"/>
    <s v="Male"/>
    <x v="1"/>
    <n v="4555"/>
  </r>
  <r>
    <n v="1005"/>
    <n v="50111"/>
    <d v="2023-01-27T18:36:51"/>
    <n v="34"/>
    <s v="Female"/>
    <x v="2"/>
    <n v="3505"/>
  </r>
  <r>
    <n v="1218"/>
    <n v="50112"/>
    <d v="2023-01-28T00:27:22"/>
    <n v="57"/>
    <s v="Male"/>
    <x v="3"/>
    <n v="1738"/>
  </r>
  <r>
    <n v="1503"/>
    <n v="50113"/>
    <d v="2023-01-28T06:17:53"/>
    <n v="45"/>
    <s v="Male"/>
    <x v="1"/>
    <n v="4130"/>
  </r>
  <r>
    <n v="1398"/>
    <n v="50114"/>
    <d v="2023-01-28T12:08:24"/>
    <n v="29"/>
    <s v="Female"/>
    <x v="2"/>
    <n v="1531"/>
  </r>
  <r>
    <n v="1393"/>
    <n v="50115"/>
    <d v="2023-01-28T17:58:55"/>
    <n v="44"/>
    <s v="Male"/>
    <x v="1"/>
    <n v="269"/>
  </r>
  <r>
    <n v="1207"/>
    <n v="50116"/>
    <d v="2023-01-28T23:49:26"/>
    <n v="59"/>
    <s v="Female"/>
    <x v="1"/>
    <n v="3635"/>
  </r>
  <r>
    <n v="1015"/>
    <n v="50117"/>
    <d v="2023-01-29T05:39:57"/>
    <n v="64"/>
    <s v="Male"/>
    <x v="1"/>
    <n v="680"/>
  </r>
  <r>
    <n v="1554"/>
    <n v="50118"/>
    <d v="2023-01-29T11:30:28"/>
    <n v="47"/>
    <s v="Female"/>
    <x v="2"/>
    <n v="4294"/>
  </r>
  <r>
    <n v="1461"/>
    <n v="50119"/>
    <d v="2023-01-29T17:20:59"/>
    <n v="58"/>
    <s v="Female"/>
    <x v="0"/>
    <n v="3696"/>
  </r>
  <r>
    <n v="1575"/>
    <n v="50120"/>
    <d v="2023-01-29T23:11:30"/>
    <n v="51"/>
    <s v="Female"/>
    <x v="1"/>
    <n v="2993"/>
  </r>
  <r>
    <n v="1241"/>
    <n v="50121"/>
    <d v="2023-01-30T05:02:01"/>
    <n v="54"/>
    <s v="Female"/>
    <x v="1"/>
    <n v="3092"/>
  </r>
  <r>
    <n v="1564"/>
    <n v="50122"/>
    <d v="2023-01-30T10:52:32"/>
    <n v="23"/>
    <s v="Female"/>
    <x v="3"/>
    <n v="1398"/>
  </r>
  <r>
    <n v="1096"/>
    <n v="50123"/>
    <d v="2023-01-30T16:43:03"/>
    <n v="24"/>
    <s v="Male"/>
    <x v="0"/>
    <n v="2572"/>
  </r>
  <r>
    <n v="1485"/>
    <n v="50124"/>
    <d v="2023-01-30T22:33:34"/>
    <n v="49"/>
    <s v="Male"/>
    <x v="2"/>
    <n v="2092"/>
  </r>
  <r>
    <n v="1407"/>
    <n v="50125"/>
    <d v="2023-01-31T04:24:05"/>
    <n v="49"/>
    <s v="Female"/>
    <x v="3"/>
    <n v="2083"/>
  </r>
  <r>
    <n v="1231"/>
    <n v="50126"/>
    <d v="2023-01-31T10:14:36"/>
    <n v="42"/>
    <s v="Female"/>
    <x v="1"/>
    <n v="997"/>
  </r>
  <r>
    <n v="1171"/>
    <n v="50127"/>
    <d v="2023-01-31T16:05:07"/>
    <n v="50"/>
    <s v="Female"/>
    <x v="3"/>
    <n v="217"/>
  </r>
  <r>
    <n v="1541"/>
    <n v="50128"/>
    <d v="2023-01-31T21:55:38"/>
    <n v="24"/>
    <s v="Male"/>
    <x v="3"/>
    <n v="243"/>
  </r>
  <r>
    <n v="1036"/>
    <n v="50129"/>
    <d v="2023-02-01T03:46:09"/>
    <n v="29"/>
    <s v="Female"/>
    <x v="1"/>
    <n v="354"/>
  </r>
  <r>
    <n v="1525"/>
    <n v="50130"/>
    <d v="2023-02-01T09:36:40"/>
    <n v="33"/>
    <s v="Female"/>
    <x v="0"/>
    <n v="3648"/>
  </r>
  <r>
    <n v="1160"/>
    <n v="50131"/>
    <d v="2023-02-01T15:27:11"/>
    <n v="33"/>
    <s v="Female"/>
    <x v="0"/>
    <n v="4280"/>
  </r>
  <r>
    <n v="1243"/>
    <n v="50132"/>
    <d v="2023-02-01T21:17:42"/>
    <n v="60"/>
    <s v="Female"/>
    <x v="3"/>
    <n v="1625"/>
  </r>
  <r>
    <n v="1086"/>
    <n v="50133"/>
    <d v="2023-02-02T03:08:13"/>
    <n v="53"/>
    <s v="Male"/>
    <x v="1"/>
    <n v="4520"/>
  </r>
  <r>
    <n v="1578"/>
    <n v="50134"/>
    <d v="2023-02-02T08:58:44"/>
    <n v="30"/>
    <s v="Female"/>
    <x v="2"/>
    <n v="4512"/>
  </r>
  <r>
    <n v="1557"/>
    <n v="50135"/>
    <d v="2023-02-02T14:49:15"/>
    <n v="24"/>
    <s v="Female"/>
    <x v="3"/>
    <n v="3839"/>
  </r>
  <r>
    <n v="1574"/>
    <n v="50136"/>
    <d v="2023-02-02T20:39:46"/>
    <n v="53"/>
    <s v="Male"/>
    <x v="2"/>
    <n v="4326"/>
  </r>
  <r>
    <n v="1028"/>
    <n v="50137"/>
    <d v="2023-02-03T02:30:17"/>
    <n v="64"/>
    <s v="Female"/>
    <x v="3"/>
    <n v="2092"/>
  </r>
  <r>
    <n v="1556"/>
    <n v="50138"/>
    <d v="2023-02-03T08:20:48"/>
    <n v="26"/>
    <s v="Female"/>
    <x v="3"/>
    <n v="1097"/>
  </r>
  <r>
    <n v="1340"/>
    <n v="50139"/>
    <d v="2023-02-03T14:11:19"/>
    <n v="49"/>
    <s v="Male"/>
    <x v="1"/>
    <n v="3624"/>
  </r>
  <r>
    <n v="1331"/>
    <n v="50140"/>
    <d v="2023-02-03T20:01:50"/>
    <n v="28"/>
    <s v="Male"/>
    <x v="1"/>
    <n v="4740"/>
  </r>
  <r>
    <n v="1506"/>
    <n v="50141"/>
    <d v="2023-02-04T01:52:21"/>
    <n v="25"/>
    <s v="Male"/>
    <x v="2"/>
    <n v="1458"/>
  </r>
  <r>
    <n v="1348"/>
    <n v="50142"/>
    <d v="2023-02-04T07:42:52"/>
    <n v="50"/>
    <s v="Female"/>
    <x v="2"/>
    <n v="2215"/>
  </r>
  <r>
    <n v="1473"/>
    <n v="50143"/>
    <d v="2023-02-04T13:33:23"/>
    <n v="40"/>
    <s v="Female"/>
    <x v="0"/>
    <n v="1902"/>
  </r>
  <r>
    <n v="1231"/>
    <n v="50144"/>
    <d v="2023-02-04T19:23:54"/>
    <n v="42"/>
    <s v="Male"/>
    <x v="1"/>
    <n v="1073"/>
  </r>
  <r>
    <n v="1190"/>
    <n v="50145"/>
    <d v="2023-02-05T01:14:25"/>
    <n v="25"/>
    <s v="Male"/>
    <x v="3"/>
    <n v="765"/>
  </r>
  <r>
    <n v="1225"/>
    <n v="50146"/>
    <d v="2023-02-05T07:04:56"/>
    <n v="62"/>
    <s v="Male"/>
    <x v="3"/>
    <n v="2218"/>
  </r>
  <r>
    <n v="1385"/>
    <n v="50147"/>
    <d v="2023-02-05T12:55:28"/>
    <n v="39"/>
    <s v="Female"/>
    <x v="0"/>
    <n v="2085"/>
  </r>
  <r>
    <n v="1377"/>
    <n v="50148"/>
    <d v="2023-02-05T18:45:59"/>
    <n v="21"/>
    <s v="Female"/>
    <x v="1"/>
    <n v="2323"/>
  </r>
  <r>
    <n v="1283"/>
    <n v="50149"/>
    <d v="2023-02-06T00:36:30"/>
    <n v="57"/>
    <s v="Male"/>
    <x v="3"/>
    <n v="4842"/>
  </r>
  <r>
    <n v="1259"/>
    <n v="50150"/>
    <d v="2023-02-06T06:27:01"/>
    <n v="20"/>
    <s v="Female"/>
    <x v="0"/>
    <n v="2514"/>
  </r>
  <r>
    <n v="1359"/>
    <n v="50151"/>
    <d v="2023-02-06T12:17:32"/>
    <n v="46"/>
    <s v="Male"/>
    <x v="0"/>
    <n v="4612"/>
  </r>
  <r>
    <n v="1456"/>
    <n v="50152"/>
    <d v="2023-02-06T18:08:03"/>
    <n v="58"/>
    <s v="Female"/>
    <x v="3"/>
    <n v="4083"/>
  </r>
  <r>
    <n v="1411"/>
    <n v="50153"/>
    <d v="2023-02-06T23:58:34"/>
    <n v="46"/>
    <s v="Female"/>
    <x v="3"/>
    <n v="3392"/>
  </r>
  <r>
    <n v="1318"/>
    <n v="50154"/>
    <d v="2023-02-07T05:49:05"/>
    <n v="51"/>
    <s v="Female"/>
    <x v="2"/>
    <n v="2059"/>
  </r>
  <r>
    <n v="1225"/>
    <n v="50155"/>
    <d v="2023-02-07T11:39:36"/>
    <n v="51"/>
    <s v="Female"/>
    <x v="1"/>
    <n v="224"/>
  </r>
  <r>
    <n v="1234"/>
    <n v="50156"/>
    <d v="2023-02-07T17:30:07"/>
    <n v="45"/>
    <s v="Male"/>
    <x v="2"/>
    <n v="3703"/>
  </r>
  <r>
    <n v="1374"/>
    <n v="50157"/>
    <d v="2023-02-07T23:20:38"/>
    <n v="30"/>
    <s v="Female"/>
    <x v="0"/>
    <n v="4455"/>
  </r>
  <r>
    <n v="1472"/>
    <n v="50158"/>
    <d v="2023-02-08T05:11:09"/>
    <n v="32"/>
    <s v="Female"/>
    <x v="3"/>
    <n v="1337"/>
  </r>
  <r>
    <n v="1233"/>
    <n v="50159"/>
    <d v="2023-02-08T11:01:40"/>
    <n v="40"/>
    <s v="Male"/>
    <x v="2"/>
    <n v="1389"/>
  </r>
  <r>
    <n v="1113"/>
    <n v="50160"/>
    <d v="2023-02-08T16:52:11"/>
    <n v="61"/>
    <s v="Female"/>
    <x v="0"/>
    <n v="4998"/>
  </r>
  <r>
    <n v="1497"/>
    <n v="50161"/>
    <d v="2023-02-08T22:42:42"/>
    <n v="43"/>
    <s v="Male"/>
    <x v="1"/>
    <n v="4296"/>
  </r>
  <r>
    <n v="1442"/>
    <n v="50162"/>
    <d v="2023-02-09T04:33:13"/>
    <n v="21"/>
    <s v="Male"/>
    <x v="3"/>
    <n v="3357"/>
  </r>
  <r>
    <n v="1564"/>
    <n v="50163"/>
    <d v="2023-02-09T10:23:44"/>
    <n v="43"/>
    <s v="Female"/>
    <x v="2"/>
    <n v="2567"/>
  </r>
  <r>
    <n v="1268"/>
    <n v="50164"/>
    <d v="2023-02-09T16:14:15"/>
    <n v="57"/>
    <s v="Female"/>
    <x v="1"/>
    <n v="4677"/>
  </r>
  <r>
    <n v="1510"/>
    <n v="50165"/>
    <d v="2023-02-09T22:04:46"/>
    <n v="26"/>
    <s v="Male"/>
    <x v="2"/>
    <n v="1941"/>
  </r>
  <r>
    <n v="1386"/>
    <n v="50166"/>
    <d v="2023-02-10T03:55:17"/>
    <n v="22"/>
    <s v="Male"/>
    <x v="0"/>
    <n v="3888"/>
  </r>
  <r>
    <n v="1387"/>
    <n v="50167"/>
    <d v="2023-02-10T09:45:48"/>
    <n v="49"/>
    <s v="Male"/>
    <x v="1"/>
    <n v="3946"/>
  </r>
  <r>
    <n v="1113"/>
    <n v="50168"/>
    <d v="2023-02-10T15:36:19"/>
    <n v="37"/>
    <s v="Female"/>
    <x v="2"/>
    <n v="1097"/>
  </r>
  <r>
    <n v="1081"/>
    <n v="50169"/>
    <d v="2023-02-10T21:26:50"/>
    <n v="28"/>
    <s v="Male"/>
    <x v="1"/>
    <n v="4223"/>
  </r>
  <r>
    <n v="1113"/>
    <n v="50170"/>
    <d v="2023-02-11T03:17:21"/>
    <n v="32"/>
    <s v="Male"/>
    <x v="0"/>
    <n v="916"/>
  </r>
  <r>
    <n v="1002"/>
    <n v="50171"/>
    <d v="2023-02-11T09:07:52"/>
    <n v="49"/>
    <s v="Male"/>
    <x v="1"/>
    <n v="4167"/>
  </r>
  <r>
    <n v="1220"/>
    <n v="50172"/>
    <d v="2023-02-11T14:58:23"/>
    <n v="45"/>
    <s v="Female"/>
    <x v="2"/>
    <n v="4221"/>
  </r>
  <r>
    <n v="1566"/>
    <n v="50173"/>
    <d v="2023-02-11T20:48:54"/>
    <n v="39"/>
    <s v="Male"/>
    <x v="0"/>
    <n v="3415"/>
  </r>
  <r>
    <n v="1225"/>
    <n v="50174"/>
    <d v="2023-02-12T02:39:25"/>
    <n v="58"/>
    <s v="Female"/>
    <x v="3"/>
    <n v="590"/>
  </r>
  <r>
    <n v="1385"/>
    <n v="50175"/>
    <d v="2023-02-12T08:29:56"/>
    <n v="34"/>
    <s v="Female"/>
    <x v="2"/>
    <n v="4084"/>
  </r>
  <r>
    <n v="1403"/>
    <n v="50176"/>
    <d v="2023-02-12T14:20:27"/>
    <n v="43"/>
    <s v="Male"/>
    <x v="2"/>
    <n v="1899"/>
  </r>
  <r>
    <n v="1130"/>
    <n v="50177"/>
    <d v="2023-02-12T20:10:58"/>
    <n v="61"/>
    <s v="Female"/>
    <x v="0"/>
    <n v="3237"/>
  </r>
  <r>
    <n v="1053"/>
    <n v="50178"/>
    <d v="2023-02-13T02:01:29"/>
    <n v="24"/>
    <s v="Male"/>
    <x v="0"/>
    <n v="432"/>
  </r>
  <r>
    <n v="1416"/>
    <n v="50179"/>
    <d v="2023-02-13T07:52:00"/>
    <n v="59"/>
    <s v="Female"/>
    <x v="3"/>
    <n v="2126"/>
  </r>
  <r>
    <n v="1247"/>
    <n v="50180"/>
    <d v="2023-02-13T13:42:31"/>
    <n v="43"/>
    <s v="Female"/>
    <x v="2"/>
    <n v="3331"/>
  </r>
  <r>
    <n v="1439"/>
    <n v="50181"/>
    <d v="2023-02-13T19:33:02"/>
    <n v="42"/>
    <s v="Male"/>
    <x v="0"/>
    <n v="3506"/>
  </r>
  <r>
    <n v="1203"/>
    <n v="50182"/>
    <d v="2023-02-14T01:23:33"/>
    <n v="27"/>
    <s v="Male"/>
    <x v="3"/>
    <n v="2924"/>
  </r>
  <r>
    <n v="1184"/>
    <n v="50183"/>
    <d v="2023-02-14T07:14:04"/>
    <n v="62"/>
    <s v="Male"/>
    <x v="3"/>
    <n v="433"/>
  </r>
  <r>
    <n v="1123"/>
    <n v="50184"/>
    <d v="2023-02-14T13:04:35"/>
    <n v="36"/>
    <s v="Female"/>
    <x v="0"/>
    <n v="1591"/>
  </r>
  <r>
    <n v="1401"/>
    <n v="50185"/>
    <d v="2023-02-14T18:55:06"/>
    <n v="28"/>
    <s v="Female"/>
    <x v="2"/>
    <n v="3092"/>
  </r>
  <r>
    <n v="1294"/>
    <n v="50186"/>
    <d v="2023-02-15T00:45:37"/>
    <n v="30"/>
    <s v="Male"/>
    <x v="1"/>
    <n v="1455"/>
  </r>
  <r>
    <n v="1280"/>
    <n v="50187"/>
    <d v="2023-02-15T06:36:08"/>
    <n v="25"/>
    <s v="Male"/>
    <x v="1"/>
    <n v="2738"/>
  </r>
  <r>
    <n v="1198"/>
    <n v="50188"/>
    <d v="2023-02-15T12:26:39"/>
    <n v="57"/>
    <s v="Female"/>
    <x v="3"/>
    <n v="3890"/>
  </r>
  <r>
    <n v="1511"/>
    <n v="50189"/>
    <d v="2023-02-15T18:17:10"/>
    <n v="21"/>
    <s v="Female"/>
    <x v="1"/>
    <n v="1089"/>
  </r>
  <r>
    <n v="1144"/>
    <n v="50190"/>
    <d v="2023-02-16T00:07:41"/>
    <n v="64"/>
    <s v="Female"/>
    <x v="1"/>
    <n v="4887"/>
  </r>
  <r>
    <n v="1201"/>
    <n v="50191"/>
    <d v="2023-02-16T05:58:12"/>
    <n v="48"/>
    <s v="Male"/>
    <x v="0"/>
    <n v="945"/>
  </r>
  <r>
    <n v="1124"/>
    <n v="50192"/>
    <d v="2023-02-16T11:48:43"/>
    <n v="45"/>
    <s v="Female"/>
    <x v="3"/>
    <n v="1919"/>
  </r>
  <r>
    <n v="1187"/>
    <n v="50193"/>
    <d v="2023-02-16T17:39:14"/>
    <n v="28"/>
    <s v="Male"/>
    <x v="2"/>
    <n v="627"/>
  </r>
  <r>
    <n v="1326"/>
    <n v="50194"/>
    <d v="2023-02-16T23:29:45"/>
    <n v="60"/>
    <s v="Female"/>
    <x v="3"/>
    <n v="931"/>
  </r>
  <r>
    <n v="1464"/>
    <n v="50195"/>
    <d v="2023-02-17T05:20:16"/>
    <n v="18"/>
    <s v="Female"/>
    <x v="0"/>
    <n v="999"/>
  </r>
  <r>
    <n v="1349"/>
    <n v="50196"/>
    <d v="2023-02-17T11:10:47"/>
    <n v="64"/>
    <s v="Male"/>
    <x v="1"/>
    <n v="4497"/>
  </r>
  <r>
    <n v="1403"/>
    <n v="50197"/>
    <d v="2023-02-17T17:01:18"/>
    <n v="55"/>
    <s v="Male"/>
    <x v="2"/>
    <n v="1035"/>
  </r>
  <r>
    <n v="1346"/>
    <n v="50198"/>
    <d v="2023-02-17T22:51:49"/>
    <n v="41"/>
    <s v="Male"/>
    <x v="3"/>
    <n v="334"/>
  </r>
  <r>
    <n v="1511"/>
    <n v="50199"/>
    <d v="2023-02-18T04:42:20"/>
    <n v="64"/>
    <s v="Female"/>
    <x v="1"/>
    <n v="2738"/>
  </r>
  <r>
    <n v="1147"/>
    <n v="50200"/>
    <d v="2023-02-18T10:32:51"/>
    <n v="48"/>
    <s v="Female"/>
    <x v="3"/>
    <n v="3918"/>
  </r>
  <r>
    <n v="1148"/>
    <n v="50201"/>
    <d v="2023-02-18T16:23:22"/>
    <n v="58"/>
    <s v="Female"/>
    <x v="2"/>
    <n v="240"/>
  </r>
  <r>
    <n v="1489"/>
    <n v="50202"/>
    <d v="2023-02-18T22:13:53"/>
    <n v="63"/>
    <s v="Male"/>
    <x v="3"/>
    <n v="3567"/>
  </r>
  <r>
    <n v="1551"/>
    <n v="50203"/>
    <d v="2023-02-19T04:04:24"/>
    <n v="43"/>
    <s v="Female"/>
    <x v="3"/>
    <n v="2615"/>
  </r>
  <r>
    <n v="1338"/>
    <n v="50204"/>
    <d v="2023-02-19T09:54:55"/>
    <n v="22"/>
    <s v="Male"/>
    <x v="3"/>
    <n v="2240"/>
  </r>
  <r>
    <n v="1473"/>
    <n v="50205"/>
    <d v="2023-02-19T15:45:26"/>
    <n v="37"/>
    <s v="Male"/>
    <x v="1"/>
    <n v="4539"/>
  </r>
  <r>
    <n v="1151"/>
    <n v="50206"/>
    <d v="2023-02-19T21:35:57"/>
    <n v="58"/>
    <s v="Male"/>
    <x v="2"/>
    <n v="3149"/>
  </r>
  <r>
    <n v="1415"/>
    <n v="50207"/>
    <d v="2023-02-20T03:26:28"/>
    <n v="28"/>
    <s v="Female"/>
    <x v="2"/>
    <n v="4461"/>
  </r>
  <r>
    <n v="1298"/>
    <n v="50208"/>
    <d v="2023-02-20T09:16:59"/>
    <n v="50"/>
    <s v="Female"/>
    <x v="1"/>
    <n v="3666"/>
  </r>
  <r>
    <n v="1263"/>
    <n v="50209"/>
    <d v="2023-02-20T15:07:30"/>
    <n v="55"/>
    <s v="Male"/>
    <x v="1"/>
    <n v="3288"/>
  </r>
  <r>
    <n v="1144"/>
    <n v="50210"/>
    <d v="2023-02-20T20:58:01"/>
    <n v="44"/>
    <s v="Female"/>
    <x v="1"/>
    <n v="1315"/>
  </r>
  <r>
    <n v="1346"/>
    <n v="50211"/>
    <d v="2023-02-21T02:48:32"/>
    <n v="51"/>
    <s v="Male"/>
    <x v="0"/>
    <n v="4778"/>
  </r>
  <r>
    <n v="1572"/>
    <n v="50212"/>
    <d v="2023-02-21T08:39:03"/>
    <n v="32"/>
    <s v="Male"/>
    <x v="3"/>
    <n v="2790"/>
  </r>
  <r>
    <n v="1002"/>
    <n v="50213"/>
    <d v="2023-02-21T14:29:34"/>
    <n v="49"/>
    <s v="Female"/>
    <x v="3"/>
    <n v="3773"/>
  </r>
  <r>
    <n v="1304"/>
    <n v="50214"/>
    <d v="2023-02-21T20:20:05"/>
    <n v="38"/>
    <s v="Male"/>
    <x v="2"/>
    <n v="3178"/>
  </r>
  <r>
    <n v="1254"/>
    <n v="50215"/>
    <d v="2023-02-22T02:10:36"/>
    <n v="63"/>
    <s v="Male"/>
    <x v="3"/>
    <n v="2647"/>
  </r>
  <r>
    <n v="1453"/>
    <n v="50216"/>
    <d v="2023-02-22T08:01:07"/>
    <n v="22"/>
    <s v="Female"/>
    <x v="0"/>
    <n v="1430"/>
  </r>
  <r>
    <n v="1037"/>
    <n v="50217"/>
    <d v="2023-02-22T13:51:38"/>
    <n v="23"/>
    <s v="Male"/>
    <x v="1"/>
    <n v="2866"/>
  </r>
  <r>
    <n v="1160"/>
    <n v="50218"/>
    <d v="2023-02-22T19:42:09"/>
    <n v="55"/>
    <s v="Male"/>
    <x v="2"/>
    <n v="4458"/>
  </r>
  <r>
    <n v="1009"/>
    <n v="50219"/>
    <d v="2023-02-23T01:32:40"/>
    <n v="39"/>
    <s v="Male"/>
    <x v="2"/>
    <n v="2794"/>
  </r>
  <r>
    <n v="1233"/>
    <n v="50220"/>
    <d v="2023-02-23T07:23:11"/>
    <n v="35"/>
    <s v="Male"/>
    <x v="3"/>
    <n v="3630"/>
  </r>
  <r>
    <n v="1099"/>
    <n v="50221"/>
    <d v="2023-02-23T13:13:42"/>
    <n v="31"/>
    <s v="Male"/>
    <x v="2"/>
    <n v="3117"/>
  </r>
  <r>
    <n v="1208"/>
    <n v="50222"/>
    <d v="2023-02-23T19:04:13"/>
    <n v="27"/>
    <s v="Male"/>
    <x v="1"/>
    <n v="3152"/>
  </r>
  <r>
    <n v="1131"/>
    <n v="50223"/>
    <d v="2023-02-24T00:54:44"/>
    <n v="63"/>
    <s v="Male"/>
    <x v="2"/>
    <n v="2195"/>
  </r>
  <r>
    <n v="1404"/>
    <n v="50224"/>
    <d v="2023-02-24T06:45:15"/>
    <n v="30"/>
    <s v="Female"/>
    <x v="1"/>
    <n v="4091"/>
  </r>
  <r>
    <n v="1152"/>
    <n v="50225"/>
    <d v="2023-02-24T12:35:46"/>
    <n v="48"/>
    <s v="Female"/>
    <x v="0"/>
    <n v="506"/>
  </r>
  <r>
    <n v="1054"/>
    <n v="50226"/>
    <d v="2023-02-24T18:26:17"/>
    <n v="47"/>
    <s v="Male"/>
    <x v="0"/>
    <n v="1562"/>
  </r>
  <r>
    <n v="1120"/>
    <n v="50227"/>
    <d v="2023-02-25T00:16:48"/>
    <n v="20"/>
    <s v="Male"/>
    <x v="1"/>
    <n v="2302"/>
  </r>
  <r>
    <n v="1587"/>
    <n v="50228"/>
    <d v="2023-02-25T06:07:19"/>
    <n v="47"/>
    <s v="Female"/>
    <x v="3"/>
    <n v="3230"/>
  </r>
  <r>
    <n v="1420"/>
    <n v="50229"/>
    <d v="2023-02-25T11:57:50"/>
    <n v="23"/>
    <s v="Female"/>
    <x v="2"/>
    <n v="532"/>
  </r>
  <r>
    <n v="1422"/>
    <n v="50230"/>
    <d v="2023-02-25T17:48:21"/>
    <n v="46"/>
    <s v="Female"/>
    <x v="3"/>
    <n v="2952"/>
  </r>
  <r>
    <n v="1104"/>
    <n v="50231"/>
    <d v="2023-02-25T23:38:52"/>
    <n v="25"/>
    <s v="Female"/>
    <x v="2"/>
    <n v="442"/>
  </r>
  <r>
    <n v="1254"/>
    <n v="50232"/>
    <d v="2023-02-26T05:29:23"/>
    <n v="61"/>
    <s v="Female"/>
    <x v="0"/>
    <n v="2084"/>
  </r>
  <r>
    <n v="1227"/>
    <n v="50233"/>
    <d v="2023-02-26T11:19:54"/>
    <n v="62"/>
    <s v="Male"/>
    <x v="0"/>
    <n v="1632"/>
  </r>
  <r>
    <n v="1112"/>
    <n v="50234"/>
    <d v="2023-02-26T17:10:25"/>
    <n v="60"/>
    <s v="Female"/>
    <x v="0"/>
    <n v="2750"/>
  </r>
  <r>
    <n v="1510"/>
    <n v="50235"/>
    <d v="2023-02-26T23:00:56"/>
    <n v="61"/>
    <s v="Female"/>
    <x v="2"/>
    <n v="502"/>
  </r>
  <r>
    <n v="1473"/>
    <n v="50236"/>
    <d v="2023-02-27T04:51:27"/>
    <n v="50"/>
    <s v="Female"/>
    <x v="0"/>
    <n v="4530"/>
  </r>
  <r>
    <n v="1099"/>
    <n v="50237"/>
    <d v="2023-02-27T10:41:58"/>
    <n v="34"/>
    <s v="Male"/>
    <x v="0"/>
    <n v="3309"/>
  </r>
  <r>
    <n v="1153"/>
    <n v="50238"/>
    <d v="2023-02-27T16:32:29"/>
    <n v="28"/>
    <s v="Male"/>
    <x v="0"/>
    <n v="2386"/>
  </r>
  <r>
    <n v="1338"/>
    <n v="50239"/>
    <d v="2023-02-27T22:23:00"/>
    <n v="30"/>
    <s v="Male"/>
    <x v="0"/>
    <n v="4490"/>
  </r>
  <r>
    <n v="1163"/>
    <n v="50240"/>
    <d v="2023-02-28T04:13:31"/>
    <n v="28"/>
    <s v="Male"/>
    <x v="3"/>
    <n v="1750"/>
  </r>
  <r>
    <n v="1161"/>
    <n v="50241"/>
    <d v="2023-02-28T10:04:02"/>
    <n v="48"/>
    <s v="Male"/>
    <x v="0"/>
    <n v="1992"/>
  </r>
  <r>
    <n v="1580"/>
    <n v="50242"/>
    <d v="2023-02-28T15:54:33"/>
    <n v="45"/>
    <s v="Male"/>
    <x v="0"/>
    <n v="846"/>
  </r>
  <r>
    <n v="1398"/>
    <n v="50243"/>
    <d v="2023-02-28T21:45:05"/>
    <n v="61"/>
    <s v="Female"/>
    <x v="3"/>
    <n v="4856"/>
  </r>
  <r>
    <n v="1277"/>
    <n v="50244"/>
    <d v="2023-03-01T03:35:36"/>
    <n v="23"/>
    <s v="Male"/>
    <x v="3"/>
    <n v="912"/>
  </r>
  <r>
    <n v="1504"/>
    <n v="50245"/>
    <d v="2023-03-01T09:26:07"/>
    <n v="58"/>
    <s v="Male"/>
    <x v="2"/>
    <n v="4708"/>
  </r>
  <r>
    <n v="1392"/>
    <n v="50246"/>
    <d v="2023-03-01T15:16:38"/>
    <n v="33"/>
    <s v="Female"/>
    <x v="1"/>
    <n v="737"/>
  </r>
  <r>
    <n v="1135"/>
    <n v="50247"/>
    <d v="2023-03-01T21:07:09"/>
    <n v="21"/>
    <s v="Male"/>
    <x v="0"/>
    <n v="434"/>
  </r>
  <r>
    <n v="1195"/>
    <n v="50248"/>
    <d v="2023-03-02T02:57:40"/>
    <n v="52"/>
    <s v="Female"/>
    <x v="0"/>
    <n v="2596"/>
  </r>
  <r>
    <n v="1401"/>
    <n v="50249"/>
    <d v="2023-03-02T08:48:11"/>
    <n v="43"/>
    <s v="Female"/>
    <x v="0"/>
    <n v="1704"/>
  </r>
  <r>
    <n v="1033"/>
    <n v="50250"/>
    <d v="2023-03-02T14:38:42"/>
    <n v="29"/>
    <s v="Male"/>
    <x v="2"/>
    <n v="1574"/>
  </r>
  <r>
    <n v="1460"/>
    <n v="50251"/>
    <d v="2023-03-02T20:29:13"/>
    <n v="28"/>
    <s v="Female"/>
    <x v="0"/>
    <n v="4711"/>
  </r>
  <r>
    <n v="1470"/>
    <n v="50252"/>
    <d v="2023-03-03T02:19:44"/>
    <n v="54"/>
    <s v="Female"/>
    <x v="1"/>
    <n v="2109"/>
  </r>
  <r>
    <n v="1375"/>
    <n v="50253"/>
    <d v="2023-03-03T08:10:15"/>
    <n v="42"/>
    <s v="Female"/>
    <x v="3"/>
    <n v="1115"/>
  </r>
  <r>
    <n v="1022"/>
    <n v="50254"/>
    <d v="2023-03-03T14:00:46"/>
    <n v="35"/>
    <s v="Female"/>
    <x v="2"/>
    <n v="4158"/>
  </r>
  <r>
    <n v="1038"/>
    <n v="50255"/>
    <d v="2023-03-03T19:51:17"/>
    <n v="36"/>
    <s v="Male"/>
    <x v="3"/>
    <n v="280"/>
  </r>
  <r>
    <n v="1230"/>
    <n v="50256"/>
    <d v="2023-03-04T01:41:48"/>
    <n v="40"/>
    <s v="Female"/>
    <x v="0"/>
    <n v="2283"/>
  </r>
  <r>
    <n v="1365"/>
    <n v="50257"/>
    <d v="2023-03-04T07:32:19"/>
    <n v="55"/>
    <s v="Male"/>
    <x v="0"/>
    <n v="2888"/>
  </r>
  <r>
    <n v="1563"/>
    <n v="50258"/>
    <d v="2023-03-04T13:22:50"/>
    <n v="35"/>
    <s v="Female"/>
    <x v="0"/>
    <n v="1890"/>
  </r>
  <r>
    <n v="1438"/>
    <n v="50259"/>
    <d v="2023-03-04T19:13:21"/>
    <n v="43"/>
    <s v="Female"/>
    <x v="1"/>
    <n v="956"/>
  </r>
  <r>
    <n v="1283"/>
    <n v="50260"/>
    <d v="2023-03-05T01:03:52"/>
    <n v="23"/>
    <s v="Female"/>
    <x v="1"/>
    <n v="2870"/>
  </r>
  <r>
    <n v="1027"/>
    <n v="50261"/>
    <d v="2023-03-05T06:54:23"/>
    <n v="21"/>
    <s v="Male"/>
    <x v="2"/>
    <n v="3951"/>
  </r>
  <r>
    <n v="1226"/>
    <n v="50262"/>
    <d v="2023-03-05T12:44:54"/>
    <n v="61"/>
    <s v="Male"/>
    <x v="3"/>
    <n v="3752"/>
  </r>
  <r>
    <n v="1277"/>
    <n v="50263"/>
    <d v="2023-03-05T18:35:25"/>
    <n v="46"/>
    <s v="Male"/>
    <x v="0"/>
    <n v="667"/>
  </r>
  <r>
    <n v="1284"/>
    <n v="50264"/>
    <d v="2023-03-06T00:25:56"/>
    <n v="51"/>
    <s v="Female"/>
    <x v="0"/>
    <n v="1694"/>
  </r>
  <r>
    <n v="1481"/>
    <n v="50265"/>
    <d v="2023-03-06T06:16:27"/>
    <n v="34"/>
    <s v="Female"/>
    <x v="0"/>
    <n v="1219"/>
  </r>
  <r>
    <n v="1453"/>
    <n v="50266"/>
    <d v="2023-03-06T12:06:58"/>
    <n v="60"/>
    <s v="Female"/>
    <x v="0"/>
    <n v="1101"/>
  </r>
  <r>
    <n v="1516"/>
    <n v="50267"/>
    <d v="2023-03-06T17:57:29"/>
    <n v="60"/>
    <s v="Female"/>
    <x v="1"/>
    <n v="872"/>
  </r>
  <r>
    <n v="1547"/>
    <n v="50268"/>
    <d v="2023-03-06T23:48:00"/>
    <n v="33"/>
    <s v="Male"/>
    <x v="3"/>
    <n v="638"/>
  </r>
  <r>
    <n v="1192"/>
    <n v="50269"/>
    <d v="2023-03-07T05:38:31"/>
    <n v="19"/>
    <s v="Female"/>
    <x v="3"/>
    <n v="4422"/>
  </r>
  <r>
    <n v="1049"/>
    <n v="50270"/>
    <d v="2023-03-07T11:29:02"/>
    <n v="51"/>
    <s v="Male"/>
    <x v="2"/>
    <n v="2276"/>
  </r>
  <r>
    <n v="1512"/>
    <n v="50271"/>
    <d v="2023-03-07T17:19:33"/>
    <n v="25"/>
    <s v="Female"/>
    <x v="1"/>
    <n v="644"/>
  </r>
  <r>
    <n v="1017"/>
    <n v="50272"/>
    <d v="2023-03-07T23:10:04"/>
    <n v="30"/>
    <s v="Male"/>
    <x v="0"/>
    <n v="1165"/>
  </r>
  <r>
    <n v="1172"/>
    <n v="50273"/>
    <d v="2023-03-08T05:00:35"/>
    <n v="59"/>
    <s v="Male"/>
    <x v="3"/>
    <n v="3990"/>
  </r>
  <r>
    <n v="1220"/>
    <n v="50274"/>
    <d v="2023-03-08T10:51:06"/>
    <n v="25"/>
    <s v="Female"/>
    <x v="3"/>
    <n v="663"/>
  </r>
  <r>
    <n v="1158"/>
    <n v="50275"/>
    <d v="2023-03-08T16:41:37"/>
    <n v="47"/>
    <s v="Female"/>
    <x v="1"/>
    <n v="2398"/>
  </r>
  <r>
    <n v="1477"/>
    <n v="50276"/>
    <d v="2023-03-08T22:32:08"/>
    <n v="49"/>
    <s v="Male"/>
    <x v="2"/>
    <n v="2487"/>
  </r>
  <r>
    <n v="1046"/>
    <n v="50277"/>
    <d v="2023-03-09T04:22:39"/>
    <n v="53"/>
    <s v="Female"/>
    <x v="2"/>
    <n v="3965"/>
  </r>
  <r>
    <n v="1373"/>
    <n v="50278"/>
    <d v="2023-03-09T10:13:10"/>
    <n v="64"/>
    <s v="Female"/>
    <x v="0"/>
    <n v="3376"/>
  </r>
  <r>
    <n v="1518"/>
    <n v="50279"/>
    <d v="2023-03-09T16:03:41"/>
    <n v="47"/>
    <s v="Male"/>
    <x v="2"/>
    <n v="4208"/>
  </r>
  <r>
    <n v="1099"/>
    <n v="50280"/>
    <d v="2023-03-09T21:54:12"/>
    <n v="18"/>
    <s v="Male"/>
    <x v="3"/>
    <n v="3704"/>
  </r>
  <r>
    <n v="1037"/>
    <n v="50281"/>
    <d v="2023-03-10T03:44:43"/>
    <n v="60"/>
    <s v="Male"/>
    <x v="2"/>
    <n v="1112"/>
  </r>
  <r>
    <n v="1280"/>
    <n v="50282"/>
    <d v="2023-03-10T09:35:14"/>
    <n v="56"/>
    <s v="Male"/>
    <x v="0"/>
    <n v="696"/>
  </r>
  <r>
    <n v="1349"/>
    <n v="50283"/>
    <d v="2023-03-10T15:25:45"/>
    <n v="34"/>
    <s v="Female"/>
    <x v="3"/>
    <n v="1663"/>
  </r>
  <r>
    <n v="1497"/>
    <n v="50284"/>
    <d v="2023-03-10T21:16:16"/>
    <n v="37"/>
    <s v="Male"/>
    <x v="2"/>
    <n v="4453"/>
  </r>
  <r>
    <n v="1302"/>
    <n v="50285"/>
    <d v="2023-03-11T03:06:47"/>
    <n v="41"/>
    <s v="Male"/>
    <x v="2"/>
    <n v="4467"/>
  </r>
  <r>
    <n v="1181"/>
    <n v="50286"/>
    <d v="2023-03-11T08:57:18"/>
    <n v="39"/>
    <s v="Male"/>
    <x v="1"/>
    <n v="693"/>
  </r>
  <r>
    <n v="1099"/>
    <n v="50287"/>
    <d v="2023-03-11T14:47:49"/>
    <n v="46"/>
    <s v="Female"/>
    <x v="0"/>
    <n v="1626"/>
  </r>
  <r>
    <n v="1116"/>
    <n v="50288"/>
    <d v="2023-03-11T20:38:20"/>
    <n v="39"/>
    <s v="Male"/>
    <x v="2"/>
    <n v="1892"/>
  </r>
  <r>
    <n v="1191"/>
    <n v="50289"/>
    <d v="2023-03-12T02:28:51"/>
    <n v="61"/>
    <s v="Female"/>
    <x v="1"/>
    <n v="1993"/>
  </r>
  <r>
    <n v="1253"/>
    <n v="50290"/>
    <d v="2023-03-12T08:19:22"/>
    <n v="26"/>
    <s v="Male"/>
    <x v="3"/>
    <n v="2923"/>
  </r>
  <r>
    <n v="1161"/>
    <n v="50291"/>
    <d v="2023-03-12T14:09:53"/>
    <n v="54"/>
    <s v="Male"/>
    <x v="1"/>
    <n v="858"/>
  </r>
  <r>
    <n v="1256"/>
    <n v="50292"/>
    <d v="2023-03-12T20:00:24"/>
    <n v="27"/>
    <s v="Female"/>
    <x v="1"/>
    <n v="4961"/>
  </r>
  <r>
    <n v="1323"/>
    <n v="50293"/>
    <d v="2023-03-13T01:50:55"/>
    <n v="53"/>
    <s v="Male"/>
    <x v="2"/>
    <n v="4662"/>
  </r>
  <r>
    <n v="1128"/>
    <n v="50294"/>
    <d v="2023-03-13T07:41:26"/>
    <n v="54"/>
    <s v="Male"/>
    <x v="2"/>
    <n v="749"/>
  </r>
  <r>
    <n v="1018"/>
    <n v="50295"/>
    <d v="2023-03-13T13:31:57"/>
    <n v="45"/>
    <s v="Female"/>
    <x v="2"/>
    <n v="842"/>
  </r>
  <r>
    <n v="1566"/>
    <n v="50296"/>
    <d v="2023-03-13T19:22:28"/>
    <n v="45"/>
    <s v="Male"/>
    <x v="1"/>
    <n v="4550"/>
  </r>
  <r>
    <n v="1570"/>
    <n v="50297"/>
    <d v="2023-03-14T01:12:59"/>
    <n v="59"/>
    <s v="Male"/>
    <x v="3"/>
    <n v="407"/>
  </r>
  <r>
    <n v="1323"/>
    <n v="50298"/>
    <d v="2023-03-14T07:03:30"/>
    <n v="60"/>
    <s v="Male"/>
    <x v="0"/>
    <n v="2697"/>
  </r>
  <r>
    <n v="1288"/>
    <n v="50299"/>
    <d v="2023-03-14T12:54:01"/>
    <n v="38"/>
    <s v="Male"/>
    <x v="1"/>
    <n v="4390"/>
  </r>
  <r>
    <n v="1155"/>
    <n v="50300"/>
    <d v="2023-03-14T18:44:32"/>
    <n v="41"/>
    <s v="Female"/>
    <x v="2"/>
    <n v="2083"/>
  </r>
  <r>
    <n v="1490"/>
    <n v="50301"/>
    <d v="2023-03-15T00:35:03"/>
    <n v="59"/>
    <s v="Male"/>
    <x v="0"/>
    <n v="3086"/>
  </r>
  <r>
    <n v="1386"/>
    <n v="50302"/>
    <d v="2023-03-15T06:25:34"/>
    <n v="57"/>
    <s v="Female"/>
    <x v="3"/>
    <n v="677"/>
  </r>
  <r>
    <n v="1104"/>
    <n v="50303"/>
    <d v="2023-03-15T12:16:05"/>
    <n v="19"/>
    <s v="Male"/>
    <x v="0"/>
    <n v="961"/>
  </r>
  <r>
    <n v="1393"/>
    <n v="50304"/>
    <d v="2023-03-15T18:06:36"/>
    <n v="25"/>
    <s v="Female"/>
    <x v="2"/>
    <n v="389"/>
  </r>
  <r>
    <n v="1246"/>
    <n v="50305"/>
    <d v="2023-03-15T23:57:07"/>
    <n v="44"/>
    <s v="Male"/>
    <x v="1"/>
    <n v="955"/>
  </r>
  <r>
    <n v="1176"/>
    <n v="50306"/>
    <d v="2023-03-16T05:47:38"/>
    <n v="39"/>
    <s v="Female"/>
    <x v="1"/>
    <n v="1646"/>
  </r>
  <r>
    <n v="1039"/>
    <n v="50307"/>
    <d v="2023-03-16T11:38:09"/>
    <n v="54"/>
    <s v="Male"/>
    <x v="2"/>
    <n v="1863"/>
  </r>
  <r>
    <n v="1477"/>
    <n v="50308"/>
    <d v="2023-03-16T17:28:40"/>
    <n v="44"/>
    <s v="Female"/>
    <x v="1"/>
    <n v="2035"/>
  </r>
  <r>
    <n v="1538"/>
    <n v="50309"/>
    <d v="2023-03-16T23:19:11"/>
    <n v="46"/>
    <s v="Female"/>
    <x v="2"/>
    <n v="4428"/>
  </r>
  <r>
    <n v="1408"/>
    <n v="50310"/>
    <d v="2023-03-17T05:09:42"/>
    <n v="20"/>
    <s v="Male"/>
    <x v="1"/>
    <n v="4350"/>
  </r>
  <r>
    <n v="1525"/>
    <n v="50311"/>
    <d v="2023-03-17T11:00:13"/>
    <n v="61"/>
    <s v="Female"/>
    <x v="1"/>
    <n v="4260"/>
  </r>
  <r>
    <n v="1506"/>
    <n v="50312"/>
    <d v="2023-03-17T16:50:44"/>
    <n v="30"/>
    <s v="Male"/>
    <x v="1"/>
    <n v="4805"/>
  </r>
  <r>
    <n v="1036"/>
    <n v="50313"/>
    <d v="2023-03-17T22:41:15"/>
    <n v="62"/>
    <s v="Male"/>
    <x v="3"/>
    <n v="4965"/>
  </r>
  <r>
    <n v="1020"/>
    <n v="50314"/>
    <d v="2023-03-18T04:31:46"/>
    <n v="27"/>
    <s v="Male"/>
    <x v="3"/>
    <n v="3812"/>
  </r>
  <r>
    <n v="1321"/>
    <n v="50315"/>
    <d v="2023-03-18T10:22:17"/>
    <n v="53"/>
    <s v="Male"/>
    <x v="2"/>
    <n v="1889"/>
  </r>
  <r>
    <n v="1512"/>
    <n v="50316"/>
    <d v="2023-03-18T16:12:48"/>
    <n v="26"/>
    <s v="Male"/>
    <x v="3"/>
    <n v="1516"/>
  </r>
  <r>
    <n v="1400"/>
    <n v="50317"/>
    <d v="2023-03-18T22:03:19"/>
    <n v="44"/>
    <s v="Female"/>
    <x v="2"/>
    <n v="3386"/>
  </r>
  <r>
    <n v="1471"/>
    <n v="50318"/>
    <d v="2023-03-19T03:53:50"/>
    <n v="51"/>
    <s v="Male"/>
    <x v="0"/>
    <n v="4220"/>
  </r>
  <r>
    <n v="1143"/>
    <n v="50319"/>
    <d v="2023-03-19T09:44:21"/>
    <n v="18"/>
    <s v="Male"/>
    <x v="0"/>
    <n v="4554"/>
  </r>
  <r>
    <n v="1092"/>
    <n v="50320"/>
    <d v="2023-03-19T15:34:52"/>
    <n v="49"/>
    <s v="Male"/>
    <x v="3"/>
    <n v="1345"/>
  </r>
  <r>
    <n v="1354"/>
    <n v="50321"/>
    <d v="2023-03-19T21:25:23"/>
    <n v="42"/>
    <s v="Male"/>
    <x v="0"/>
    <n v="4594"/>
  </r>
  <r>
    <n v="1051"/>
    <n v="50322"/>
    <d v="2023-03-20T03:15:54"/>
    <n v="46"/>
    <s v="Male"/>
    <x v="0"/>
    <n v="760"/>
  </r>
  <r>
    <n v="1575"/>
    <n v="50323"/>
    <d v="2023-03-20T09:06:25"/>
    <n v="24"/>
    <s v="Male"/>
    <x v="1"/>
    <n v="2112"/>
  </r>
  <r>
    <n v="1190"/>
    <n v="50324"/>
    <d v="2023-03-20T14:56:56"/>
    <n v="20"/>
    <s v="Female"/>
    <x v="1"/>
    <n v="2064"/>
  </r>
  <r>
    <n v="1125"/>
    <n v="50325"/>
    <d v="2023-03-20T20:47:27"/>
    <n v="37"/>
    <s v="Female"/>
    <x v="2"/>
    <n v="496"/>
  </r>
  <r>
    <n v="1150"/>
    <n v="50326"/>
    <d v="2023-03-21T02:37:58"/>
    <n v="37"/>
    <s v="Male"/>
    <x v="0"/>
    <n v="2609"/>
  </r>
  <r>
    <n v="1314"/>
    <n v="50327"/>
    <d v="2023-03-21T08:28:29"/>
    <n v="47"/>
    <s v="Female"/>
    <x v="2"/>
    <n v="2836"/>
  </r>
  <r>
    <n v="1570"/>
    <n v="50328"/>
    <d v="2023-03-21T14:19:00"/>
    <n v="52"/>
    <s v="Male"/>
    <x v="2"/>
    <n v="1661"/>
  </r>
  <r>
    <n v="1342"/>
    <n v="50329"/>
    <d v="2023-03-21T20:09:31"/>
    <n v="52"/>
    <s v="Male"/>
    <x v="0"/>
    <n v="4492"/>
  </r>
  <r>
    <n v="1305"/>
    <n v="50330"/>
    <d v="2023-03-22T02:00:02"/>
    <n v="56"/>
    <s v="Male"/>
    <x v="3"/>
    <n v="2468"/>
  </r>
  <r>
    <n v="1054"/>
    <n v="50331"/>
    <d v="2023-03-22T07:50:33"/>
    <n v="44"/>
    <s v="Male"/>
    <x v="0"/>
    <n v="1194"/>
  </r>
  <r>
    <n v="1444"/>
    <n v="50332"/>
    <d v="2023-03-22T13:41:04"/>
    <n v="43"/>
    <s v="Male"/>
    <x v="1"/>
    <n v="207"/>
  </r>
  <r>
    <n v="1264"/>
    <n v="50333"/>
    <d v="2023-03-22T19:31:35"/>
    <n v="31"/>
    <s v="Female"/>
    <x v="0"/>
    <n v="2791"/>
  </r>
  <r>
    <n v="1053"/>
    <n v="50334"/>
    <d v="2023-03-23T01:22:06"/>
    <n v="34"/>
    <s v="Female"/>
    <x v="3"/>
    <n v="2715"/>
  </r>
  <r>
    <n v="1572"/>
    <n v="50335"/>
    <d v="2023-03-23T07:12:37"/>
    <n v="35"/>
    <s v="Female"/>
    <x v="2"/>
    <n v="4615"/>
  </r>
  <r>
    <n v="1005"/>
    <n v="50336"/>
    <d v="2023-03-23T13:03:08"/>
    <n v="62"/>
    <s v="Female"/>
    <x v="2"/>
    <n v="1617"/>
  </r>
  <r>
    <n v="1103"/>
    <n v="50337"/>
    <d v="2023-03-23T18:53:39"/>
    <n v="46"/>
    <s v="Male"/>
    <x v="1"/>
    <n v="2516"/>
  </r>
  <r>
    <n v="1196"/>
    <n v="50338"/>
    <d v="2023-03-24T00:44:10"/>
    <n v="37"/>
    <s v="Female"/>
    <x v="1"/>
    <n v="4132"/>
  </r>
  <r>
    <n v="1350"/>
    <n v="50339"/>
    <d v="2023-03-24T06:34:41"/>
    <n v="44"/>
    <s v="Male"/>
    <x v="1"/>
    <n v="1487"/>
  </r>
  <r>
    <n v="1047"/>
    <n v="50340"/>
    <d v="2023-03-24T12:25:13"/>
    <n v="35"/>
    <s v="Female"/>
    <x v="2"/>
    <n v="3044"/>
  </r>
  <r>
    <n v="1269"/>
    <n v="50341"/>
    <d v="2023-03-24T18:15:44"/>
    <n v="21"/>
    <s v="Female"/>
    <x v="1"/>
    <n v="1318"/>
  </r>
  <r>
    <n v="1370"/>
    <n v="50342"/>
    <d v="2023-03-25T00:06:15"/>
    <n v="18"/>
    <s v="Female"/>
    <x v="0"/>
    <n v="752"/>
  </r>
  <r>
    <n v="1106"/>
    <n v="50343"/>
    <d v="2023-03-25T05:56:46"/>
    <n v="18"/>
    <s v="Female"/>
    <x v="2"/>
    <n v="860"/>
  </r>
  <r>
    <n v="1120"/>
    <n v="50344"/>
    <d v="2023-03-25T11:47:17"/>
    <n v="43"/>
    <s v="Male"/>
    <x v="3"/>
    <n v="915"/>
  </r>
  <r>
    <n v="1058"/>
    <n v="50345"/>
    <d v="2023-03-25T17:37:48"/>
    <n v="62"/>
    <s v="Female"/>
    <x v="2"/>
    <n v="3785"/>
  </r>
  <r>
    <n v="1346"/>
    <n v="50346"/>
    <d v="2023-03-25T23:28:19"/>
    <n v="37"/>
    <s v="Female"/>
    <x v="0"/>
    <n v="3961"/>
  </r>
  <r>
    <n v="1474"/>
    <n v="50347"/>
    <d v="2023-03-26T05:18:50"/>
    <n v="40"/>
    <s v="Male"/>
    <x v="0"/>
    <n v="2729"/>
  </r>
  <r>
    <n v="1117"/>
    <n v="50348"/>
    <d v="2023-03-26T11:09:21"/>
    <n v="27"/>
    <s v="Male"/>
    <x v="1"/>
    <n v="4170"/>
  </r>
  <r>
    <n v="1127"/>
    <n v="50349"/>
    <d v="2023-03-26T16:59:52"/>
    <n v="28"/>
    <s v="Female"/>
    <x v="2"/>
    <n v="3607"/>
  </r>
  <r>
    <n v="1393"/>
    <n v="50350"/>
    <d v="2023-03-26T22:50:23"/>
    <n v="58"/>
    <s v="Male"/>
    <x v="2"/>
    <n v="1658"/>
  </r>
  <r>
    <n v="1058"/>
    <n v="50351"/>
    <d v="2023-03-27T04:40:54"/>
    <n v="58"/>
    <s v="Male"/>
    <x v="2"/>
    <n v="3467"/>
  </r>
  <r>
    <n v="1513"/>
    <n v="50352"/>
    <d v="2023-03-27T10:31:25"/>
    <n v="22"/>
    <s v="Male"/>
    <x v="3"/>
    <n v="1054"/>
  </r>
  <r>
    <n v="1096"/>
    <n v="50353"/>
    <d v="2023-03-27T16:21:56"/>
    <n v="18"/>
    <s v="Female"/>
    <x v="1"/>
    <n v="4960"/>
  </r>
  <r>
    <n v="1118"/>
    <n v="50354"/>
    <d v="2023-03-27T22:12:27"/>
    <n v="34"/>
    <s v="Male"/>
    <x v="0"/>
    <n v="3737"/>
  </r>
  <r>
    <n v="1560"/>
    <n v="50355"/>
    <d v="2023-03-28T04:02:58"/>
    <n v="39"/>
    <s v="Female"/>
    <x v="0"/>
    <n v="2097"/>
  </r>
  <r>
    <n v="1488"/>
    <n v="50356"/>
    <d v="2023-03-28T09:53:29"/>
    <n v="51"/>
    <s v="Female"/>
    <x v="1"/>
    <n v="472"/>
  </r>
  <r>
    <n v="1237"/>
    <n v="50357"/>
    <d v="2023-03-28T15:44:00"/>
    <n v="62"/>
    <s v="Female"/>
    <x v="0"/>
    <n v="4287"/>
  </r>
  <r>
    <n v="1272"/>
    <n v="50358"/>
    <d v="2023-03-28T21:34:31"/>
    <n v="58"/>
    <s v="Female"/>
    <x v="0"/>
    <n v="1472"/>
  </r>
  <r>
    <n v="1189"/>
    <n v="50359"/>
    <d v="2023-03-29T03:25:02"/>
    <n v="46"/>
    <s v="Male"/>
    <x v="1"/>
    <n v="4574"/>
  </r>
  <r>
    <n v="1447"/>
    <n v="50360"/>
    <d v="2023-03-29T09:15:33"/>
    <n v="21"/>
    <s v="Female"/>
    <x v="0"/>
    <n v="4219"/>
  </r>
  <r>
    <n v="1581"/>
    <n v="50361"/>
    <d v="2023-03-29T15:06:04"/>
    <n v="22"/>
    <s v="Male"/>
    <x v="2"/>
    <n v="1015"/>
  </r>
  <r>
    <n v="1247"/>
    <n v="50362"/>
    <d v="2023-03-29T20:56:35"/>
    <n v="28"/>
    <s v="Female"/>
    <x v="3"/>
    <n v="4571"/>
  </r>
  <r>
    <n v="1076"/>
    <n v="50363"/>
    <d v="2023-03-30T02:47:06"/>
    <n v="38"/>
    <s v="Male"/>
    <x v="1"/>
    <n v="1122"/>
  </r>
  <r>
    <n v="1154"/>
    <n v="50364"/>
    <d v="2023-03-30T08:37:37"/>
    <n v="52"/>
    <s v="Female"/>
    <x v="3"/>
    <n v="4937"/>
  </r>
  <r>
    <n v="1435"/>
    <n v="50365"/>
    <d v="2023-03-30T14:28:08"/>
    <n v="29"/>
    <s v="Male"/>
    <x v="0"/>
    <n v="4800"/>
  </r>
  <r>
    <n v="1086"/>
    <n v="50366"/>
    <d v="2023-03-30T20:18:39"/>
    <n v="43"/>
    <s v="Female"/>
    <x v="0"/>
    <n v="1464"/>
  </r>
  <r>
    <n v="1285"/>
    <n v="50367"/>
    <d v="2023-03-31T02:09:10"/>
    <n v="36"/>
    <s v="Female"/>
    <x v="2"/>
    <n v="3924"/>
  </r>
  <r>
    <n v="1220"/>
    <n v="50368"/>
    <d v="2023-03-31T07:59:41"/>
    <n v="62"/>
    <s v="Male"/>
    <x v="1"/>
    <n v="2987"/>
  </r>
  <r>
    <n v="1069"/>
    <n v="50369"/>
    <d v="2023-03-31T13:50:12"/>
    <n v="24"/>
    <s v="Female"/>
    <x v="0"/>
    <n v="2922"/>
  </r>
  <r>
    <n v="1047"/>
    <n v="50370"/>
    <d v="2023-03-31T19:40:43"/>
    <n v="64"/>
    <s v="Female"/>
    <x v="1"/>
    <n v="4423"/>
  </r>
  <r>
    <n v="1094"/>
    <n v="50371"/>
    <d v="2023-04-01T01:31:14"/>
    <n v="24"/>
    <s v="Female"/>
    <x v="1"/>
    <n v="2750"/>
  </r>
  <r>
    <n v="1453"/>
    <n v="50372"/>
    <d v="2023-04-01T07:21:45"/>
    <n v="43"/>
    <s v="Male"/>
    <x v="1"/>
    <n v="3149"/>
  </r>
  <r>
    <n v="1204"/>
    <n v="50373"/>
    <d v="2023-04-01T13:12:16"/>
    <n v="57"/>
    <s v="Female"/>
    <x v="1"/>
    <n v="1873"/>
  </r>
  <r>
    <n v="1218"/>
    <n v="50374"/>
    <d v="2023-04-01T19:02:47"/>
    <n v="22"/>
    <s v="Female"/>
    <x v="1"/>
    <n v="4787"/>
  </r>
  <r>
    <n v="1474"/>
    <n v="50375"/>
    <d v="2023-04-02T00:53:18"/>
    <n v="38"/>
    <s v="Male"/>
    <x v="3"/>
    <n v="3292"/>
  </r>
  <r>
    <n v="1432"/>
    <n v="50376"/>
    <d v="2023-04-02T06:43:49"/>
    <n v="31"/>
    <s v="Male"/>
    <x v="2"/>
    <n v="3038"/>
  </r>
  <r>
    <n v="1341"/>
    <n v="50377"/>
    <d v="2023-04-02T12:34:20"/>
    <n v="21"/>
    <s v="Male"/>
    <x v="1"/>
    <n v="1866"/>
  </r>
  <r>
    <n v="1551"/>
    <n v="50378"/>
    <d v="2023-04-02T18:24:51"/>
    <n v="40"/>
    <s v="Male"/>
    <x v="3"/>
    <n v="4711"/>
  </r>
  <r>
    <n v="1289"/>
    <n v="50379"/>
    <d v="2023-04-03T00:15:22"/>
    <n v="59"/>
    <s v="Male"/>
    <x v="0"/>
    <n v="2395"/>
  </r>
  <r>
    <n v="1254"/>
    <n v="50380"/>
    <d v="2023-04-03T06:05:53"/>
    <n v="37"/>
    <s v="Female"/>
    <x v="1"/>
    <n v="1584"/>
  </r>
  <r>
    <n v="1357"/>
    <n v="50381"/>
    <d v="2023-04-03T11:56:24"/>
    <n v="32"/>
    <s v="Female"/>
    <x v="0"/>
    <n v="4603"/>
  </r>
  <r>
    <n v="1023"/>
    <n v="50382"/>
    <d v="2023-04-03T17:46:55"/>
    <n v="62"/>
    <s v="Female"/>
    <x v="1"/>
    <n v="4154"/>
  </r>
  <r>
    <n v="1522"/>
    <n v="50383"/>
    <d v="2023-04-03T23:37:26"/>
    <n v="46"/>
    <s v="Male"/>
    <x v="3"/>
    <n v="3099"/>
  </r>
  <r>
    <n v="1100"/>
    <n v="50384"/>
    <d v="2023-04-04T05:27:57"/>
    <n v="25"/>
    <s v="Female"/>
    <x v="3"/>
    <n v="260"/>
  </r>
  <r>
    <n v="1180"/>
    <n v="50385"/>
    <d v="2023-04-04T11:18:28"/>
    <n v="58"/>
    <s v="Male"/>
    <x v="3"/>
    <n v="4147"/>
  </r>
  <r>
    <n v="1223"/>
    <n v="50386"/>
    <d v="2023-04-04T17:08:59"/>
    <n v="36"/>
    <s v="Male"/>
    <x v="2"/>
    <n v="2490"/>
  </r>
  <r>
    <n v="1442"/>
    <n v="50387"/>
    <d v="2023-04-04T22:59:30"/>
    <n v="56"/>
    <s v="Female"/>
    <x v="0"/>
    <n v="672"/>
  </r>
  <r>
    <n v="1325"/>
    <n v="50388"/>
    <d v="2023-04-05T04:50:01"/>
    <n v="63"/>
    <s v="Male"/>
    <x v="2"/>
    <n v="1158"/>
  </r>
  <r>
    <n v="1516"/>
    <n v="50389"/>
    <d v="2023-04-05T10:40:32"/>
    <n v="45"/>
    <s v="Male"/>
    <x v="1"/>
    <n v="732"/>
  </r>
  <r>
    <n v="1016"/>
    <n v="50390"/>
    <d v="2023-04-05T16:31:03"/>
    <n v="63"/>
    <s v="Female"/>
    <x v="0"/>
    <n v="693"/>
  </r>
  <r>
    <n v="1336"/>
    <n v="50391"/>
    <d v="2023-04-05T22:21:34"/>
    <n v="44"/>
    <s v="Male"/>
    <x v="3"/>
    <n v="281"/>
  </r>
  <r>
    <n v="1258"/>
    <n v="50392"/>
    <d v="2023-04-06T04:12:05"/>
    <n v="21"/>
    <s v="Male"/>
    <x v="0"/>
    <n v="3170"/>
  </r>
  <r>
    <n v="1497"/>
    <n v="50393"/>
    <d v="2023-04-06T10:02:36"/>
    <n v="32"/>
    <s v="Female"/>
    <x v="3"/>
    <n v="211"/>
  </r>
  <r>
    <n v="1160"/>
    <n v="50394"/>
    <d v="2023-04-06T15:53:07"/>
    <n v="52"/>
    <s v="Male"/>
    <x v="2"/>
    <n v="4744"/>
  </r>
  <r>
    <n v="1475"/>
    <n v="50395"/>
    <d v="2023-04-06T21:43:38"/>
    <n v="54"/>
    <s v="Male"/>
    <x v="2"/>
    <n v="961"/>
  </r>
  <r>
    <n v="1380"/>
    <n v="50396"/>
    <d v="2023-04-07T03:34:09"/>
    <n v="18"/>
    <s v="Female"/>
    <x v="3"/>
    <n v="3385"/>
  </r>
  <r>
    <n v="1545"/>
    <n v="50397"/>
    <d v="2023-04-07T09:24:40"/>
    <n v="20"/>
    <s v="Female"/>
    <x v="3"/>
    <n v="225"/>
  </r>
  <r>
    <n v="1427"/>
    <n v="50398"/>
    <d v="2023-04-07T15:15:11"/>
    <n v="64"/>
    <s v="Female"/>
    <x v="1"/>
    <n v="2006"/>
  </r>
  <r>
    <n v="1268"/>
    <n v="50399"/>
    <d v="2023-04-07T21:05:42"/>
    <n v="41"/>
    <s v="Female"/>
    <x v="2"/>
    <n v="4357"/>
  </r>
  <r>
    <n v="1577"/>
    <n v="50400"/>
    <d v="2023-04-08T02:56:13"/>
    <n v="44"/>
    <s v="Male"/>
    <x v="2"/>
    <n v="4524"/>
  </r>
  <r>
    <n v="1417"/>
    <n v="50401"/>
    <d v="2023-04-08T08:46:44"/>
    <n v="57"/>
    <s v="Male"/>
    <x v="1"/>
    <n v="4902"/>
  </r>
  <r>
    <n v="1168"/>
    <n v="50402"/>
    <d v="2023-04-08T14:37:15"/>
    <n v="53"/>
    <s v="Female"/>
    <x v="2"/>
    <n v="3859"/>
  </r>
  <r>
    <n v="1043"/>
    <n v="50403"/>
    <d v="2023-04-08T20:27:46"/>
    <n v="51"/>
    <s v="Male"/>
    <x v="3"/>
    <n v="1725"/>
  </r>
  <r>
    <n v="1556"/>
    <n v="50404"/>
    <d v="2023-04-09T02:18:17"/>
    <n v="46"/>
    <s v="Male"/>
    <x v="0"/>
    <n v="960"/>
  </r>
  <r>
    <n v="1285"/>
    <n v="50405"/>
    <d v="2023-04-09T08:08:48"/>
    <n v="41"/>
    <s v="Female"/>
    <x v="0"/>
    <n v="794"/>
  </r>
  <r>
    <n v="1397"/>
    <n v="50406"/>
    <d v="2023-04-09T13:59:19"/>
    <n v="41"/>
    <s v="Female"/>
    <x v="2"/>
    <n v="1255"/>
  </r>
  <r>
    <n v="1012"/>
    <n v="50407"/>
    <d v="2023-04-09T19:49:50"/>
    <n v="59"/>
    <s v="Male"/>
    <x v="1"/>
    <n v="2054"/>
  </r>
  <r>
    <n v="1302"/>
    <n v="50408"/>
    <d v="2023-04-10T01:40:21"/>
    <n v="21"/>
    <s v="Female"/>
    <x v="3"/>
    <n v="3283"/>
  </r>
  <r>
    <n v="1253"/>
    <n v="50409"/>
    <d v="2023-04-10T07:30:52"/>
    <n v="20"/>
    <s v="Female"/>
    <x v="0"/>
    <n v="4116"/>
  </r>
  <r>
    <n v="1499"/>
    <n v="50410"/>
    <d v="2023-04-10T13:21:23"/>
    <n v="51"/>
    <s v="Female"/>
    <x v="3"/>
    <n v="3875"/>
  </r>
  <r>
    <n v="1035"/>
    <n v="50411"/>
    <d v="2023-04-10T19:11:54"/>
    <n v="40"/>
    <s v="Male"/>
    <x v="2"/>
    <n v="2248"/>
  </r>
  <r>
    <n v="1090"/>
    <n v="50412"/>
    <d v="2023-04-11T01:02:25"/>
    <n v="40"/>
    <s v="Female"/>
    <x v="2"/>
    <n v="1658"/>
  </r>
  <r>
    <n v="1418"/>
    <n v="50413"/>
    <d v="2023-04-11T06:52:56"/>
    <n v="62"/>
    <s v="Male"/>
    <x v="0"/>
    <n v="1419"/>
  </r>
  <r>
    <n v="1115"/>
    <n v="50414"/>
    <d v="2023-04-11T12:43:27"/>
    <n v="22"/>
    <s v="Male"/>
    <x v="2"/>
    <n v="4428"/>
  </r>
  <r>
    <n v="1196"/>
    <n v="50415"/>
    <d v="2023-04-11T18:33:58"/>
    <n v="48"/>
    <s v="Male"/>
    <x v="1"/>
    <n v="4381"/>
  </r>
  <r>
    <n v="1501"/>
    <n v="50416"/>
    <d v="2023-04-12T00:24:29"/>
    <n v="58"/>
    <s v="Female"/>
    <x v="2"/>
    <n v="1699"/>
  </r>
  <r>
    <n v="1493"/>
    <n v="50417"/>
    <d v="2023-04-12T06:15:00"/>
    <n v="23"/>
    <s v="Female"/>
    <x v="2"/>
    <n v="2030"/>
  </r>
  <r>
    <n v="1075"/>
    <n v="50418"/>
    <d v="2023-04-12T12:05:31"/>
    <n v="54"/>
    <s v="Female"/>
    <x v="2"/>
    <n v="3595"/>
  </r>
  <r>
    <n v="1413"/>
    <n v="50419"/>
    <d v="2023-04-12T17:56:02"/>
    <n v="27"/>
    <s v="Female"/>
    <x v="3"/>
    <n v="1403"/>
  </r>
  <r>
    <n v="1376"/>
    <n v="50420"/>
    <d v="2023-04-12T23:46:33"/>
    <n v="57"/>
    <s v="Female"/>
    <x v="3"/>
    <n v="4470"/>
  </r>
  <r>
    <n v="1420"/>
    <n v="50421"/>
    <d v="2023-04-13T05:37:04"/>
    <n v="24"/>
    <s v="Male"/>
    <x v="0"/>
    <n v="3010"/>
  </r>
  <r>
    <n v="1277"/>
    <n v="50422"/>
    <d v="2023-04-13T11:27:35"/>
    <n v="56"/>
    <s v="Male"/>
    <x v="0"/>
    <n v="3292"/>
  </r>
  <r>
    <n v="1394"/>
    <n v="50423"/>
    <d v="2023-04-13T17:18:06"/>
    <n v="55"/>
    <s v="Male"/>
    <x v="0"/>
    <n v="3244"/>
  </r>
  <r>
    <n v="1457"/>
    <n v="50424"/>
    <d v="2023-04-13T23:08:37"/>
    <n v="38"/>
    <s v="Female"/>
    <x v="2"/>
    <n v="4873"/>
  </r>
  <r>
    <n v="1192"/>
    <n v="50425"/>
    <d v="2023-04-14T04:59:08"/>
    <n v="37"/>
    <s v="Male"/>
    <x v="3"/>
    <n v="3714"/>
  </r>
  <r>
    <n v="1099"/>
    <n v="50426"/>
    <d v="2023-04-14T10:49:39"/>
    <n v="20"/>
    <s v="Male"/>
    <x v="1"/>
    <n v="1998"/>
  </r>
  <r>
    <n v="1548"/>
    <n v="50427"/>
    <d v="2023-04-14T16:40:10"/>
    <n v="39"/>
    <s v="Female"/>
    <x v="2"/>
    <n v="2775"/>
  </r>
  <r>
    <n v="1096"/>
    <n v="50428"/>
    <d v="2023-04-14T22:30:41"/>
    <n v="64"/>
    <s v="Female"/>
    <x v="2"/>
    <n v="344"/>
  </r>
  <r>
    <n v="1190"/>
    <n v="50429"/>
    <d v="2023-04-15T04:21:12"/>
    <n v="21"/>
    <s v="Male"/>
    <x v="2"/>
    <n v="4126"/>
  </r>
  <r>
    <n v="1037"/>
    <n v="50430"/>
    <d v="2023-04-15T10:11:43"/>
    <n v="45"/>
    <s v="Male"/>
    <x v="1"/>
    <n v="1577"/>
  </r>
  <r>
    <n v="1369"/>
    <n v="50431"/>
    <d v="2023-04-15T16:02:14"/>
    <n v="29"/>
    <s v="Female"/>
    <x v="0"/>
    <n v="3346"/>
  </r>
  <r>
    <n v="1525"/>
    <n v="50432"/>
    <d v="2023-04-15T21:52:45"/>
    <n v="55"/>
    <s v="Female"/>
    <x v="1"/>
    <n v="2025"/>
  </r>
  <r>
    <n v="1279"/>
    <n v="50433"/>
    <d v="2023-04-16T03:43:16"/>
    <n v="53"/>
    <s v="Female"/>
    <x v="0"/>
    <n v="993"/>
  </r>
  <r>
    <n v="1217"/>
    <n v="50434"/>
    <d v="2023-04-16T09:33:47"/>
    <n v="64"/>
    <s v="Female"/>
    <x v="1"/>
    <n v="1801"/>
  </r>
  <r>
    <n v="1273"/>
    <n v="50435"/>
    <d v="2023-04-16T15:24:18"/>
    <n v="58"/>
    <s v="Male"/>
    <x v="3"/>
    <n v="4614"/>
  </r>
  <r>
    <n v="1062"/>
    <n v="50436"/>
    <d v="2023-04-16T21:14:49"/>
    <n v="22"/>
    <s v="Male"/>
    <x v="2"/>
    <n v="1310"/>
  </r>
  <r>
    <n v="1596"/>
    <n v="50437"/>
    <d v="2023-04-17T03:05:21"/>
    <n v="30"/>
    <s v="Female"/>
    <x v="2"/>
    <n v="4253"/>
  </r>
  <r>
    <n v="1342"/>
    <n v="50438"/>
    <d v="2023-04-17T08:55:52"/>
    <n v="40"/>
    <s v="Male"/>
    <x v="2"/>
    <n v="4993"/>
  </r>
  <r>
    <n v="1397"/>
    <n v="50439"/>
    <d v="2023-04-17T14:46:23"/>
    <n v="47"/>
    <s v="Male"/>
    <x v="0"/>
    <n v="4137"/>
  </r>
  <r>
    <n v="1019"/>
    <n v="50440"/>
    <d v="2023-04-17T20:36:54"/>
    <n v="54"/>
    <s v="Female"/>
    <x v="1"/>
    <n v="4163"/>
  </r>
  <r>
    <n v="1177"/>
    <n v="50441"/>
    <d v="2023-04-18T02:27:25"/>
    <n v="42"/>
    <s v="Male"/>
    <x v="3"/>
    <n v="982"/>
  </r>
  <r>
    <n v="1396"/>
    <n v="50442"/>
    <d v="2023-04-18T08:17:56"/>
    <n v="44"/>
    <s v="Male"/>
    <x v="1"/>
    <n v="1316"/>
  </r>
  <r>
    <n v="1445"/>
    <n v="50443"/>
    <d v="2023-04-18T14:08:27"/>
    <n v="31"/>
    <s v="Male"/>
    <x v="2"/>
    <n v="1950"/>
  </r>
  <r>
    <n v="1233"/>
    <n v="50444"/>
    <d v="2023-04-18T19:58:58"/>
    <n v="64"/>
    <s v="Female"/>
    <x v="3"/>
    <n v="2776"/>
  </r>
  <r>
    <n v="1076"/>
    <n v="50445"/>
    <d v="2023-04-19T01:49:29"/>
    <n v="53"/>
    <s v="Female"/>
    <x v="3"/>
    <n v="4227"/>
  </r>
  <r>
    <n v="1265"/>
    <n v="50446"/>
    <d v="2023-04-19T07:40:00"/>
    <n v="56"/>
    <s v="Male"/>
    <x v="2"/>
    <n v="3536"/>
  </r>
  <r>
    <n v="1455"/>
    <n v="50447"/>
    <d v="2023-04-19T13:30:31"/>
    <n v="33"/>
    <s v="Female"/>
    <x v="1"/>
    <n v="4587"/>
  </r>
  <r>
    <n v="1384"/>
    <n v="50448"/>
    <d v="2023-04-19T19:21:02"/>
    <n v="39"/>
    <s v="Female"/>
    <x v="2"/>
    <n v="1687"/>
  </r>
  <r>
    <n v="1564"/>
    <n v="50449"/>
    <d v="2023-04-20T01:11:33"/>
    <n v="38"/>
    <s v="Female"/>
    <x v="1"/>
    <n v="4075"/>
  </r>
  <r>
    <n v="1506"/>
    <n v="50450"/>
    <d v="2023-04-20T07:02:04"/>
    <n v="38"/>
    <s v="Male"/>
    <x v="3"/>
    <n v="3831"/>
  </r>
  <r>
    <n v="1367"/>
    <n v="50451"/>
    <d v="2023-04-20T12:52:35"/>
    <n v="25"/>
    <s v="Male"/>
    <x v="3"/>
    <n v="4392"/>
  </r>
  <r>
    <n v="1144"/>
    <n v="50452"/>
    <d v="2023-04-20T18:43:06"/>
    <n v="33"/>
    <s v="Female"/>
    <x v="2"/>
    <n v="4158"/>
  </r>
  <r>
    <n v="1069"/>
    <n v="50453"/>
    <d v="2023-04-21T00:33:37"/>
    <n v="48"/>
    <s v="Male"/>
    <x v="3"/>
    <n v="3597"/>
  </r>
  <r>
    <n v="1099"/>
    <n v="50454"/>
    <d v="2023-04-21T06:24:08"/>
    <n v="59"/>
    <s v="Male"/>
    <x v="0"/>
    <n v="273"/>
  </r>
  <r>
    <n v="1396"/>
    <n v="50455"/>
    <d v="2023-04-21T12:14:39"/>
    <n v="27"/>
    <s v="Male"/>
    <x v="3"/>
    <n v="1559"/>
  </r>
  <r>
    <n v="1025"/>
    <n v="50456"/>
    <d v="2023-04-21T18:05:10"/>
    <n v="49"/>
    <s v="Male"/>
    <x v="0"/>
    <n v="1291"/>
  </r>
  <r>
    <n v="1469"/>
    <n v="50457"/>
    <d v="2023-04-21T23:55:41"/>
    <n v="51"/>
    <s v="Male"/>
    <x v="3"/>
    <n v="2141"/>
  </r>
  <r>
    <n v="1484"/>
    <n v="50458"/>
    <d v="2023-04-22T05:46:12"/>
    <n v="26"/>
    <s v="Female"/>
    <x v="2"/>
    <n v="3348"/>
  </r>
  <r>
    <n v="1565"/>
    <n v="50459"/>
    <d v="2023-04-22T11:36:43"/>
    <n v="34"/>
    <s v="Male"/>
    <x v="2"/>
    <n v="4503"/>
  </r>
  <r>
    <n v="1151"/>
    <n v="50460"/>
    <d v="2023-04-22T17:27:14"/>
    <n v="28"/>
    <s v="Male"/>
    <x v="0"/>
    <n v="1444"/>
  </r>
  <r>
    <n v="1144"/>
    <n v="50461"/>
    <d v="2023-04-22T23:17:45"/>
    <n v="49"/>
    <s v="Male"/>
    <x v="2"/>
    <n v="1485"/>
  </r>
  <r>
    <n v="1569"/>
    <n v="50462"/>
    <d v="2023-04-23T05:08:16"/>
    <n v="27"/>
    <s v="Female"/>
    <x v="3"/>
    <n v="4705"/>
  </r>
  <r>
    <n v="1039"/>
    <n v="50463"/>
    <d v="2023-04-23T10:58:47"/>
    <n v="39"/>
    <s v="Female"/>
    <x v="3"/>
    <n v="3236"/>
  </r>
  <r>
    <n v="1109"/>
    <n v="50464"/>
    <d v="2023-04-23T16:49:18"/>
    <n v="34"/>
    <s v="Female"/>
    <x v="2"/>
    <n v="970"/>
  </r>
  <r>
    <n v="1042"/>
    <n v="50465"/>
    <d v="2023-04-23T22:39:49"/>
    <n v="21"/>
    <s v="Male"/>
    <x v="3"/>
    <n v="2043"/>
  </r>
  <r>
    <n v="1186"/>
    <n v="50466"/>
    <d v="2023-04-24T04:30:20"/>
    <n v="64"/>
    <s v="Female"/>
    <x v="1"/>
    <n v="273"/>
  </r>
  <r>
    <n v="1398"/>
    <n v="50467"/>
    <d v="2023-04-24T10:20:51"/>
    <n v="42"/>
    <s v="Female"/>
    <x v="1"/>
    <n v="1860"/>
  </r>
  <r>
    <n v="1223"/>
    <n v="50468"/>
    <d v="2023-04-24T16:11:22"/>
    <n v="38"/>
    <s v="Female"/>
    <x v="3"/>
    <n v="4549"/>
  </r>
  <r>
    <n v="1133"/>
    <n v="50469"/>
    <d v="2023-04-24T22:01:53"/>
    <n v="54"/>
    <s v="Female"/>
    <x v="2"/>
    <n v="1019"/>
  </r>
  <r>
    <n v="1163"/>
    <n v="50470"/>
    <d v="2023-04-25T03:52:24"/>
    <n v="55"/>
    <s v="Male"/>
    <x v="0"/>
    <n v="4018"/>
  </r>
  <r>
    <n v="1215"/>
    <n v="50471"/>
    <d v="2023-04-25T09:42:55"/>
    <n v="18"/>
    <s v="Female"/>
    <x v="2"/>
    <n v="531"/>
  </r>
  <r>
    <n v="1235"/>
    <n v="50472"/>
    <d v="2023-04-25T15:33:26"/>
    <n v="42"/>
    <s v="Female"/>
    <x v="0"/>
    <n v="1621"/>
  </r>
  <r>
    <n v="1588"/>
    <n v="50473"/>
    <d v="2023-04-25T21:23:57"/>
    <n v="53"/>
    <s v="Male"/>
    <x v="2"/>
    <n v="3855"/>
  </r>
  <r>
    <n v="1009"/>
    <n v="50474"/>
    <d v="2023-04-26T03:14:28"/>
    <n v="34"/>
    <s v="Male"/>
    <x v="3"/>
    <n v="1891"/>
  </r>
  <r>
    <n v="1074"/>
    <n v="50475"/>
    <d v="2023-04-26T09:04:59"/>
    <n v="58"/>
    <s v="Female"/>
    <x v="1"/>
    <n v="4750"/>
  </r>
  <r>
    <n v="1492"/>
    <n v="50476"/>
    <d v="2023-04-26T14:55:30"/>
    <n v="41"/>
    <s v="Male"/>
    <x v="2"/>
    <n v="4608"/>
  </r>
  <r>
    <n v="1253"/>
    <n v="50477"/>
    <d v="2023-04-26T20:46:01"/>
    <n v="19"/>
    <s v="Female"/>
    <x v="0"/>
    <n v="427"/>
  </r>
  <r>
    <n v="1230"/>
    <n v="50478"/>
    <d v="2023-04-27T02:36:32"/>
    <n v="57"/>
    <s v="Male"/>
    <x v="1"/>
    <n v="3081"/>
  </r>
  <r>
    <n v="1519"/>
    <n v="50479"/>
    <d v="2023-04-27T08:27:03"/>
    <n v="32"/>
    <s v="Male"/>
    <x v="0"/>
    <n v="3065"/>
  </r>
  <r>
    <n v="1174"/>
    <n v="50480"/>
    <d v="2023-04-27T14:17:34"/>
    <n v="49"/>
    <s v="Female"/>
    <x v="3"/>
    <n v="2775"/>
  </r>
  <r>
    <n v="1168"/>
    <n v="50481"/>
    <d v="2023-04-27T20:08:05"/>
    <n v="56"/>
    <s v="Male"/>
    <x v="1"/>
    <n v="4722"/>
  </r>
  <r>
    <n v="1170"/>
    <n v="50482"/>
    <d v="2023-04-28T01:58:36"/>
    <n v="23"/>
    <s v="Female"/>
    <x v="0"/>
    <n v="664"/>
  </r>
  <r>
    <n v="1393"/>
    <n v="50483"/>
    <d v="2023-04-28T07:49:07"/>
    <n v="18"/>
    <s v="Male"/>
    <x v="2"/>
    <n v="477"/>
  </r>
  <r>
    <n v="1194"/>
    <n v="50484"/>
    <d v="2023-04-28T13:39:38"/>
    <n v="64"/>
    <s v="Female"/>
    <x v="3"/>
    <n v="4314"/>
  </r>
  <r>
    <n v="1517"/>
    <n v="50485"/>
    <d v="2023-04-28T19:30:09"/>
    <n v="40"/>
    <s v="Male"/>
    <x v="3"/>
    <n v="265"/>
  </r>
  <r>
    <n v="1029"/>
    <n v="50486"/>
    <d v="2023-04-29T01:20:40"/>
    <n v="56"/>
    <s v="Male"/>
    <x v="3"/>
    <n v="4462"/>
  </r>
  <r>
    <n v="1165"/>
    <n v="50487"/>
    <d v="2023-04-29T07:11:11"/>
    <n v="34"/>
    <s v="Male"/>
    <x v="2"/>
    <n v="602"/>
  </r>
  <r>
    <n v="1422"/>
    <n v="50488"/>
    <d v="2023-04-29T13:01:42"/>
    <n v="51"/>
    <s v="Male"/>
    <x v="2"/>
    <n v="4183"/>
  </r>
  <r>
    <n v="1339"/>
    <n v="50489"/>
    <d v="2023-04-29T18:52:13"/>
    <n v="58"/>
    <s v="Male"/>
    <x v="1"/>
    <n v="4704"/>
  </r>
  <r>
    <n v="1496"/>
    <n v="50490"/>
    <d v="2023-04-30T00:42:44"/>
    <n v="46"/>
    <s v="Female"/>
    <x v="2"/>
    <n v="3678"/>
  </r>
  <r>
    <n v="1365"/>
    <n v="50491"/>
    <d v="2023-04-30T06:33:15"/>
    <n v="26"/>
    <s v="Male"/>
    <x v="1"/>
    <n v="3644"/>
  </r>
  <r>
    <n v="1342"/>
    <n v="50492"/>
    <d v="2023-04-30T12:23:46"/>
    <n v="30"/>
    <s v="Female"/>
    <x v="3"/>
    <n v="4892"/>
  </r>
  <r>
    <n v="1500"/>
    <n v="50493"/>
    <d v="2023-04-30T18:14:17"/>
    <n v="23"/>
    <s v="Female"/>
    <x v="1"/>
    <n v="4619"/>
  </r>
  <r>
    <n v="1511"/>
    <n v="50494"/>
    <d v="2023-05-01T00:04:48"/>
    <n v="23"/>
    <s v="Female"/>
    <x v="0"/>
    <n v="3239"/>
  </r>
  <r>
    <n v="1327"/>
    <n v="50495"/>
    <d v="2023-05-01T05:55:19"/>
    <n v="37"/>
    <s v="Male"/>
    <x v="3"/>
    <n v="1637"/>
  </r>
  <r>
    <n v="1217"/>
    <n v="50496"/>
    <d v="2023-05-01T11:45:50"/>
    <n v="20"/>
    <s v="Female"/>
    <x v="3"/>
    <n v="628"/>
  </r>
  <r>
    <n v="1301"/>
    <n v="50497"/>
    <d v="2023-05-01T17:36:21"/>
    <n v="34"/>
    <s v="Male"/>
    <x v="1"/>
    <n v="2882"/>
  </r>
  <r>
    <n v="1132"/>
    <n v="50498"/>
    <d v="2023-05-01T23:26:52"/>
    <n v="29"/>
    <s v="Female"/>
    <x v="3"/>
    <n v="2977"/>
  </r>
  <r>
    <n v="1070"/>
    <n v="50499"/>
    <d v="2023-05-02T05:17:23"/>
    <n v="64"/>
    <s v="Female"/>
    <x v="2"/>
    <n v="3578"/>
  </r>
  <r>
    <n v="1252"/>
    <n v="50500"/>
    <d v="2023-05-02T11:07:54"/>
    <n v="62"/>
    <s v="Female"/>
    <x v="0"/>
    <n v="592"/>
  </r>
  <r>
    <n v="1415"/>
    <n v="50501"/>
    <d v="2023-05-02T16:58:25"/>
    <n v="18"/>
    <s v="Female"/>
    <x v="1"/>
    <n v="4741"/>
  </r>
  <r>
    <n v="1445"/>
    <n v="50502"/>
    <d v="2023-05-02T22:48:56"/>
    <n v="34"/>
    <s v="Female"/>
    <x v="1"/>
    <n v="541"/>
  </r>
  <r>
    <n v="1182"/>
    <n v="50503"/>
    <d v="2023-05-03T04:39:27"/>
    <n v="20"/>
    <s v="Male"/>
    <x v="3"/>
    <n v="332"/>
  </r>
  <r>
    <n v="1167"/>
    <n v="50504"/>
    <d v="2023-05-03T10:29:58"/>
    <n v="43"/>
    <s v="Female"/>
    <x v="2"/>
    <n v="464"/>
  </r>
  <r>
    <n v="1091"/>
    <n v="50505"/>
    <d v="2023-05-03T16:20:29"/>
    <n v="32"/>
    <s v="Female"/>
    <x v="3"/>
    <n v="4388"/>
  </r>
  <r>
    <n v="1531"/>
    <n v="50506"/>
    <d v="2023-05-03T22:11:00"/>
    <n v="53"/>
    <s v="Male"/>
    <x v="3"/>
    <n v="1885"/>
  </r>
  <r>
    <n v="1039"/>
    <n v="50507"/>
    <d v="2023-05-04T04:01:31"/>
    <n v="49"/>
    <s v="Male"/>
    <x v="1"/>
    <n v="1634"/>
  </r>
  <r>
    <n v="1126"/>
    <n v="50508"/>
    <d v="2023-05-04T09:52:02"/>
    <n v="49"/>
    <s v="Male"/>
    <x v="3"/>
    <n v="1860"/>
  </r>
  <r>
    <n v="1451"/>
    <n v="50509"/>
    <d v="2023-05-04T15:42:33"/>
    <n v="21"/>
    <s v="Female"/>
    <x v="0"/>
    <n v="4017"/>
  </r>
  <r>
    <n v="1173"/>
    <n v="50510"/>
    <d v="2023-05-04T21:33:04"/>
    <n v="35"/>
    <s v="Female"/>
    <x v="3"/>
    <n v="2554"/>
  </r>
  <r>
    <n v="1220"/>
    <n v="50511"/>
    <d v="2023-05-05T03:23:35"/>
    <n v="36"/>
    <s v="Female"/>
    <x v="3"/>
    <n v="465"/>
  </r>
  <r>
    <n v="1058"/>
    <n v="50512"/>
    <d v="2023-05-05T09:14:06"/>
    <n v="60"/>
    <s v="Female"/>
    <x v="1"/>
    <n v="4941"/>
  </r>
  <r>
    <n v="1476"/>
    <n v="50513"/>
    <d v="2023-05-05T15:04:37"/>
    <n v="52"/>
    <s v="Female"/>
    <x v="3"/>
    <n v="1336"/>
  </r>
  <r>
    <n v="1456"/>
    <n v="50514"/>
    <d v="2023-05-05T20:55:08"/>
    <n v="57"/>
    <s v="Female"/>
    <x v="2"/>
    <n v="4749"/>
  </r>
  <r>
    <n v="1361"/>
    <n v="50515"/>
    <d v="2023-05-06T02:45:39"/>
    <n v="31"/>
    <s v="Male"/>
    <x v="1"/>
    <n v="1590"/>
  </r>
  <r>
    <n v="1001"/>
    <n v="50516"/>
    <d v="2023-05-06T08:36:10"/>
    <n v="50"/>
    <s v="Male"/>
    <x v="3"/>
    <n v="1312"/>
  </r>
  <r>
    <n v="1387"/>
    <n v="50517"/>
    <d v="2023-05-06T14:26:41"/>
    <n v="31"/>
    <s v="Female"/>
    <x v="0"/>
    <n v="2434"/>
  </r>
  <r>
    <n v="1348"/>
    <n v="50518"/>
    <d v="2023-05-06T20:17:12"/>
    <n v="51"/>
    <s v="Female"/>
    <x v="0"/>
    <n v="3066"/>
  </r>
  <r>
    <n v="1190"/>
    <n v="50519"/>
    <d v="2023-05-07T02:07:43"/>
    <n v="21"/>
    <s v="Female"/>
    <x v="1"/>
    <n v="3268"/>
  </r>
  <r>
    <n v="1505"/>
    <n v="50520"/>
    <d v="2023-05-07T07:58:14"/>
    <n v="41"/>
    <s v="Female"/>
    <x v="1"/>
    <n v="2379"/>
  </r>
  <r>
    <n v="1191"/>
    <n v="50521"/>
    <d v="2023-05-07T13:48:45"/>
    <n v="46"/>
    <s v="Female"/>
    <x v="3"/>
    <n v="834"/>
  </r>
  <r>
    <n v="1508"/>
    <n v="50522"/>
    <d v="2023-05-07T19:39:16"/>
    <n v="36"/>
    <s v="Male"/>
    <x v="2"/>
    <n v="3831"/>
  </r>
  <r>
    <n v="1369"/>
    <n v="50523"/>
    <d v="2023-05-08T01:29:47"/>
    <n v="23"/>
    <s v="Male"/>
    <x v="3"/>
    <n v="1599"/>
  </r>
  <r>
    <n v="1409"/>
    <n v="50524"/>
    <d v="2023-05-08T07:20:18"/>
    <n v="50"/>
    <s v="Female"/>
    <x v="0"/>
    <n v="4986"/>
  </r>
  <r>
    <n v="1117"/>
    <n v="50525"/>
    <d v="2023-05-08T13:10:49"/>
    <n v="57"/>
    <s v="Male"/>
    <x v="2"/>
    <n v="2939"/>
  </r>
  <r>
    <n v="1134"/>
    <n v="50526"/>
    <d v="2023-05-08T19:01:20"/>
    <n v="36"/>
    <s v="Female"/>
    <x v="2"/>
    <n v="3370"/>
  </r>
  <r>
    <n v="1058"/>
    <n v="50527"/>
    <d v="2023-05-09T00:51:51"/>
    <n v="18"/>
    <s v="Female"/>
    <x v="2"/>
    <n v="2065"/>
  </r>
  <r>
    <n v="1556"/>
    <n v="50528"/>
    <d v="2023-05-09T06:42:22"/>
    <n v="22"/>
    <s v="Female"/>
    <x v="3"/>
    <n v="2155"/>
  </r>
  <r>
    <n v="1173"/>
    <n v="50529"/>
    <d v="2023-05-09T12:32:53"/>
    <n v="44"/>
    <s v="Male"/>
    <x v="0"/>
    <n v="4877"/>
  </r>
  <r>
    <n v="1149"/>
    <n v="50530"/>
    <d v="2023-05-09T18:23:24"/>
    <n v="33"/>
    <s v="Male"/>
    <x v="1"/>
    <n v="2418"/>
  </r>
  <r>
    <n v="1080"/>
    <n v="50531"/>
    <d v="2023-05-10T00:13:55"/>
    <n v="23"/>
    <s v="Female"/>
    <x v="3"/>
    <n v="1589"/>
  </r>
  <r>
    <n v="1213"/>
    <n v="50532"/>
    <d v="2023-05-10T06:04:26"/>
    <n v="57"/>
    <s v="Male"/>
    <x v="1"/>
    <n v="3330"/>
  </r>
  <r>
    <n v="1203"/>
    <n v="50533"/>
    <d v="2023-05-10T11:54:57"/>
    <n v="30"/>
    <s v="Male"/>
    <x v="2"/>
    <n v="4476"/>
  </r>
  <r>
    <n v="1229"/>
    <n v="50534"/>
    <d v="2023-05-10T17:45:29"/>
    <n v="52"/>
    <s v="Female"/>
    <x v="2"/>
    <n v="4314"/>
  </r>
  <r>
    <n v="1227"/>
    <n v="50535"/>
    <d v="2023-05-10T23:36:00"/>
    <n v="36"/>
    <s v="Male"/>
    <x v="3"/>
    <n v="1449"/>
  </r>
  <r>
    <n v="1532"/>
    <n v="50536"/>
    <d v="2023-05-11T05:26:31"/>
    <n v="29"/>
    <s v="Male"/>
    <x v="0"/>
    <n v="3366"/>
  </r>
  <r>
    <n v="1441"/>
    <n v="50537"/>
    <d v="2023-05-11T11:17:02"/>
    <n v="33"/>
    <s v="Female"/>
    <x v="2"/>
    <n v="1445"/>
  </r>
  <r>
    <n v="1402"/>
    <n v="50538"/>
    <d v="2023-05-11T17:07:33"/>
    <n v="60"/>
    <s v="Female"/>
    <x v="1"/>
    <n v="253"/>
  </r>
  <r>
    <n v="1047"/>
    <n v="50539"/>
    <d v="2023-05-11T22:58:04"/>
    <n v="27"/>
    <s v="Male"/>
    <x v="1"/>
    <n v="3110"/>
  </r>
  <r>
    <n v="1233"/>
    <n v="50540"/>
    <d v="2023-05-12T04:48:35"/>
    <n v="42"/>
    <s v="Female"/>
    <x v="3"/>
    <n v="2596"/>
  </r>
  <r>
    <n v="1305"/>
    <n v="50541"/>
    <d v="2023-05-12T10:39:06"/>
    <n v="37"/>
    <s v="Male"/>
    <x v="1"/>
    <n v="642"/>
  </r>
  <r>
    <n v="1526"/>
    <n v="50542"/>
    <d v="2023-05-12T16:29:37"/>
    <n v="48"/>
    <s v="Female"/>
    <x v="0"/>
    <n v="4875"/>
  </r>
  <r>
    <n v="1143"/>
    <n v="50543"/>
    <d v="2023-05-12T22:20:08"/>
    <n v="21"/>
    <s v="Female"/>
    <x v="2"/>
    <n v="3811"/>
  </r>
  <r>
    <n v="1415"/>
    <n v="50544"/>
    <d v="2023-05-13T04:10:39"/>
    <n v="61"/>
    <s v="Female"/>
    <x v="1"/>
    <n v="4577"/>
  </r>
  <r>
    <n v="1513"/>
    <n v="50545"/>
    <d v="2023-05-13T10:01:10"/>
    <n v="40"/>
    <s v="Female"/>
    <x v="1"/>
    <n v="2607"/>
  </r>
  <r>
    <n v="1373"/>
    <n v="50546"/>
    <d v="2023-05-13T15:51:41"/>
    <n v="19"/>
    <s v="Male"/>
    <x v="2"/>
    <n v="1022"/>
  </r>
  <r>
    <n v="1566"/>
    <n v="50547"/>
    <d v="2023-05-13T21:42:12"/>
    <n v="39"/>
    <s v="Female"/>
    <x v="3"/>
    <n v="3902"/>
  </r>
  <r>
    <n v="1259"/>
    <n v="50548"/>
    <d v="2023-05-14T03:32:43"/>
    <n v="54"/>
    <s v="Female"/>
    <x v="1"/>
    <n v="3139"/>
  </r>
  <r>
    <n v="1471"/>
    <n v="50549"/>
    <d v="2023-05-14T09:23:14"/>
    <n v="25"/>
    <s v="Female"/>
    <x v="3"/>
    <n v="4936"/>
  </r>
  <r>
    <n v="1012"/>
    <n v="50550"/>
    <d v="2023-05-14T15:13:45"/>
    <n v="24"/>
    <s v="Male"/>
    <x v="3"/>
    <n v="1231"/>
  </r>
  <r>
    <n v="1330"/>
    <n v="50551"/>
    <d v="2023-05-14T21:04:16"/>
    <n v="31"/>
    <s v="Male"/>
    <x v="1"/>
    <n v="2216"/>
  </r>
  <r>
    <n v="1358"/>
    <n v="50552"/>
    <d v="2023-05-15T02:54:47"/>
    <n v="20"/>
    <s v="Female"/>
    <x v="0"/>
    <n v="762"/>
  </r>
  <r>
    <n v="1408"/>
    <n v="50553"/>
    <d v="2023-05-15T08:45:18"/>
    <n v="33"/>
    <s v="Female"/>
    <x v="3"/>
    <n v="2738"/>
  </r>
  <r>
    <n v="1373"/>
    <n v="50554"/>
    <d v="2023-05-15T14:35:49"/>
    <n v="36"/>
    <s v="Female"/>
    <x v="1"/>
    <n v="540"/>
  </r>
  <r>
    <n v="1008"/>
    <n v="50555"/>
    <d v="2023-05-15T20:26:20"/>
    <n v="35"/>
    <s v="Female"/>
    <x v="3"/>
    <n v="4767"/>
  </r>
  <r>
    <n v="1122"/>
    <n v="50556"/>
    <d v="2023-05-16T02:16:51"/>
    <n v="33"/>
    <s v="Female"/>
    <x v="2"/>
    <n v="3975"/>
  </r>
  <r>
    <n v="1348"/>
    <n v="50557"/>
    <d v="2023-05-16T08:07:22"/>
    <n v="25"/>
    <s v="Female"/>
    <x v="0"/>
    <n v="2496"/>
  </r>
  <r>
    <n v="1090"/>
    <n v="50558"/>
    <d v="2023-05-16T13:57:53"/>
    <n v="50"/>
    <s v="Male"/>
    <x v="0"/>
    <n v="434"/>
  </r>
  <r>
    <n v="1316"/>
    <n v="50559"/>
    <d v="2023-05-16T19:48:24"/>
    <n v="29"/>
    <s v="Female"/>
    <x v="2"/>
    <n v="1316"/>
  </r>
  <r>
    <n v="1178"/>
    <n v="50560"/>
    <d v="2023-05-17T01:38:55"/>
    <n v="28"/>
    <s v="Female"/>
    <x v="2"/>
    <n v="2108"/>
  </r>
  <r>
    <n v="1540"/>
    <n v="50561"/>
    <d v="2023-05-17T07:29:26"/>
    <n v="22"/>
    <s v="Female"/>
    <x v="3"/>
    <n v="1617"/>
  </r>
  <r>
    <n v="1041"/>
    <n v="50562"/>
    <d v="2023-05-17T13:19:57"/>
    <n v="44"/>
    <s v="Female"/>
    <x v="2"/>
    <n v="1491"/>
  </r>
  <r>
    <n v="1502"/>
    <n v="50563"/>
    <d v="2023-05-17T19:10:28"/>
    <n v="29"/>
    <s v="Female"/>
    <x v="0"/>
    <n v="3688"/>
  </r>
  <r>
    <n v="1145"/>
    <n v="50564"/>
    <d v="2023-05-18T01:00:59"/>
    <n v="34"/>
    <s v="Female"/>
    <x v="2"/>
    <n v="4927"/>
  </r>
  <r>
    <n v="1201"/>
    <n v="50565"/>
    <d v="2023-05-18T06:51:30"/>
    <n v="23"/>
    <s v="Male"/>
    <x v="1"/>
    <n v="3854"/>
  </r>
  <r>
    <n v="1461"/>
    <n v="50566"/>
    <d v="2023-05-18T12:42:01"/>
    <n v="50"/>
    <s v="Male"/>
    <x v="1"/>
    <n v="728"/>
  </r>
  <r>
    <n v="1558"/>
    <n v="50567"/>
    <d v="2023-05-18T18:32:32"/>
    <n v="22"/>
    <s v="Male"/>
    <x v="3"/>
    <n v="3524"/>
  </r>
  <r>
    <n v="1547"/>
    <n v="50568"/>
    <d v="2023-05-19T00:23:03"/>
    <n v="45"/>
    <s v="Male"/>
    <x v="0"/>
    <n v="2180"/>
  </r>
  <r>
    <n v="1253"/>
    <n v="50569"/>
    <d v="2023-05-19T06:13:34"/>
    <n v="31"/>
    <s v="Male"/>
    <x v="1"/>
    <n v="3139"/>
  </r>
  <r>
    <n v="1390"/>
    <n v="50570"/>
    <d v="2023-05-19T12:04:05"/>
    <n v="22"/>
    <s v="Male"/>
    <x v="2"/>
    <n v="1529"/>
  </r>
  <r>
    <n v="1594"/>
    <n v="50571"/>
    <d v="2023-05-19T17:54:36"/>
    <n v="50"/>
    <s v="Female"/>
    <x v="1"/>
    <n v="1433"/>
  </r>
  <r>
    <n v="1256"/>
    <n v="50572"/>
    <d v="2023-05-19T23:45:07"/>
    <n v="58"/>
    <s v="Female"/>
    <x v="1"/>
    <n v="1953"/>
  </r>
  <r>
    <n v="1450"/>
    <n v="50573"/>
    <d v="2023-05-20T05:35:38"/>
    <n v="36"/>
    <s v="Female"/>
    <x v="3"/>
    <n v="3000"/>
  </r>
  <r>
    <n v="1010"/>
    <n v="50574"/>
    <d v="2023-05-20T11:26:09"/>
    <n v="39"/>
    <s v="Female"/>
    <x v="2"/>
    <n v="3133"/>
  </r>
  <r>
    <n v="1242"/>
    <n v="50575"/>
    <d v="2023-05-20T17:16:40"/>
    <n v="22"/>
    <s v="Female"/>
    <x v="2"/>
    <n v="2959"/>
  </r>
  <r>
    <n v="1251"/>
    <n v="50576"/>
    <d v="2023-05-20T23:07:11"/>
    <n v="19"/>
    <s v="Female"/>
    <x v="2"/>
    <n v="2975"/>
  </r>
  <r>
    <n v="1005"/>
    <n v="50577"/>
    <d v="2023-05-21T04:57:42"/>
    <n v="47"/>
    <s v="Male"/>
    <x v="3"/>
    <n v="3687"/>
  </r>
  <r>
    <n v="1119"/>
    <n v="50578"/>
    <d v="2023-05-21T10:48:13"/>
    <n v="64"/>
    <s v="Female"/>
    <x v="2"/>
    <n v="4050"/>
  </r>
  <r>
    <n v="1374"/>
    <n v="50579"/>
    <d v="2023-05-21T16:38:44"/>
    <n v="56"/>
    <s v="Male"/>
    <x v="2"/>
    <n v="2727"/>
  </r>
  <r>
    <n v="1065"/>
    <n v="50580"/>
    <d v="2023-05-21T22:29:15"/>
    <n v="21"/>
    <s v="Male"/>
    <x v="1"/>
    <n v="1090"/>
  </r>
  <r>
    <n v="1146"/>
    <n v="50581"/>
    <d v="2023-05-22T04:19:46"/>
    <n v="50"/>
    <s v="Female"/>
    <x v="1"/>
    <n v="2265"/>
  </r>
  <r>
    <n v="1224"/>
    <n v="50582"/>
    <d v="2023-05-22T10:10:17"/>
    <n v="30"/>
    <s v="Female"/>
    <x v="2"/>
    <n v="1388"/>
  </r>
  <r>
    <n v="1239"/>
    <n v="50583"/>
    <d v="2023-05-22T16:00:48"/>
    <n v="37"/>
    <s v="Female"/>
    <x v="0"/>
    <n v="4497"/>
  </r>
  <r>
    <n v="1177"/>
    <n v="50584"/>
    <d v="2023-05-22T21:51:19"/>
    <n v="24"/>
    <s v="Female"/>
    <x v="0"/>
    <n v="940"/>
  </r>
  <r>
    <n v="1282"/>
    <n v="50585"/>
    <d v="2023-05-23T03:41:50"/>
    <n v="32"/>
    <s v="Female"/>
    <x v="2"/>
    <n v="1569"/>
  </r>
  <r>
    <n v="1063"/>
    <n v="50586"/>
    <d v="2023-05-23T09:32:21"/>
    <n v="40"/>
    <s v="Female"/>
    <x v="0"/>
    <n v="1589"/>
  </r>
  <r>
    <n v="1217"/>
    <n v="50587"/>
    <d v="2023-05-23T15:22:52"/>
    <n v="31"/>
    <s v="Female"/>
    <x v="3"/>
    <n v="2200"/>
  </r>
  <r>
    <n v="1461"/>
    <n v="50588"/>
    <d v="2023-05-23T21:13:23"/>
    <n v="40"/>
    <s v="Male"/>
    <x v="1"/>
    <n v="1671"/>
  </r>
  <r>
    <n v="1105"/>
    <n v="50589"/>
    <d v="2023-05-24T03:03:54"/>
    <n v="36"/>
    <s v="Female"/>
    <x v="3"/>
    <n v="1736"/>
  </r>
  <r>
    <n v="1099"/>
    <n v="50590"/>
    <d v="2023-05-24T08:54:25"/>
    <n v="46"/>
    <s v="Female"/>
    <x v="1"/>
    <n v="518"/>
  </r>
  <r>
    <n v="1511"/>
    <n v="50591"/>
    <d v="2023-05-24T14:44:56"/>
    <n v="37"/>
    <s v="Male"/>
    <x v="0"/>
    <n v="2464"/>
  </r>
  <r>
    <n v="1385"/>
    <n v="50592"/>
    <d v="2023-05-24T20:35:27"/>
    <n v="46"/>
    <s v="Female"/>
    <x v="0"/>
    <n v="2094"/>
  </r>
  <r>
    <n v="1405"/>
    <n v="50593"/>
    <d v="2023-05-25T02:25:58"/>
    <n v="41"/>
    <s v="Female"/>
    <x v="2"/>
    <n v="3911"/>
  </r>
  <r>
    <n v="1518"/>
    <n v="50594"/>
    <d v="2023-05-25T08:16:29"/>
    <n v="35"/>
    <s v="Male"/>
    <x v="0"/>
    <n v="3022"/>
  </r>
  <r>
    <n v="1476"/>
    <n v="50595"/>
    <d v="2023-05-25T14:07:00"/>
    <n v="27"/>
    <s v="Female"/>
    <x v="0"/>
    <n v="4708"/>
  </r>
  <r>
    <n v="1437"/>
    <n v="50596"/>
    <d v="2023-05-25T19:57:31"/>
    <n v="58"/>
    <s v="Female"/>
    <x v="2"/>
    <n v="1475"/>
  </r>
  <r>
    <n v="1023"/>
    <n v="50597"/>
    <d v="2023-05-26T01:48:02"/>
    <n v="25"/>
    <s v="Female"/>
    <x v="2"/>
    <n v="3283"/>
  </r>
  <r>
    <n v="1565"/>
    <n v="50598"/>
    <d v="2023-05-26T07:38:33"/>
    <n v="43"/>
    <s v="Female"/>
    <x v="1"/>
    <n v="600"/>
  </r>
  <r>
    <n v="1458"/>
    <n v="50599"/>
    <d v="2023-05-26T13:29:04"/>
    <n v="46"/>
    <s v="Female"/>
    <x v="0"/>
    <n v="923"/>
  </r>
  <r>
    <n v="1083"/>
    <n v="50600"/>
    <d v="2023-05-26T19:19:35"/>
    <n v="27"/>
    <s v="Female"/>
    <x v="1"/>
    <n v="2529"/>
  </r>
  <r>
    <n v="1145"/>
    <n v="50601"/>
    <d v="2023-05-27T01:10:06"/>
    <n v="34"/>
    <s v="Male"/>
    <x v="1"/>
    <n v="1335"/>
  </r>
  <r>
    <n v="1085"/>
    <n v="50602"/>
    <d v="2023-05-27T07:00:37"/>
    <n v="19"/>
    <s v="Female"/>
    <x v="3"/>
    <n v="2970"/>
  </r>
  <r>
    <n v="1078"/>
    <n v="50603"/>
    <d v="2023-05-27T12:51:08"/>
    <n v="23"/>
    <s v="Female"/>
    <x v="0"/>
    <n v="467"/>
  </r>
  <r>
    <n v="1457"/>
    <n v="50604"/>
    <d v="2023-05-27T18:41:39"/>
    <n v="22"/>
    <s v="Male"/>
    <x v="0"/>
    <n v="769"/>
  </r>
  <r>
    <n v="1001"/>
    <n v="50605"/>
    <d v="2023-05-28T00:32:10"/>
    <n v="45"/>
    <s v="Male"/>
    <x v="3"/>
    <n v="2756"/>
  </r>
  <r>
    <n v="1051"/>
    <n v="50606"/>
    <d v="2023-05-28T06:22:41"/>
    <n v="58"/>
    <s v="Female"/>
    <x v="1"/>
    <n v="2173"/>
  </r>
  <r>
    <n v="1446"/>
    <n v="50607"/>
    <d v="2023-05-28T12:13:12"/>
    <n v="22"/>
    <s v="Male"/>
    <x v="0"/>
    <n v="745"/>
  </r>
  <r>
    <n v="1449"/>
    <n v="50608"/>
    <d v="2023-05-28T18:03:43"/>
    <n v="35"/>
    <s v="Female"/>
    <x v="1"/>
    <n v="3022"/>
  </r>
  <r>
    <n v="1488"/>
    <n v="50609"/>
    <d v="2023-05-28T23:54:14"/>
    <n v="43"/>
    <s v="Female"/>
    <x v="3"/>
    <n v="4660"/>
  </r>
  <r>
    <n v="1034"/>
    <n v="50610"/>
    <d v="2023-05-29T05:44:45"/>
    <n v="37"/>
    <s v="Male"/>
    <x v="2"/>
    <n v="4842"/>
  </r>
  <r>
    <n v="1348"/>
    <n v="50611"/>
    <d v="2023-05-29T11:35:16"/>
    <n v="58"/>
    <s v="Female"/>
    <x v="1"/>
    <n v="470"/>
  </r>
  <r>
    <n v="1095"/>
    <n v="50612"/>
    <d v="2023-05-29T17:25:47"/>
    <n v="44"/>
    <s v="Female"/>
    <x v="0"/>
    <n v="938"/>
  </r>
  <r>
    <n v="1072"/>
    <n v="50613"/>
    <d v="2023-05-29T23:16:18"/>
    <n v="29"/>
    <s v="Male"/>
    <x v="2"/>
    <n v="1457"/>
  </r>
  <r>
    <n v="1551"/>
    <n v="50614"/>
    <d v="2023-05-30T05:06:49"/>
    <n v="24"/>
    <s v="Male"/>
    <x v="1"/>
    <n v="258"/>
  </r>
  <r>
    <n v="1154"/>
    <n v="50615"/>
    <d v="2023-05-30T10:57:20"/>
    <n v="20"/>
    <s v="Male"/>
    <x v="1"/>
    <n v="4381"/>
  </r>
  <r>
    <n v="1250"/>
    <n v="50616"/>
    <d v="2023-05-30T16:47:51"/>
    <n v="27"/>
    <s v="Male"/>
    <x v="2"/>
    <n v="589"/>
  </r>
  <r>
    <n v="1438"/>
    <n v="50617"/>
    <d v="2023-05-30T22:38:22"/>
    <n v="51"/>
    <s v="Female"/>
    <x v="2"/>
    <n v="918"/>
  </r>
  <r>
    <n v="1118"/>
    <n v="50618"/>
    <d v="2023-05-31T04:28:53"/>
    <n v="42"/>
    <s v="Male"/>
    <x v="2"/>
    <n v="4444"/>
  </r>
  <r>
    <n v="1306"/>
    <n v="50619"/>
    <d v="2023-05-31T10:19:24"/>
    <n v="52"/>
    <s v="Male"/>
    <x v="0"/>
    <n v="4878"/>
  </r>
  <r>
    <n v="1268"/>
    <n v="50620"/>
    <d v="2023-05-31T16:09:55"/>
    <n v="33"/>
    <s v="Male"/>
    <x v="0"/>
    <n v="320"/>
  </r>
  <r>
    <n v="1054"/>
    <n v="50621"/>
    <d v="2023-05-31T22:00:26"/>
    <n v="19"/>
    <s v="Male"/>
    <x v="1"/>
    <n v="2852"/>
  </r>
  <r>
    <n v="1236"/>
    <n v="50622"/>
    <d v="2023-06-01T03:50:57"/>
    <n v="41"/>
    <s v="Male"/>
    <x v="1"/>
    <n v="2503"/>
  </r>
  <r>
    <n v="1389"/>
    <n v="50623"/>
    <d v="2023-06-01T09:41:28"/>
    <n v="27"/>
    <s v="Female"/>
    <x v="3"/>
    <n v="3111"/>
  </r>
  <r>
    <n v="1401"/>
    <n v="50624"/>
    <d v="2023-06-01T15:31:59"/>
    <n v="55"/>
    <s v="Male"/>
    <x v="0"/>
    <n v="999"/>
  </r>
  <r>
    <n v="1303"/>
    <n v="50625"/>
    <d v="2023-06-01T21:22:30"/>
    <n v="39"/>
    <s v="Female"/>
    <x v="1"/>
    <n v="3580"/>
  </r>
  <r>
    <n v="1207"/>
    <n v="50626"/>
    <d v="2023-06-02T03:13:01"/>
    <n v="43"/>
    <s v="Male"/>
    <x v="2"/>
    <n v="2306"/>
  </r>
  <r>
    <n v="1229"/>
    <n v="50627"/>
    <d v="2023-06-02T09:03:32"/>
    <n v="60"/>
    <s v="Male"/>
    <x v="2"/>
    <n v="1309"/>
  </r>
  <r>
    <n v="1578"/>
    <n v="50628"/>
    <d v="2023-06-02T14:54:03"/>
    <n v="56"/>
    <s v="Male"/>
    <x v="0"/>
    <n v="1450"/>
  </r>
  <r>
    <n v="1075"/>
    <n v="50629"/>
    <d v="2023-06-02T20:44:34"/>
    <n v="44"/>
    <s v="Male"/>
    <x v="2"/>
    <n v="2840"/>
  </r>
  <r>
    <n v="1435"/>
    <n v="50630"/>
    <d v="2023-06-03T02:35:06"/>
    <n v="46"/>
    <s v="Male"/>
    <x v="3"/>
    <n v="1849"/>
  </r>
  <r>
    <n v="1103"/>
    <n v="50631"/>
    <d v="2023-06-03T08:25:37"/>
    <n v="64"/>
    <s v="Male"/>
    <x v="1"/>
    <n v="1545"/>
  </r>
  <r>
    <n v="1422"/>
    <n v="50632"/>
    <d v="2023-06-03T14:16:08"/>
    <n v="55"/>
    <s v="Male"/>
    <x v="1"/>
    <n v="3156"/>
  </r>
  <r>
    <n v="1306"/>
    <n v="50633"/>
    <d v="2023-06-03T20:06:39"/>
    <n v="37"/>
    <s v="Male"/>
    <x v="1"/>
    <n v="2646"/>
  </r>
  <r>
    <n v="1098"/>
    <n v="50634"/>
    <d v="2023-06-04T01:57:10"/>
    <n v="44"/>
    <s v="Female"/>
    <x v="0"/>
    <n v="3564"/>
  </r>
  <r>
    <n v="1335"/>
    <n v="50635"/>
    <d v="2023-06-04T07:47:41"/>
    <n v="58"/>
    <s v="Male"/>
    <x v="2"/>
    <n v="684"/>
  </r>
  <r>
    <n v="1435"/>
    <n v="50636"/>
    <d v="2023-06-04T13:38:12"/>
    <n v="37"/>
    <s v="Female"/>
    <x v="3"/>
    <n v="1002"/>
  </r>
  <r>
    <n v="1447"/>
    <n v="50637"/>
    <d v="2023-06-04T19:28:43"/>
    <n v="61"/>
    <s v="Male"/>
    <x v="0"/>
    <n v="1915"/>
  </r>
  <r>
    <n v="1308"/>
    <n v="50638"/>
    <d v="2023-06-05T01:19:14"/>
    <n v="36"/>
    <s v="Female"/>
    <x v="1"/>
    <n v="2115"/>
  </r>
  <r>
    <n v="1249"/>
    <n v="50639"/>
    <d v="2023-06-05T07:09:45"/>
    <n v="37"/>
    <s v="Male"/>
    <x v="3"/>
    <n v="3683"/>
  </r>
  <r>
    <n v="1166"/>
    <n v="50640"/>
    <d v="2023-06-05T13:00:16"/>
    <n v="52"/>
    <s v="Male"/>
    <x v="1"/>
    <n v="1957"/>
  </r>
  <r>
    <n v="1481"/>
    <n v="50641"/>
    <d v="2023-06-05T18:50:47"/>
    <n v="64"/>
    <s v="Male"/>
    <x v="1"/>
    <n v="2009"/>
  </r>
  <r>
    <n v="1335"/>
    <n v="50642"/>
    <d v="2023-06-06T00:41:18"/>
    <n v="19"/>
    <s v="Female"/>
    <x v="0"/>
    <n v="3207"/>
  </r>
  <r>
    <n v="1542"/>
    <n v="50643"/>
    <d v="2023-06-06T06:31:49"/>
    <n v="47"/>
    <s v="Female"/>
    <x v="1"/>
    <n v="3425"/>
  </r>
  <r>
    <n v="1106"/>
    <n v="50644"/>
    <d v="2023-06-06T12:22:20"/>
    <n v="51"/>
    <s v="Female"/>
    <x v="3"/>
    <n v="3695"/>
  </r>
  <r>
    <n v="1563"/>
    <n v="50645"/>
    <d v="2023-06-06T18:12:51"/>
    <n v="39"/>
    <s v="Female"/>
    <x v="1"/>
    <n v="2520"/>
  </r>
  <r>
    <n v="1081"/>
    <n v="50646"/>
    <d v="2023-06-07T00:03:22"/>
    <n v="20"/>
    <s v="Male"/>
    <x v="2"/>
    <n v="1870"/>
  </r>
  <r>
    <n v="1133"/>
    <n v="50647"/>
    <d v="2023-06-07T05:53:53"/>
    <n v="23"/>
    <s v="Male"/>
    <x v="1"/>
    <n v="4815"/>
  </r>
  <r>
    <n v="1138"/>
    <n v="50648"/>
    <d v="2023-06-07T11:44:24"/>
    <n v="32"/>
    <s v="Male"/>
    <x v="0"/>
    <n v="1351"/>
  </r>
  <r>
    <n v="1184"/>
    <n v="50649"/>
    <d v="2023-06-07T17:34:55"/>
    <n v="44"/>
    <s v="Female"/>
    <x v="3"/>
    <n v="4947"/>
  </r>
  <r>
    <n v="1401"/>
    <n v="50650"/>
    <d v="2023-06-07T23:25:26"/>
    <n v="27"/>
    <s v="Male"/>
    <x v="0"/>
    <n v="2423"/>
  </r>
  <r>
    <n v="1330"/>
    <n v="50651"/>
    <d v="2023-06-08T05:15:57"/>
    <n v="26"/>
    <s v="Female"/>
    <x v="2"/>
    <n v="2867"/>
  </r>
  <r>
    <n v="1508"/>
    <n v="50652"/>
    <d v="2023-06-08T11:06:28"/>
    <n v="50"/>
    <s v="Female"/>
    <x v="1"/>
    <n v="410"/>
  </r>
  <r>
    <n v="1069"/>
    <n v="50653"/>
    <d v="2023-06-08T16:56:59"/>
    <n v="49"/>
    <s v="Female"/>
    <x v="0"/>
    <n v="2694"/>
  </r>
  <r>
    <n v="1546"/>
    <n v="50654"/>
    <d v="2023-06-08T22:47:30"/>
    <n v="23"/>
    <s v="Female"/>
    <x v="0"/>
    <n v="4881"/>
  </r>
  <r>
    <n v="1053"/>
    <n v="50655"/>
    <d v="2023-06-09T04:38:01"/>
    <n v="58"/>
    <s v="Female"/>
    <x v="0"/>
    <n v="4462"/>
  </r>
  <r>
    <n v="1450"/>
    <n v="50656"/>
    <d v="2023-06-09T10:28:32"/>
    <n v="53"/>
    <s v="Male"/>
    <x v="0"/>
    <n v="2707"/>
  </r>
  <r>
    <n v="1205"/>
    <n v="50657"/>
    <d v="2023-06-09T16:19:03"/>
    <n v="19"/>
    <s v="Female"/>
    <x v="2"/>
    <n v="3163"/>
  </r>
  <r>
    <n v="1126"/>
    <n v="50658"/>
    <d v="2023-06-09T22:09:34"/>
    <n v="46"/>
    <s v="Female"/>
    <x v="2"/>
    <n v="3628"/>
  </r>
  <r>
    <n v="1043"/>
    <n v="50659"/>
    <d v="2023-06-10T04:00:05"/>
    <n v="21"/>
    <s v="Male"/>
    <x v="1"/>
    <n v="3575"/>
  </r>
  <r>
    <n v="1111"/>
    <n v="50660"/>
    <d v="2023-06-10T09:50:36"/>
    <n v="18"/>
    <s v="Female"/>
    <x v="1"/>
    <n v="4155"/>
  </r>
  <r>
    <n v="1183"/>
    <n v="50661"/>
    <d v="2023-06-10T15:41:07"/>
    <n v="36"/>
    <s v="Female"/>
    <x v="3"/>
    <n v="3905"/>
  </r>
  <r>
    <n v="1095"/>
    <n v="50662"/>
    <d v="2023-06-10T21:31:38"/>
    <n v="43"/>
    <s v="Male"/>
    <x v="2"/>
    <n v="3605"/>
  </r>
  <r>
    <n v="1374"/>
    <n v="50663"/>
    <d v="2023-06-11T03:22:09"/>
    <n v="42"/>
    <s v="Male"/>
    <x v="0"/>
    <n v="4238"/>
  </r>
  <r>
    <n v="1520"/>
    <n v="50664"/>
    <d v="2023-06-11T09:12:40"/>
    <n v="27"/>
    <s v="Male"/>
    <x v="0"/>
    <n v="1252"/>
  </r>
  <r>
    <n v="1360"/>
    <n v="50665"/>
    <d v="2023-06-11T15:03:11"/>
    <n v="32"/>
    <s v="Female"/>
    <x v="3"/>
    <n v="913"/>
  </r>
  <r>
    <n v="1281"/>
    <n v="50666"/>
    <d v="2023-06-11T20:53:42"/>
    <n v="39"/>
    <s v="Male"/>
    <x v="0"/>
    <n v="3088"/>
  </r>
  <r>
    <n v="1195"/>
    <n v="50667"/>
    <d v="2023-06-12T02:44:13"/>
    <n v="38"/>
    <s v="Male"/>
    <x v="3"/>
    <n v="887"/>
  </r>
  <r>
    <n v="1195"/>
    <n v="50668"/>
    <d v="2023-06-12T08:34:44"/>
    <n v="39"/>
    <s v="Male"/>
    <x v="1"/>
    <n v="529"/>
  </r>
  <r>
    <n v="1093"/>
    <n v="50669"/>
    <d v="2023-06-12T14:25:15"/>
    <n v="53"/>
    <s v="Female"/>
    <x v="2"/>
    <n v="1946"/>
  </r>
  <r>
    <n v="1061"/>
    <n v="50670"/>
    <d v="2023-06-12T20:15:46"/>
    <n v="51"/>
    <s v="Male"/>
    <x v="3"/>
    <n v="1407"/>
  </r>
  <r>
    <n v="1051"/>
    <n v="50671"/>
    <d v="2023-06-13T02:06:17"/>
    <n v="47"/>
    <s v="Female"/>
    <x v="0"/>
    <n v="2342"/>
  </r>
  <r>
    <n v="1403"/>
    <n v="50672"/>
    <d v="2023-06-13T07:56:48"/>
    <n v="42"/>
    <s v="Female"/>
    <x v="3"/>
    <n v="984"/>
  </r>
  <r>
    <n v="1005"/>
    <n v="50673"/>
    <d v="2023-06-13T13:47:19"/>
    <n v="62"/>
    <s v="Male"/>
    <x v="1"/>
    <n v="2896"/>
  </r>
  <r>
    <n v="1466"/>
    <n v="50674"/>
    <d v="2023-06-13T19:37:50"/>
    <n v="45"/>
    <s v="Female"/>
    <x v="0"/>
    <n v="4020"/>
  </r>
  <r>
    <n v="1534"/>
    <n v="50675"/>
    <d v="2023-06-14T01:28:21"/>
    <n v="18"/>
    <s v="Female"/>
    <x v="1"/>
    <n v="3918"/>
  </r>
  <r>
    <n v="1405"/>
    <n v="50676"/>
    <d v="2023-06-14T07:18:52"/>
    <n v="62"/>
    <s v="Male"/>
    <x v="1"/>
    <n v="2893"/>
  </r>
  <r>
    <n v="1513"/>
    <n v="50677"/>
    <d v="2023-06-14T13:09:23"/>
    <n v="21"/>
    <s v="Female"/>
    <x v="3"/>
    <n v="825"/>
  </r>
  <r>
    <n v="1233"/>
    <n v="50678"/>
    <d v="2023-06-14T18:59:54"/>
    <n v="24"/>
    <s v="Male"/>
    <x v="1"/>
    <n v="4434"/>
  </r>
  <r>
    <n v="1524"/>
    <n v="50679"/>
    <d v="2023-06-15T00:50:25"/>
    <n v="26"/>
    <s v="Female"/>
    <x v="0"/>
    <n v="3908"/>
  </r>
  <r>
    <n v="1346"/>
    <n v="50680"/>
    <d v="2023-06-15T06:40:56"/>
    <n v="53"/>
    <s v="Female"/>
    <x v="1"/>
    <n v="961"/>
  </r>
  <r>
    <n v="1046"/>
    <n v="50681"/>
    <d v="2023-06-15T12:31:27"/>
    <n v="36"/>
    <s v="Male"/>
    <x v="1"/>
    <n v="4179"/>
  </r>
  <r>
    <n v="1546"/>
    <n v="50682"/>
    <d v="2023-06-15T18:21:58"/>
    <n v="18"/>
    <s v="Male"/>
    <x v="3"/>
    <n v="3729"/>
  </r>
  <r>
    <n v="1078"/>
    <n v="50683"/>
    <d v="2023-06-16T00:12:29"/>
    <n v="27"/>
    <s v="Female"/>
    <x v="1"/>
    <n v="1755"/>
  </r>
  <r>
    <n v="1073"/>
    <n v="50684"/>
    <d v="2023-06-16T06:03:00"/>
    <n v="53"/>
    <s v="Female"/>
    <x v="2"/>
    <n v="3833"/>
  </r>
  <r>
    <n v="1249"/>
    <n v="50685"/>
    <d v="2023-06-16T11:53:31"/>
    <n v="26"/>
    <s v="Male"/>
    <x v="3"/>
    <n v="875"/>
  </r>
  <r>
    <n v="1047"/>
    <n v="50686"/>
    <d v="2023-06-16T17:44:02"/>
    <n v="62"/>
    <s v="Female"/>
    <x v="3"/>
    <n v="4387"/>
  </r>
  <r>
    <n v="1121"/>
    <n v="50687"/>
    <d v="2023-06-16T23:34:33"/>
    <n v="63"/>
    <s v="Female"/>
    <x v="0"/>
    <n v="236"/>
  </r>
  <r>
    <n v="1214"/>
    <n v="50688"/>
    <d v="2023-06-17T05:25:04"/>
    <n v="59"/>
    <s v="Female"/>
    <x v="0"/>
    <n v="4036"/>
  </r>
  <r>
    <n v="1239"/>
    <n v="50689"/>
    <d v="2023-06-17T11:15:35"/>
    <n v="49"/>
    <s v="Female"/>
    <x v="0"/>
    <n v="1987"/>
  </r>
  <r>
    <n v="1056"/>
    <n v="50690"/>
    <d v="2023-06-17T17:06:06"/>
    <n v="49"/>
    <s v="Male"/>
    <x v="0"/>
    <n v="2927"/>
  </r>
  <r>
    <n v="1350"/>
    <n v="50691"/>
    <d v="2023-06-17T22:56:37"/>
    <n v="23"/>
    <s v="Male"/>
    <x v="2"/>
    <n v="4080"/>
  </r>
  <r>
    <n v="1107"/>
    <n v="50692"/>
    <d v="2023-06-18T04:47:08"/>
    <n v="55"/>
    <s v="Male"/>
    <x v="3"/>
    <n v="2094"/>
  </r>
  <r>
    <n v="1048"/>
    <n v="50693"/>
    <d v="2023-06-18T10:37:39"/>
    <n v="34"/>
    <s v="Male"/>
    <x v="1"/>
    <n v="336"/>
  </r>
  <r>
    <n v="1573"/>
    <n v="50694"/>
    <d v="2023-06-18T16:28:10"/>
    <n v="27"/>
    <s v="Male"/>
    <x v="0"/>
    <n v="3276"/>
  </r>
  <r>
    <n v="1337"/>
    <n v="50695"/>
    <d v="2023-06-18T22:18:41"/>
    <n v="44"/>
    <s v="Male"/>
    <x v="0"/>
    <n v="4083"/>
  </r>
  <r>
    <n v="1026"/>
    <n v="50696"/>
    <d v="2023-06-19T04:09:12"/>
    <n v="52"/>
    <s v="Female"/>
    <x v="0"/>
    <n v="861"/>
  </r>
  <r>
    <n v="1257"/>
    <n v="50697"/>
    <d v="2023-06-19T09:59:43"/>
    <n v="38"/>
    <s v="Male"/>
    <x v="1"/>
    <n v="2010"/>
  </r>
  <r>
    <n v="1008"/>
    <n v="50698"/>
    <d v="2023-06-19T15:50:14"/>
    <n v="42"/>
    <s v="Female"/>
    <x v="0"/>
    <n v="614"/>
  </r>
  <r>
    <n v="1253"/>
    <n v="50699"/>
    <d v="2023-06-19T21:40:45"/>
    <n v="45"/>
    <s v="Female"/>
    <x v="1"/>
    <n v="542"/>
  </r>
  <r>
    <n v="1303"/>
    <n v="50700"/>
    <d v="2023-06-20T03:31:16"/>
    <n v="64"/>
    <s v="Female"/>
    <x v="3"/>
    <n v="2929"/>
  </r>
  <r>
    <n v="1056"/>
    <n v="50701"/>
    <d v="2023-06-20T09:21:47"/>
    <n v="32"/>
    <s v="Male"/>
    <x v="3"/>
    <n v="3650"/>
  </r>
  <r>
    <n v="1526"/>
    <n v="50702"/>
    <d v="2023-06-20T15:12:18"/>
    <n v="21"/>
    <s v="Female"/>
    <x v="3"/>
    <n v="3865"/>
  </r>
  <r>
    <n v="1474"/>
    <n v="50703"/>
    <d v="2023-06-20T21:02:49"/>
    <n v="46"/>
    <s v="Male"/>
    <x v="2"/>
    <n v="3937"/>
  </r>
  <r>
    <n v="1028"/>
    <n v="50704"/>
    <d v="2023-06-21T02:53:20"/>
    <n v="26"/>
    <s v="Female"/>
    <x v="1"/>
    <n v="4097"/>
  </r>
  <r>
    <n v="1078"/>
    <n v="50705"/>
    <d v="2023-06-21T08:43:51"/>
    <n v="44"/>
    <s v="Female"/>
    <x v="0"/>
    <n v="4441"/>
  </r>
  <r>
    <n v="1216"/>
    <n v="50706"/>
    <d v="2023-06-21T14:34:22"/>
    <n v="43"/>
    <s v="Male"/>
    <x v="0"/>
    <n v="4618"/>
  </r>
  <r>
    <n v="1386"/>
    <n v="50707"/>
    <d v="2023-06-21T20:24:53"/>
    <n v="36"/>
    <s v="Female"/>
    <x v="0"/>
    <n v="2369"/>
  </r>
  <r>
    <n v="1365"/>
    <n v="50708"/>
    <d v="2023-06-22T02:15:24"/>
    <n v="45"/>
    <s v="Female"/>
    <x v="0"/>
    <n v="2078"/>
  </r>
  <r>
    <n v="1526"/>
    <n v="50709"/>
    <d v="2023-06-22T08:05:55"/>
    <n v="34"/>
    <s v="Female"/>
    <x v="2"/>
    <n v="4170"/>
  </r>
  <r>
    <n v="1312"/>
    <n v="50710"/>
    <d v="2023-06-22T13:56:26"/>
    <n v="60"/>
    <s v="Female"/>
    <x v="0"/>
    <n v="4896"/>
  </r>
  <r>
    <n v="1007"/>
    <n v="50711"/>
    <d v="2023-06-22T19:46:57"/>
    <n v="58"/>
    <s v="Male"/>
    <x v="2"/>
    <n v="4770"/>
  </r>
  <r>
    <n v="1003"/>
    <n v="50712"/>
    <d v="2023-06-23T01:37:28"/>
    <n v="59"/>
    <s v="Female"/>
    <x v="1"/>
    <n v="2817"/>
  </r>
  <r>
    <n v="1363"/>
    <n v="50713"/>
    <d v="2023-06-23T07:27:59"/>
    <n v="37"/>
    <s v="Female"/>
    <x v="3"/>
    <n v="1715"/>
  </r>
  <r>
    <n v="1508"/>
    <n v="50714"/>
    <d v="2023-06-23T13:18:30"/>
    <n v="62"/>
    <s v="Male"/>
    <x v="0"/>
    <n v="774"/>
  </r>
  <r>
    <n v="1274"/>
    <n v="50715"/>
    <d v="2023-06-23T19:09:01"/>
    <n v="57"/>
    <s v="Female"/>
    <x v="3"/>
    <n v="4642"/>
  </r>
  <r>
    <n v="1506"/>
    <n v="50716"/>
    <d v="2023-06-24T00:59:32"/>
    <n v="56"/>
    <s v="Female"/>
    <x v="1"/>
    <n v="3067"/>
  </r>
  <r>
    <n v="1015"/>
    <n v="50717"/>
    <d v="2023-06-24T06:50:03"/>
    <n v="40"/>
    <s v="Female"/>
    <x v="1"/>
    <n v="3744"/>
  </r>
  <r>
    <n v="1192"/>
    <n v="50718"/>
    <d v="2023-06-24T12:40:34"/>
    <n v="64"/>
    <s v="Female"/>
    <x v="0"/>
    <n v="4677"/>
  </r>
  <r>
    <n v="1485"/>
    <n v="50719"/>
    <d v="2023-06-24T18:31:05"/>
    <n v="49"/>
    <s v="Male"/>
    <x v="1"/>
    <n v="271"/>
  </r>
  <r>
    <n v="1028"/>
    <n v="50720"/>
    <d v="2023-06-25T00:21:36"/>
    <n v="64"/>
    <s v="Female"/>
    <x v="3"/>
    <n v="2768"/>
  </r>
  <r>
    <n v="1039"/>
    <n v="50721"/>
    <d v="2023-06-25T06:12:07"/>
    <n v="50"/>
    <s v="Male"/>
    <x v="0"/>
    <n v="3637"/>
  </r>
  <r>
    <n v="1273"/>
    <n v="50722"/>
    <d v="2023-06-25T12:02:38"/>
    <n v="63"/>
    <s v="Female"/>
    <x v="2"/>
    <n v="3180"/>
  </r>
  <r>
    <n v="1231"/>
    <n v="50723"/>
    <d v="2023-06-25T17:53:09"/>
    <n v="22"/>
    <s v="Female"/>
    <x v="0"/>
    <n v="1317"/>
  </r>
  <r>
    <n v="1086"/>
    <n v="50724"/>
    <d v="2023-06-25T23:43:40"/>
    <n v="60"/>
    <s v="Female"/>
    <x v="3"/>
    <n v="2586"/>
  </r>
  <r>
    <n v="1474"/>
    <n v="50725"/>
    <d v="2023-06-26T05:34:11"/>
    <n v="51"/>
    <s v="Male"/>
    <x v="0"/>
    <n v="3708"/>
  </r>
  <r>
    <n v="1126"/>
    <n v="50726"/>
    <d v="2023-06-26T11:24:42"/>
    <n v="57"/>
    <s v="Female"/>
    <x v="0"/>
    <n v="1559"/>
  </r>
  <r>
    <n v="1537"/>
    <n v="50727"/>
    <d v="2023-06-26T17:15:14"/>
    <n v="28"/>
    <s v="Female"/>
    <x v="3"/>
    <n v="4959"/>
  </r>
  <r>
    <n v="1145"/>
    <n v="50728"/>
    <d v="2023-06-26T23:05:45"/>
    <n v="20"/>
    <s v="Male"/>
    <x v="0"/>
    <n v="1715"/>
  </r>
  <r>
    <n v="1525"/>
    <n v="50729"/>
    <d v="2023-06-27T04:56:16"/>
    <n v="50"/>
    <s v="Male"/>
    <x v="0"/>
    <n v="239"/>
  </r>
  <r>
    <n v="1212"/>
    <n v="50730"/>
    <d v="2023-06-27T10:46:47"/>
    <n v="28"/>
    <s v="Male"/>
    <x v="3"/>
    <n v="1582"/>
  </r>
  <r>
    <n v="1025"/>
    <n v="50731"/>
    <d v="2023-06-27T16:37:18"/>
    <n v="33"/>
    <s v="Male"/>
    <x v="1"/>
    <n v="2230"/>
  </r>
  <r>
    <n v="1580"/>
    <n v="50732"/>
    <d v="2023-06-27T22:27:49"/>
    <n v="35"/>
    <s v="Female"/>
    <x v="3"/>
    <n v="2821"/>
  </r>
  <r>
    <n v="1394"/>
    <n v="50733"/>
    <d v="2023-06-28T04:18:20"/>
    <n v="47"/>
    <s v="Female"/>
    <x v="0"/>
    <n v="2100"/>
  </r>
  <r>
    <n v="1067"/>
    <n v="50734"/>
    <d v="2023-06-28T10:08:51"/>
    <n v="27"/>
    <s v="Female"/>
    <x v="2"/>
    <n v="2417"/>
  </r>
  <r>
    <n v="1233"/>
    <n v="50735"/>
    <d v="2023-06-28T15:59:22"/>
    <n v="35"/>
    <s v="Female"/>
    <x v="2"/>
    <n v="4996"/>
  </r>
  <r>
    <n v="1109"/>
    <n v="50736"/>
    <d v="2023-06-28T21:49:53"/>
    <n v="55"/>
    <s v="Male"/>
    <x v="3"/>
    <n v="4806"/>
  </r>
  <r>
    <n v="1146"/>
    <n v="50737"/>
    <d v="2023-06-29T03:40:24"/>
    <n v="36"/>
    <s v="Female"/>
    <x v="2"/>
    <n v="1483"/>
  </r>
  <r>
    <n v="1111"/>
    <n v="50738"/>
    <d v="2023-06-29T09:30:55"/>
    <n v="53"/>
    <s v="Female"/>
    <x v="0"/>
    <n v="783"/>
  </r>
  <r>
    <n v="1228"/>
    <n v="50739"/>
    <d v="2023-06-29T15:21:26"/>
    <n v="30"/>
    <s v="Female"/>
    <x v="0"/>
    <n v="658"/>
  </r>
  <r>
    <n v="1111"/>
    <n v="50740"/>
    <d v="2023-06-29T21:11:57"/>
    <n v="63"/>
    <s v="Female"/>
    <x v="3"/>
    <n v="2465"/>
  </r>
  <r>
    <n v="1470"/>
    <n v="50741"/>
    <d v="2023-06-30T03:02:28"/>
    <n v="20"/>
    <s v="Male"/>
    <x v="0"/>
    <n v="2866"/>
  </r>
  <r>
    <n v="1034"/>
    <n v="50742"/>
    <d v="2023-06-30T08:52:59"/>
    <n v="27"/>
    <s v="Female"/>
    <x v="1"/>
    <n v="1015"/>
  </r>
  <r>
    <n v="1369"/>
    <n v="50743"/>
    <d v="2023-06-30T14:43:30"/>
    <n v="55"/>
    <s v="Female"/>
    <x v="0"/>
    <n v="2711"/>
  </r>
  <r>
    <n v="1595"/>
    <n v="50744"/>
    <d v="2023-06-30T20:34:01"/>
    <n v="18"/>
    <s v="Female"/>
    <x v="3"/>
    <n v="446"/>
  </r>
  <r>
    <n v="1554"/>
    <n v="50745"/>
    <d v="2023-07-01T02:24:32"/>
    <n v="44"/>
    <s v="Male"/>
    <x v="1"/>
    <n v="616"/>
  </r>
  <r>
    <n v="1425"/>
    <n v="50746"/>
    <d v="2023-07-01T08:15:03"/>
    <n v="63"/>
    <s v="Male"/>
    <x v="1"/>
    <n v="4663"/>
  </r>
  <r>
    <n v="1518"/>
    <n v="50747"/>
    <d v="2023-07-01T14:05:34"/>
    <n v="25"/>
    <s v="Female"/>
    <x v="2"/>
    <n v="3917"/>
  </r>
  <r>
    <n v="1282"/>
    <n v="50748"/>
    <d v="2023-07-01T19:56:05"/>
    <n v="63"/>
    <s v="Female"/>
    <x v="0"/>
    <n v="307"/>
  </r>
  <r>
    <n v="1320"/>
    <n v="50749"/>
    <d v="2023-07-02T01:46:36"/>
    <n v="59"/>
    <s v="Female"/>
    <x v="3"/>
    <n v="2831"/>
  </r>
  <r>
    <n v="1443"/>
    <n v="50750"/>
    <d v="2023-07-02T07:37:07"/>
    <n v="34"/>
    <s v="Male"/>
    <x v="2"/>
    <n v="1038"/>
  </r>
  <r>
    <n v="1315"/>
    <n v="50751"/>
    <d v="2023-07-02T13:27:38"/>
    <n v="26"/>
    <s v="Female"/>
    <x v="2"/>
    <n v="4713"/>
  </r>
  <r>
    <n v="1377"/>
    <n v="50752"/>
    <d v="2023-07-02T19:18:09"/>
    <n v="23"/>
    <s v="Female"/>
    <x v="0"/>
    <n v="1621"/>
  </r>
  <r>
    <n v="1289"/>
    <n v="50753"/>
    <d v="2023-07-03T01:08:40"/>
    <n v="60"/>
    <s v="Female"/>
    <x v="0"/>
    <n v="4978"/>
  </r>
  <r>
    <n v="1437"/>
    <n v="50754"/>
    <d v="2023-07-03T06:59:11"/>
    <n v="42"/>
    <s v="Male"/>
    <x v="3"/>
    <n v="4112"/>
  </r>
  <r>
    <n v="1277"/>
    <n v="50755"/>
    <d v="2023-07-03T12:49:42"/>
    <n v="56"/>
    <s v="Female"/>
    <x v="2"/>
    <n v="455"/>
  </r>
  <r>
    <n v="1582"/>
    <n v="50756"/>
    <d v="2023-07-03T18:40:13"/>
    <n v="45"/>
    <s v="Female"/>
    <x v="3"/>
    <n v="3027"/>
  </r>
  <r>
    <n v="1503"/>
    <n v="50757"/>
    <d v="2023-07-04T00:30:44"/>
    <n v="50"/>
    <s v="Male"/>
    <x v="2"/>
    <n v="1037"/>
  </r>
  <r>
    <n v="1516"/>
    <n v="50758"/>
    <d v="2023-07-04T06:21:15"/>
    <n v="54"/>
    <s v="Male"/>
    <x v="2"/>
    <n v="3162"/>
  </r>
  <r>
    <n v="1350"/>
    <n v="50759"/>
    <d v="2023-07-04T12:11:46"/>
    <n v="26"/>
    <s v="Female"/>
    <x v="2"/>
    <n v="2482"/>
  </r>
  <r>
    <n v="1446"/>
    <n v="50760"/>
    <d v="2023-07-04T18:02:17"/>
    <n v="35"/>
    <s v="Male"/>
    <x v="0"/>
    <n v="752"/>
  </r>
  <r>
    <n v="1350"/>
    <n v="50761"/>
    <d v="2023-07-04T23:52:48"/>
    <n v="38"/>
    <s v="Female"/>
    <x v="2"/>
    <n v="380"/>
  </r>
  <r>
    <n v="1137"/>
    <n v="50762"/>
    <d v="2023-07-05T05:43:19"/>
    <n v="19"/>
    <s v="Male"/>
    <x v="2"/>
    <n v="4452"/>
  </r>
  <r>
    <n v="1243"/>
    <n v="50763"/>
    <d v="2023-07-05T11:33:50"/>
    <n v="60"/>
    <s v="Male"/>
    <x v="2"/>
    <n v="1677"/>
  </r>
  <r>
    <n v="1543"/>
    <n v="50764"/>
    <d v="2023-07-05T17:24:21"/>
    <n v="55"/>
    <s v="Female"/>
    <x v="1"/>
    <n v="770"/>
  </r>
  <r>
    <n v="1040"/>
    <n v="50765"/>
    <d v="2023-07-05T23:14:52"/>
    <n v="57"/>
    <s v="Female"/>
    <x v="0"/>
    <n v="1927"/>
  </r>
  <r>
    <n v="1229"/>
    <n v="50766"/>
    <d v="2023-07-06T05:05:23"/>
    <n v="53"/>
    <s v="Female"/>
    <x v="1"/>
    <n v="791"/>
  </r>
  <r>
    <n v="1548"/>
    <n v="50767"/>
    <d v="2023-07-06T10:55:54"/>
    <n v="60"/>
    <s v="Male"/>
    <x v="0"/>
    <n v="4716"/>
  </r>
  <r>
    <n v="1223"/>
    <n v="50768"/>
    <d v="2023-07-06T16:46:25"/>
    <n v="54"/>
    <s v="Female"/>
    <x v="3"/>
    <n v="2460"/>
  </r>
  <r>
    <n v="1006"/>
    <n v="50769"/>
    <d v="2023-07-06T22:36:56"/>
    <n v="32"/>
    <s v="Female"/>
    <x v="1"/>
    <n v="3147"/>
  </r>
  <r>
    <n v="1322"/>
    <n v="50770"/>
    <d v="2023-07-07T04:27:27"/>
    <n v="45"/>
    <s v="Female"/>
    <x v="3"/>
    <n v="547"/>
  </r>
  <r>
    <n v="1468"/>
    <n v="50771"/>
    <d v="2023-07-07T10:17:58"/>
    <n v="35"/>
    <s v="Female"/>
    <x v="2"/>
    <n v="365"/>
  </r>
  <r>
    <n v="1075"/>
    <n v="50772"/>
    <d v="2023-07-07T16:08:29"/>
    <n v="51"/>
    <s v="Female"/>
    <x v="3"/>
    <n v="4643"/>
  </r>
  <r>
    <n v="1004"/>
    <n v="50773"/>
    <d v="2023-07-07T21:59:00"/>
    <n v="39"/>
    <s v="Male"/>
    <x v="3"/>
    <n v="3096"/>
  </r>
  <r>
    <n v="1118"/>
    <n v="50774"/>
    <d v="2023-07-08T03:49:31"/>
    <n v="28"/>
    <s v="Female"/>
    <x v="3"/>
    <n v="4693"/>
  </r>
  <r>
    <n v="1504"/>
    <n v="50775"/>
    <d v="2023-07-08T09:40:02"/>
    <n v="30"/>
    <s v="Female"/>
    <x v="3"/>
    <n v="782"/>
  </r>
  <r>
    <n v="1574"/>
    <n v="50776"/>
    <d v="2023-07-08T15:30:33"/>
    <n v="21"/>
    <s v="Male"/>
    <x v="0"/>
    <n v="3706"/>
  </r>
  <r>
    <n v="1441"/>
    <n v="50777"/>
    <d v="2023-07-08T21:21:04"/>
    <n v="39"/>
    <s v="Female"/>
    <x v="1"/>
    <n v="4603"/>
  </r>
  <r>
    <n v="1194"/>
    <n v="50778"/>
    <d v="2023-07-09T03:11:35"/>
    <n v="24"/>
    <s v="Female"/>
    <x v="0"/>
    <n v="3238"/>
  </r>
  <r>
    <n v="1392"/>
    <n v="50779"/>
    <d v="2023-07-09T09:02:06"/>
    <n v="60"/>
    <s v="Female"/>
    <x v="0"/>
    <n v="3045"/>
  </r>
  <r>
    <n v="1026"/>
    <n v="50780"/>
    <d v="2023-07-09T14:52:37"/>
    <n v="41"/>
    <s v="Female"/>
    <x v="0"/>
    <n v="2966"/>
  </r>
  <r>
    <n v="1435"/>
    <n v="50781"/>
    <d v="2023-07-09T20:43:08"/>
    <n v="21"/>
    <s v="Female"/>
    <x v="3"/>
    <n v="4394"/>
  </r>
  <r>
    <n v="1173"/>
    <n v="50782"/>
    <d v="2023-07-10T02:33:39"/>
    <n v="45"/>
    <s v="Male"/>
    <x v="0"/>
    <n v="1465"/>
  </r>
  <r>
    <n v="1300"/>
    <n v="50783"/>
    <d v="2023-07-10T08:24:10"/>
    <n v="32"/>
    <s v="Male"/>
    <x v="1"/>
    <n v="4453"/>
  </r>
  <r>
    <n v="1326"/>
    <n v="50784"/>
    <d v="2023-07-10T14:14:41"/>
    <n v="18"/>
    <s v="Male"/>
    <x v="0"/>
    <n v="4849"/>
  </r>
  <r>
    <n v="1410"/>
    <n v="50785"/>
    <d v="2023-07-10T20:05:12"/>
    <n v="20"/>
    <s v="Female"/>
    <x v="2"/>
    <n v="4946"/>
  </r>
  <r>
    <n v="1118"/>
    <n v="50786"/>
    <d v="2023-07-11T01:55:43"/>
    <n v="31"/>
    <s v="Male"/>
    <x v="3"/>
    <n v="3167"/>
  </r>
  <r>
    <n v="1225"/>
    <n v="50787"/>
    <d v="2023-07-11T07:46:14"/>
    <n v="55"/>
    <s v="Female"/>
    <x v="2"/>
    <n v="2474"/>
  </r>
  <r>
    <n v="1532"/>
    <n v="50788"/>
    <d v="2023-07-11T13:36:45"/>
    <n v="18"/>
    <s v="Female"/>
    <x v="1"/>
    <n v="2670"/>
  </r>
  <r>
    <n v="1113"/>
    <n v="50789"/>
    <d v="2023-07-11T19:27:16"/>
    <n v="55"/>
    <s v="Female"/>
    <x v="1"/>
    <n v="2490"/>
  </r>
  <r>
    <n v="1140"/>
    <n v="50790"/>
    <d v="2023-07-12T01:17:47"/>
    <n v="55"/>
    <s v="Male"/>
    <x v="1"/>
    <n v="2777"/>
  </r>
  <r>
    <n v="1559"/>
    <n v="50791"/>
    <d v="2023-07-12T07:08:18"/>
    <n v="38"/>
    <s v="Male"/>
    <x v="1"/>
    <n v="3860"/>
  </r>
  <r>
    <n v="1001"/>
    <n v="50792"/>
    <d v="2023-07-12T12:58:49"/>
    <n v="46"/>
    <s v="Male"/>
    <x v="0"/>
    <n v="1268"/>
  </r>
  <r>
    <n v="1090"/>
    <n v="50793"/>
    <d v="2023-07-12T18:49:20"/>
    <n v="22"/>
    <s v="Female"/>
    <x v="3"/>
    <n v="2936"/>
  </r>
  <r>
    <n v="1320"/>
    <n v="50794"/>
    <d v="2023-07-13T00:39:51"/>
    <n v="27"/>
    <s v="Male"/>
    <x v="1"/>
    <n v="2150"/>
  </r>
  <r>
    <n v="1550"/>
    <n v="50795"/>
    <d v="2023-07-13T06:30:22"/>
    <n v="45"/>
    <s v="Female"/>
    <x v="2"/>
    <n v="291"/>
  </r>
  <r>
    <n v="1139"/>
    <n v="50796"/>
    <d v="2023-07-13T12:20:53"/>
    <n v="38"/>
    <s v="Male"/>
    <x v="1"/>
    <n v="3293"/>
  </r>
  <r>
    <n v="1511"/>
    <n v="50797"/>
    <d v="2023-07-13T18:11:24"/>
    <n v="24"/>
    <s v="Male"/>
    <x v="3"/>
    <n v="2419"/>
  </r>
  <r>
    <n v="1259"/>
    <n v="50798"/>
    <d v="2023-07-14T00:01:55"/>
    <n v="20"/>
    <s v="Female"/>
    <x v="2"/>
    <n v="1587"/>
  </r>
  <r>
    <n v="1010"/>
    <n v="50799"/>
    <d v="2023-07-14T05:52:26"/>
    <n v="62"/>
    <s v="Female"/>
    <x v="2"/>
    <n v="4474"/>
  </r>
  <r>
    <n v="1261"/>
    <n v="50800"/>
    <d v="2023-07-14T11:42:57"/>
    <n v="64"/>
    <s v="Male"/>
    <x v="2"/>
    <n v="2485"/>
  </r>
  <r>
    <n v="1172"/>
    <n v="50801"/>
    <d v="2023-07-14T17:33:28"/>
    <n v="37"/>
    <s v="Male"/>
    <x v="0"/>
    <n v="3406"/>
  </r>
  <r>
    <n v="1013"/>
    <n v="50802"/>
    <d v="2023-07-14T23:23:59"/>
    <n v="36"/>
    <s v="Male"/>
    <x v="1"/>
    <n v="3124"/>
  </r>
  <r>
    <n v="1168"/>
    <n v="50803"/>
    <d v="2023-07-15T05:14:30"/>
    <n v="52"/>
    <s v="Female"/>
    <x v="0"/>
    <n v="479"/>
  </r>
  <r>
    <n v="1596"/>
    <n v="50804"/>
    <d v="2023-07-15T11:05:01"/>
    <n v="21"/>
    <s v="Female"/>
    <x v="2"/>
    <n v="1818"/>
  </r>
  <r>
    <n v="1321"/>
    <n v="50805"/>
    <d v="2023-07-15T16:55:32"/>
    <n v="22"/>
    <s v="Male"/>
    <x v="0"/>
    <n v="2987"/>
  </r>
  <r>
    <n v="1319"/>
    <n v="50806"/>
    <d v="2023-07-15T22:46:03"/>
    <n v="18"/>
    <s v="Male"/>
    <x v="0"/>
    <n v="570"/>
  </r>
  <r>
    <n v="1329"/>
    <n v="50807"/>
    <d v="2023-07-16T04:36:34"/>
    <n v="21"/>
    <s v="Female"/>
    <x v="0"/>
    <n v="3383"/>
  </r>
  <r>
    <n v="1550"/>
    <n v="50808"/>
    <d v="2023-07-16T10:27:05"/>
    <n v="29"/>
    <s v="Male"/>
    <x v="1"/>
    <n v="4034"/>
  </r>
  <r>
    <n v="1419"/>
    <n v="50809"/>
    <d v="2023-07-16T16:17:36"/>
    <n v="44"/>
    <s v="Female"/>
    <x v="2"/>
    <n v="1903"/>
  </r>
  <r>
    <n v="1095"/>
    <n v="50810"/>
    <d v="2023-07-16T22:08:07"/>
    <n v="59"/>
    <s v="Female"/>
    <x v="2"/>
    <n v="2468"/>
  </r>
  <r>
    <n v="1581"/>
    <n v="50811"/>
    <d v="2023-07-17T03:58:38"/>
    <n v="40"/>
    <s v="Female"/>
    <x v="1"/>
    <n v="503"/>
  </r>
  <r>
    <n v="1318"/>
    <n v="50812"/>
    <d v="2023-07-17T09:49:09"/>
    <n v="42"/>
    <s v="Female"/>
    <x v="0"/>
    <n v="3974"/>
  </r>
  <r>
    <n v="1236"/>
    <n v="50813"/>
    <d v="2023-07-17T15:39:40"/>
    <n v="38"/>
    <s v="Female"/>
    <x v="0"/>
    <n v="1548"/>
  </r>
  <r>
    <n v="1334"/>
    <n v="50814"/>
    <d v="2023-07-17T21:30:11"/>
    <n v="41"/>
    <s v="Female"/>
    <x v="3"/>
    <n v="2622"/>
  </r>
  <r>
    <n v="1376"/>
    <n v="50815"/>
    <d v="2023-07-18T03:20:42"/>
    <n v="42"/>
    <s v="Male"/>
    <x v="3"/>
    <n v="3828"/>
  </r>
  <r>
    <n v="1459"/>
    <n v="50816"/>
    <d v="2023-07-18T09:11:13"/>
    <n v="62"/>
    <s v="Female"/>
    <x v="3"/>
    <n v="2628"/>
  </r>
  <r>
    <n v="1137"/>
    <n v="50817"/>
    <d v="2023-07-18T15:01:44"/>
    <n v="63"/>
    <s v="Female"/>
    <x v="1"/>
    <n v="3233"/>
  </r>
  <r>
    <n v="1588"/>
    <n v="50818"/>
    <d v="2023-07-18T20:52:15"/>
    <n v="49"/>
    <s v="Male"/>
    <x v="2"/>
    <n v="868"/>
  </r>
  <r>
    <n v="1547"/>
    <n v="50819"/>
    <d v="2023-07-19T02:42:46"/>
    <n v="49"/>
    <s v="Female"/>
    <x v="3"/>
    <n v="699"/>
  </r>
  <r>
    <n v="1513"/>
    <n v="50820"/>
    <d v="2023-07-19T08:33:17"/>
    <n v="22"/>
    <s v="Male"/>
    <x v="2"/>
    <n v="1614"/>
  </r>
  <r>
    <n v="1296"/>
    <n v="50821"/>
    <d v="2023-07-19T14:23:48"/>
    <n v="53"/>
    <s v="Female"/>
    <x v="2"/>
    <n v="729"/>
  </r>
  <r>
    <n v="1320"/>
    <n v="50822"/>
    <d v="2023-07-19T20:14:19"/>
    <n v="63"/>
    <s v="Male"/>
    <x v="2"/>
    <n v="3821"/>
  </r>
  <r>
    <n v="1572"/>
    <n v="50823"/>
    <d v="2023-07-20T02:04:50"/>
    <n v="59"/>
    <s v="Male"/>
    <x v="1"/>
    <n v="3656"/>
  </r>
  <r>
    <n v="1349"/>
    <n v="50824"/>
    <d v="2023-07-20T07:55:22"/>
    <n v="59"/>
    <s v="Female"/>
    <x v="1"/>
    <n v="954"/>
  </r>
  <r>
    <n v="1229"/>
    <n v="50825"/>
    <d v="2023-07-20T13:45:53"/>
    <n v="56"/>
    <s v="Female"/>
    <x v="1"/>
    <n v="2547"/>
  </r>
  <r>
    <n v="1270"/>
    <n v="50826"/>
    <d v="2023-07-20T19:36:24"/>
    <n v="33"/>
    <s v="Female"/>
    <x v="1"/>
    <n v="926"/>
  </r>
  <r>
    <n v="1291"/>
    <n v="50827"/>
    <d v="2023-07-21T01:26:55"/>
    <n v="50"/>
    <s v="Female"/>
    <x v="3"/>
    <n v="2849"/>
  </r>
  <r>
    <n v="1165"/>
    <n v="50828"/>
    <d v="2023-07-21T07:17:26"/>
    <n v="38"/>
    <s v="Male"/>
    <x v="0"/>
    <n v="2246"/>
  </r>
  <r>
    <n v="1005"/>
    <n v="50829"/>
    <d v="2023-07-21T13:07:57"/>
    <n v="26"/>
    <s v="Male"/>
    <x v="0"/>
    <n v="3015"/>
  </r>
  <r>
    <n v="1379"/>
    <n v="50830"/>
    <d v="2023-07-21T18:58:28"/>
    <n v="23"/>
    <s v="Male"/>
    <x v="0"/>
    <n v="1074"/>
  </r>
  <r>
    <n v="1078"/>
    <n v="50831"/>
    <d v="2023-07-22T00:48:59"/>
    <n v="62"/>
    <s v="Female"/>
    <x v="3"/>
    <n v="3479"/>
  </r>
  <r>
    <n v="1410"/>
    <n v="50832"/>
    <d v="2023-07-22T06:39:30"/>
    <n v="52"/>
    <s v="Male"/>
    <x v="0"/>
    <n v="3184"/>
  </r>
  <r>
    <n v="1574"/>
    <n v="50833"/>
    <d v="2023-07-22T12:30:01"/>
    <n v="56"/>
    <s v="Female"/>
    <x v="3"/>
    <n v="2378"/>
  </r>
  <r>
    <n v="1132"/>
    <n v="50834"/>
    <d v="2023-07-22T18:20:32"/>
    <n v="39"/>
    <s v="Female"/>
    <x v="3"/>
    <n v="4007"/>
  </r>
  <r>
    <n v="1042"/>
    <n v="50835"/>
    <d v="2023-07-23T00:11:03"/>
    <n v="58"/>
    <s v="Male"/>
    <x v="3"/>
    <n v="807"/>
  </r>
  <r>
    <n v="1089"/>
    <n v="50836"/>
    <d v="2023-07-23T06:01:34"/>
    <n v="22"/>
    <s v="Female"/>
    <x v="0"/>
    <n v="834"/>
  </r>
  <r>
    <n v="1402"/>
    <n v="50837"/>
    <d v="2023-07-23T11:52:05"/>
    <n v="59"/>
    <s v="Male"/>
    <x v="2"/>
    <n v="4779"/>
  </r>
  <r>
    <n v="1296"/>
    <n v="50838"/>
    <d v="2023-07-23T17:42:36"/>
    <n v="40"/>
    <s v="Female"/>
    <x v="0"/>
    <n v="2927"/>
  </r>
  <r>
    <n v="1295"/>
    <n v="50839"/>
    <d v="2023-07-23T23:33:07"/>
    <n v="34"/>
    <s v="Male"/>
    <x v="0"/>
    <n v="1274"/>
  </r>
  <r>
    <n v="1526"/>
    <n v="50840"/>
    <d v="2023-07-24T05:23:38"/>
    <n v="29"/>
    <s v="Female"/>
    <x v="1"/>
    <n v="2114"/>
  </r>
  <r>
    <n v="1422"/>
    <n v="50841"/>
    <d v="2023-07-24T11:14:09"/>
    <n v="40"/>
    <s v="Male"/>
    <x v="3"/>
    <n v="788"/>
  </r>
  <r>
    <n v="1023"/>
    <n v="50842"/>
    <d v="2023-07-24T17:04:40"/>
    <n v="33"/>
    <s v="Male"/>
    <x v="2"/>
    <n v="3431"/>
  </r>
  <r>
    <n v="1575"/>
    <n v="50843"/>
    <d v="2023-07-24T22:55:11"/>
    <n v="20"/>
    <s v="Female"/>
    <x v="1"/>
    <n v="2504"/>
  </r>
  <r>
    <n v="1143"/>
    <n v="50844"/>
    <d v="2023-07-25T04:45:42"/>
    <n v="47"/>
    <s v="Female"/>
    <x v="2"/>
    <n v="4038"/>
  </r>
  <r>
    <n v="1145"/>
    <n v="50845"/>
    <d v="2023-07-25T10:36:13"/>
    <n v="39"/>
    <s v="Male"/>
    <x v="2"/>
    <n v="2173"/>
  </r>
  <r>
    <n v="1225"/>
    <n v="50846"/>
    <d v="2023-07-25T16:26:44"/>
    <n v="26"/>
    <s v="Female"/>
    <x v="3"/>
    <n v="2255"/>
  </r>
  <r>
    <n v="1503"/>
    <n v="50847"/>
    <d v="2023-07-25T22:17:15"/>
    <n v="46"/>
    <s v="Female"/>
    <x v="0"/>
    <n v="3680"/>
  </r>
  <r>
    <n v="1104"/>
    <n v="50848"/>
    <d v="2023-07-26T04:07:46"/>
    <n v="64"/>
    <s v="Female"/>
    <x v="3"/>
    <n v="2279"/>
  </r>
  <r>
    <n v="1039"/>
    <n v="50849"/>
    <d v="2023-07-26T09:58:17"/>
    <n v="54"/>
    <s v="Male"/>
    <x v="3"/>
    <n v="3252"/>
  </r>
  <r>
    <n v="1198"/>
    <n v="50850"/>
    <d v="2023-07-26T15:48:48"/>
    <n v="40"/>
    <s v="Male"/>
    <x v="1"/>
    <n v="4682"/>
  </r>
  <r>
    <n v="1579"/>
    <n v="50851"/>
    <d v="2023-07-26T21:39:19"/>
    <n v="30"/>
    <s v="Female"/>
    <x v="3"/>
    <n v="1451"/>
  </r>
  <r>
    <n v="1391"/>
    <n v="50852"/>
    <d v="2023-07-27T03:29:50"/>
    <n v="49"/>
    <s v="Female"/>
    <x v="0"/>
    <n v="3995"/>
  </r>
  <r>
    <n v="1179"/>
    <n v="50853"/>
    <d v="2023-07-27T09:20:21"/>
    <n v="63"/>
    <s v="Male"/>
    <x v="2"/>
    <n v="4022"/>
  </r>
  <r>
    <n v="1554"/>
    <n v="50854"/>
    <d v="2023-07-27T15:10:52"/>
    <n v="64"/>
    <s v="Female"/>
    <x v="3"/>
    <n v="4502"/>
  </r>
  <r>
    <n v="1448"/>
    <n v="50855"/>
    <d v="2023-07-27T21:01:23"/>
    <n v="40"/>
    <s v="Male"/>
    <x v="2"/>
    <n v="3589"/>
  </r>
  <r>
    <n v="1500"/>
    <n v="50856"/>
    <d v="2023-07-28T02:51:54"/>
    <n v="62"/>
    <s v="Female"/>
    <x v="3"/>
    <n v="1980"/>
  </r>
  <r>
    <n v="1015"/>
    <n v="50857"/>
    <d v="2023-07-28T08:42:25"/>
    <n v="34"/>
    <s v="Female"/>
    <x v="2"/>
    <n v="2804"/>
  </r>
  <r>
    <n v="1289"/>
    <n v="50858"/>
    <d v="2023-07-28T14:32:56"/>
    <n v="57"/>
    <s v="Female"/>
    <x v="3"/>
    <n v="3888"/>
  </r>
  <r>
    <n v="1478"/>
    <n v="50859"/>
    <d v="2023-07-28T20:23:27"/>
    <n v="38"/>
    <s v="Male"/>
    <x v="1"/>
    <n v="1924"/>
  </r>
  <r>
    <n v="1231"/>
    <n v="50860"/>
    <d v="2023-07-29T02:13:58"/>
    <n v="19"/>
    <s v="Male"/>
    <x v="2"/>
    <n v="2984"/>
  </r>
  <r>
    <n v="1420"/>
    <n v="50861"/>
    <d v="2023-07-29T08:04:29"/>
    <n v="54"/>
    <s v="Male"/>
    <x v="3"/>
    <n v="3919"/>
  </r>
  <r>
    <n v="1157"/>
    <n v="50862"/>
    <d v="2023-07-29T13:55:00"/>
    <n v="23"/>
    <s v="Male"/>
    <x v="3"/>
    <n v="1877"/>
  </r>
  <r>
    <n v="1550"/>
    <n v="50863"/>
    <d v="2023-07-29T19:45:31"/>
    <n v="61"/>
    <s v="Female"/>
    <x v="1"/>
    <n v="648"/>
  </r>
  <r>
    <n v="1441"/>
    <n v="50864"/>
    <d v="2023-07-30T01:36:02"/>
    <n v="35"/>
    <s v="Female"/>
    <x v="1"/>
    <n v="4887"/>
  </r>
  <r>
    <n v="1097"/>
    <n v="50865"/>
    <d v="2023-07-30T07:26:33"/>
    <n v="47"/>
    <s v="Male"/>
    <x v="1"/>
    <n v="281"/>
  </r>
  <r>
    <n v="1411"/>
    <n v="50866"/>
    <d v="2023-07-30T13:17:04"/>
    <n v="39"/>
    <s v="Female"/>
    <x v="2"/>
    <n v="1606"/>
  </r>
  <r>
    <n v="1289"/>
    <n v="50867"/>
    <d v="2023-07-30T19:07:35"/>
    <n v="50"/>
    <s v="Female"/>
    <x v="2"/>
    <n v="1680"/>
  </r>
  <r>
    <n v="1254"/>
    <n v="50868"/>
    <d v="2023-07-31T00:58:06"/>
    <n v="47"/>
    <s v="Male"/>
    <x v="1"/>
    <n v="1279"/>
  </r>
  <r>
    <n v="1196"/>
    <n v="50869"/>
    <d v="2023-07-31T06:48:37"/>
    <n v="34"/>
    <s v="Female"/>
    <x v="0"/>
    <n v="3798"/>
  </r>
  <r>
    <n v="1598"/>
    <n v="50870"/>
    <d v="2023-07-31T12:39:08"/>
    <n v="60"/>
    <s v="Female"/>
    <x v="0"/>
    <n v="4714"/>
  </r>
  <r>
    <n v="1522"/>
    <n v="50871"/>
    <d v="2023-07-31T18:29:39"/>
    <n v="49"/>
    <s v="Male"/>
    <x v="3"/>
    <n v="4383"/>
  </r>
  <r>
    <n v="1517"/>
    <n v="50872"/>
    <d v="2023-08-01T00:20:10"/>
    <n v="59"/>
    <s v="Female"/>
    <x v="0"/>
    <n v="3880"/>
  </r>
  <r>
    <n v="1118"/>
    <n v="50873"/>
    <d v="2023-08-01T06:10:41"/>
    <n v="31"/>
    <s v="Female"/>
    <x v="3"/>
    <n v="2903"/>
  </r>
  <r>
    <n v="1159"/>
    <n v="50874"/>
    <d v="2023-08-01T12:01:12"/>
    <n v="27"/>
    <s v="Female"/>
    <x v="2"/>
    <n v="4510"/>
  </r>
  <r>
    <n v="1228"/>
    <n v="50875"/>
    <d v="2023-08-01T17:51:43"/>
    <n v="64"/>
    <s v="Male"/>
    <x v="2"/>
    <n v="3956"/>
  </r>
  <r>
    <n v="1216"/>
    <n v="50876"/>
    <d v="2023-08-01T23:42:14"/>
    <n v="53"/>
    <s v="Male"/>
    <x v="0"/>
    <n v="1958"/>
  </r>
  <r>
    <n v="1015"/>
    <n v="50877"/>
    <d v="2023-08-02T05:32:45"/>
    <n v="51"/>
    <s v="Female"/>
    <x v="2"/>
    <n v="2799"/>
  </r>
  <r>
    <n v="1157"/>
    <n v="50878"/>
    <d v="2023-08-02T11:23:16"/>
    <n v="26"/>
    <s v="Female"/>
    <x v="1"/>
    <n v="2750"/>
  </r>
  <r>
    <n v="1261"/>
    <n v="50879"/>
    <d v="2023-08-02T17:13:47"/>
    <n v="59"/>
    <s v="Female"/>
    <x v="1"/>
    <n v="4053"/>
  </r>
  <r>
    <n v="1157"/>
    <n v="50880"/>
    <d v="2023-08-02T23:04:18"/>
    <n v="45"/>
    <s v="Male"/>
    <x v="0"/>
    <n v="2946"/>
  </r>
  <r>
    <n v="1047"/>
    <n v="50881"/>
    <d v="2023-08-03T04:54:49"/>
    <n v="28"/>
    <s v="Male"/>
    <x v="0"/>
    <n v="2492"/>
  </r>
  <r>
    <n v="1324"/>
    <n v="50882"/>
    <d v="2023-08-03T10:45:20"/>
    <n v="31"/>
    <s v="Male"/>
    <x v="3"/>
    <n v="1701"/>
  </r>
  <r>
    <n v="1130"/>
    <n v="50883"/>
    <d v="2023-08-03T16:35:51"/>
    <n v="56"/>
    <s v="Female"/>
    <x v="2"/>
    <n v="4604"/>
  </r>
  <r>
    <n v="1411"/>
    <n v="50884"/>
    <d v="2023-08-03T22:26:22"/>
    <n v="64"/>
    <s v="Female"/>
    <x v="3"/>
    <n v="430"/>
  </r>
  <r>
    <n v="1095"/>
    <n v="50885"/>
    <d v="2023-08-04T04:16:53"/>
    <n v="36"/>
    <s v="Female"/>
    <x v="3"/>
    <n v="4450"/>
  </r>
  <r>
    <n v="1292"/>
    <n v="50886"/>
    <d v="2023-08-04T10:07:24"/>
    <n v="32"/>
    <s v="Female"/>
    <x v="1"/>
    <n v="1398"/>
  </r>
  <r>
    <n v="1283"/>
    <n v="50887"/>
    <d v="2023-08-04T15:57:55"/>
    <n v="45"/>
    <s v="Female"/>
    <x v="1"/>
    <n v="314"/>
  </r>
  <r>
    <n v="1069"/>
    <n v="50888"/>
    <d v="2023-08-04T21:48:26"/>
    <n v="41"/>
    <s v="Male"/>
    <x v="1"/>
    <n v="1613"/>
  </r>
  <r>
    <n v="1011"/>
    <n v="50889"/>
    <d v="2023-08-05T03:38:57"/>
    <n v="25"/>
    <s v="Female"/>
    <x v="1"/>
    <n v="4606"/>
  </r>
  <r>
    <n v="1254"/>
    <n v="50890"/>
    <d v="2023-08-05T09:29:28"/>
    <n v="60"/>
    <s v="Female"/>
    <x v="3"/>
    <n v="1192"/>
  </r>
  <r>
    <n v="1550"/>
    <n v="50891"/>
    <d v="2023-08-05T15:19:59"/>
    <n v="26"/>
    <s v="Female"/>
    <x v="1"/>
    <n v="2547"/>
  </r>
  <r>
    <n v="1134"/>
    <n v="50892"/>
    <d v="2023-08-05T21:10:30"/>
    <n v="64"/>
    <s v="Male"/>
    <x v="2"/>
    <n v="1241"/>
  </r>
  <r>
    <n v="1023"/>
    <n v="50893"/>
    <d v="2023-08-06T03:01:01"/>
    <n v="50"/>
    <s v="Female"/>
    <x v="1"/>
    <n v="211"/>
  </r>
  <r>
    <n v="1346"/>
    <n v="50894"/>
    <d v="2023-08-06T08:51:32"/>
    <n v="50"/>
    <s v="Male"/>
    <x v="1"/>
    <n v="3876"/>
  </r>
  <r>
    <n v="1302"/>
    <n v="50895"/>
    <d v="2023-08-06T14:42:03"/>
    <n v="36"/>
    <s v="Male"/>
    <x v="1"/>
    <n v="3265"/>
  </r>
  <r>
    <n v="1363"/>
    <n v="50896"/>
    <d v="2023-08-06T20:32:34"/>
    <n v="20"/>
    <s v="Male"/>
    <x v="0"/>
    <n v="2236"/>
  </r>
  <r>
    <n v="1396"/>
    <n v="50897"/>
    <d v="2023-08-07T02:23:05"/>
    <n v="27"/>
    <s v="Male"/>
    <x v="2"/>
    <n v="3246"/>
  </r>
  <r>
    <n v="1218"/>
    <n v="50898"/>
    <d v="2023-08-07T08:13:36"/>
    <n v="57"/>
    <s v="Male"/>
    <x v="2"/>
    <n v="2550"/>
  </r>
  <r>
    <n v="1141"/>
    <n v="50899"/>
    <d v="2023-08-07T14:04:07"/>
    <n v="64"/>
    <s v="Female"/>
    <x v="3"/>
    <n v="740"/>
  </r>
  <r>
    <n v="1210"/>
    <n v="50900"/>
    <d v="2023-08-07T19:54:38"/>
    <n v="59"/>
    <s v="Female"/>
    <x v="3"/>
    <n v="3060"/>
  </r>
  <r>
    <n v="1460"/>
    <n v="50901"/>
    <d v="2023-08-08T01:45:09"/>
    <n v="18"/>
    <s v="Male"/>
    <x v="1"/>
    <n v="276"/>
  </r>
  <r>
    <n v="1356"/>
    <n v="50902"/>
    <d v="2023-08-08T07:35:40"/>
    <n v="46"/>
    <s v="Male"/>
    <x v="0"/>
    <n v="3267"/>
  </r>
  <r>
    <n v="1324"/>
    <n v="50903"/>
    <d v="2023-08-08T13:26:11"/>
    <n v="51"/>
    <s v="Male"/>
    <x v="3"/>
    <n v="223"/>
  </r>
  <r>
    <n v="1133"/>
    <n v="50904"/>
    <d v="2023-08-08T19:16:42"/>
    <n v="30"/>
    <s v="Female"/>
    <x v="3"/>
    <n v="875"/>
  </r>
  <r>
    <n v="1127"/>
    <n v="50905"/>
    <d v="2023-08-09T01:07:13"/>
    <n v="18"/>
    <s v="Female"/>
    <x v="1"/>
    <n v="2594"/>
  </r>
  <r>
    <n v="1106"/>
    <n v="50906"/>
    <d v="2023-08-09T06:57:44"/>
    <n v="51"/>
    <s v="Male"/>
    <x v="1"/>
    <n v="4467"/>
  </r>
  <r>
    <n v="1378"/>
    <n v="50907"/>
    <d v="2023-08-09T12:48:15"/>
    <n v="46"/>
    <s v="Female"/>
    <x v="3"/>
    <n v="3598"/>
  </r>
  <r>
    <n v="1051"/>
    <n v="50908"/>
    <d v="2023-08-09T18:38:46"/>
    <n v="64"/>
    <s v="Female"/>
    <x v="3"/>
    <n v="2959"/>
  </r>
  <r>
    <n v="1029"/>
    <n v="50909"/>
    <d v="2023-08-10T00:29:17"/>
    <n v="30"/>
    <s v="Male"/>
    <x v="2"/>
    <n v="688"/>
  </r>
  <r>
    <n v="1462"/>
    <n v="50910"/>
    <d v="2023-08-10T06:19:48"/>
    <n v="46"/>
    <s v="Male"/>
    <x v="0"/>
    <n v="1685"/>
  </r>
  <r>
    <n v="1296"/>
    <n v="50911"/>
    <d v="2023-08-10T12:10:19"/>
    <n v="56"/>
    <s v="Female"/>
    <x v="2"/>
    <n v="3859"/>
  </r>
  <r>
    <n v="1297"/>
    <n v="50912"/>
    <d v="2023-08-10T18:00:50"/>
    <n v="41"/>
    <s v="Female"/>
    <x v="3"/>
    <n v="3435"/>
  </r>
  <r>
    <n v="1407"/>
    <n v="50913"/>
    <d v="2023-08-10T23:51:21"/>
    <n v="43"/>
    <s v="Female"/>
    <x v="2"/>
    <n v="2619"/>
  </r>
  <r>
    <n v="1405"/>
    <n v="50914"/>
    <d v="2023-08-11T05:41:52"/>
    <n v="34"/>
    <s v="Male"/>
    <x v="2"/>
    <n v="3695"/>
  </r>
  <r>
    <n v="1346"/>
    <n v="50915"/>
    <d v="2023-08-11T11:32:23"/>
    <n v="24"/>
    <s v="Male"/>
    <x v="3"/>
    <n v="956"/>
  </r>
  <r>
    <n v="1420"/>
    <n v="50916"/>
    <d v="2023-08-11T17:22:54"/>
    <n v="30"/>
    <s v="Male"/>
    <x v="1"/>
    <n v="2724"/>
  </r>
  <r>
    <n v="1182"/>
    <n v="50917"/>
    <d v="2023-08-11T23:13:25"/>
    <n v="22"/>
    <s v="Female"/>
    <x v="3"/>
    <n v="4450"/>
  </r>
  <r>
    <n v="1001"/>
    <n v="50918"/>
    <d v="2023-08-12T05:03:56"/>
    <n v="43"/>
    <s v="Female"/>
    <x v="1"/>
    <n v="456"/>
  </r>
  <r>
    <n v="1567"/>
    <n v="50919"/>
    <d v="2023-08-12T10:54:27"/>
    <n v="20"/>
    <s v="Male"/>
    <x v="3"/>
    <n v="1979"/>
  </r>
  <r>
    <n v="1371"/>
    <n v="50920"/>
    <d v="2023-08-12T16:44:58"/>
    <n v="24"/>
    <s v="Female"/>
    <x v="3"/>
    <n v="4969"/>
  </r>
  <r>
    <n v="1431"/>
    <n v="50921"/>
    <d v="2023-08-12T22:35:30"/>
    <n v="56"/>
    <s v="Male"/>
    <x v="3"/>
    <n v="2315"/>
  </r>
  <r>
    <n v="1309"/>
    <n v="50922"/>
    <d v="2023-08-13T04:26:01"/>
    <n v="18"/>
    <s v="Female"/>
    <x v="0"/>
    <n v="3548"/>
  </r>
  <r>
    <n v="1137"/>
    <n v="50923"/>
    <d v="2023-08-13T10:16:32"/>
    <n v="34"/>
    <s v="Male"/>
    <x v="1"/>
    <n v="4968"/>
  </r>
  <r>
    <n v="1202"/>
    <n v="50924"/>
    <d v="2023-08-13T16:07:03"/>
    <n v="60"/>
    <s v="Female"/>
    <x v="0"/>
    <n v="1672"/>
  </r>
  <r>
    <n v="1436"/>
    <n v="50925"/>
    <d v="2023-08-13T21:57:34"/>
    <n v="42"/>
    <s v="Female"/>
    <x v="3"/>
    <n v="458"/>
  </r>
  <r>
    <n v="1313"/>
    <n v="50926"/>
    <d v="2023-08-14T03:48:05"/>
    <n v="20"/>
    <s v="Male"/>
    <x v="2"/>
    <n v="4275"/>
  </r>
  <r>
    <n v="1117"/>
    <n v="50927"/>
    <d v="2023-08-14T09:38:36"/>
    <n v="32"/>
    <s v="Male"/>
    <x v="0"/>
    <n v="506"/>
  </r>
  <r>
    <n v="1575"/>
    <n v="50928"/>
    <d v="2023-08-14T15:29:07"/>
    <n v="46"/>
    <s v="Male"/>
    <x v="1"/>
    <n v="1318"/>
  </r>
  <r>
    <n v="1244"/>
    <n v="50929"/>
    <d v="2023-08-14T21:19:38"/>
    <n v="60"/>
    <s v="Male"/>
    <x v="3"/>
    <n v="3217"/>
  </r>
  <r>
    <n v="1537"/>
    <n v="50930"/>
    <d v="2023-08-15T03:10:09"/>
    <n v="49"/>
    <s v="Male"/>
    <x v="0"/>
    <n v="4541"/>
  </r>
  <r>
    <n v="1075"/>
    <n v="50931"/>
    <d v="2023-08-15T09:00:40"/>
    <n v="43"/>
    <s v="Female"/>
    <x v="2"/>
    <n v="2980"/>
  </r>
  <r>
    <n v="1386"/>
    <n v="50932"/>
    <d v="2023-08-15T14:51:11"/>
    <n v="33"/>
    <s v="Male"/>
    <x v="0"/>
    <n v="1858"/>
  </r>
  <r>
    <n v="1210"/>
    <n v="50933"/>
    <d v="2023-08-15T20:41:42"/>
    <n v="42"/>
    <s v="Male"/>
    <x v="1"/>
    <n v="386"/>
  </r>
  <r>
    <n v="1475"/>
    <n v="50934"/>
    <d v="2023-08-16T02:32:13"/>
    <n v="45"/>
    <s v="Male"/>
    <x v="0"/>
    <n v="1997"/>
  </r>
  <r>
    <n v="1418"/>
    <n v="50935"/>
    <d v="2023-08-16T08:22:44"/>
    <n v="26"/>
    <s v="Male"/>
    <x v="2"/>
    <n v="1124"/>
  </r>
  <r>
    <n v="1347"/>
    <n v="50936"/>
    <d v="2023-08-16T14:13:15"/>
    <n v="18"/>
    <s v="Male"/>
    <x v="2"/>
    <n v="984"/>
  </r>
  <r>
    <n v="1529"/>
    <n v="50937"/>
    <d v="2023-08-16T20:03:46"/>
    <n v="46"/>
    <s v="Female"/>
    <x v="1"/>
    <n v="3644"/>
  </r>
  <r>
    <n v="1179"/>
    <n v="50938"/>
    <d v="2023-08-17T01:54:17"/>
    <n v="39"/>
    <s v="Male"/>
    <x v="2"/>
    <n v="3396"/>
  </r>
  <r>
    <n v="1182"/>
    <n v="50939"/>
    <d v="2023-08-17T07:44:48"/>
    <n v="33"/>
    <s v="Male"/>
    <x v="3"/>
    <n v="1560"/>
  </r>
  <r>
    <n v="1025"/>
    <n v="50940"/>
    <d v="2023-08-17T13:35:19"/>
    <n v="58"/>
    <s v="Male"/>
    <x v="2"/>
    <n v="540"/>
  </r>
  <r>
    <n v="1180"/>
    <n v="50941"/>
    <d v="2023-08-17T19:25:50"/>
    <n v="61"/>
    <s v="Female"/>
    <x v="3"/>
    <n v="762"/>
  </r>
  <r>
    <n v="1501"/>
    <n v="50942"/>
    <d v="2023-08-18T01:16:21"/>
    <n v="58"/>
    <s v="Female"/>
    <x v="0"/>
    <n v="4946"/>
  </r>
  <r>
    <n v="1161"/>
    <n v="50943"/>
    <d v="2023-08-18T07:06:52"/>
    <n v="24"/>
    <s v="Male"/>
    <x v="3"/>
    <n v="3199"/>
  </r>
  <r>
    <n v="1177"/>
    <n v="50944"/>
    <d v="2023-08-18T12:57:23"/>
    <n v="31"/>
    <s v="Male"/>
    <x v="3"/>
    <n v="1393"/>
  </r>
  <r>
    <n v="1285"/>
    <n v="50945"/>
    <d v="2023-08-18T18:47:54"/>
    <n v="46"/>
    <s v="Female"/>
    <x v="0"/>
    <n v="3310"/>
  </r>
  <r>
    <n v="1063"/>
    <n v="50946"/>
    <d v="2023-08-19T00:38:25"/>
    <n v="36"/>
    <s v="Female"/>
    <x v="2"/>
    <n v="268"/>
  </r>
  <r>
    <n v="1156"/>
    <n v="50947"/>
    <d v="2023-08-19T06:28:56"/>
    <n v="36"/>
    <s v="Female"/>
    <x v="3"/>
    <n v="2628"/>
  </r>
  <r>
    <n v="1469"/>
    <n v="50948"/>
    <d v="2023-08-19T12:19:27"/>
    <n v="19"/>
    <s v="Male"/>
    <x v="2"/>
    <n v="3798"/>
  </r>
  <r>
    <n v="1049"/>
    <n v="50949"/>
    <d v="2023-08-19T18:09:58"/>
    <n v="58"/>
    <s v="Male"/>
    <x v="0"/>
    <n v="2572"/>
  </r>
  <r>
    <n v="1084"/>
    <n v="50950"/>
    <d v="2023-08-20T00:00:29"/>
    <n v="62"/>
    <s v="Female"/>
    <x v="1"/>
    <n v="4756"/>
  </r>
  <r>
    <n v="1361"/>
    <n v="50951"/>
    <d v="2023-08-20T05:51:00"/>
    <n v="32"/>
    <s v="Male"/>
    <x v="2"/>
    <n v="1043"/>
  </r>
  <r>
    <n v="1148"/>
    <n v="50952"/>
    <d v="2023-08-20T11:41:31"/>
    <n v="20"/>
    <s v="Female"/>
    <x v="2"/>
    <n v="773"/>
  </r>
  <r>
    <n v="1342"/>
    <n v="50953"/>
    <d v="2023-08-20T17:32:02"/>
    <n v="28"/>
    <s v="Female"/>
    <x v="1"/>
    <n v="4414"/>
  </r>
  <r>
    <n v="1476"/>
    <n v="50954"/>
    <d v="2023-08-20T23:22:33"/>
    <n v="63"/>
    <s v="Female"/>
    <x v="1"/>
    <n v="2796"/>
  </r>
  <r>
    <n v="1063"/>
    <n v="50955"/>
    <d v="2023-08-21T05:13:04"/>
    <n v="47"/>
    <s v="Male"/>
    <x v="0"/>
    <n v="4941"/>
  </r>
  <r>
    <n v="1360"/>
    <n v="50956"/>
    <d v="2023-08-21T11:03:35"/>
    <n v="57"/>
    <s v="Female"/>
    <x v="2"/>
    <n v="1678"/>
  </r>
  <r>
    <n v="1561"/>
    <n v="50957"/>
    <d v="2023-08-21T16:54:06"/>
    <n v="35"/>
    <s v="Female"/>
    <x v="2"/>
    <n v="2273"/>
  </r>
  <r>
    <n v="1327"/>
    <n v="50958"/>
    <d v="2023-08-21T22:44:37"/>
    <n v="19"/>
    <s v="Male"/>
    <x v="0"/>
    <n v="1713"/>
  </r>
  <r>
    <n v="1141"/>
    <n v="50959"/>
    <d v="2023-08-22T04:35:08"/>
    <n v="49"/>
    <s v="Female"/>
    <x v="2"/>
    <n v="1168"/>
  </r>
  <r>
    <n v="1215"/>
    <n v="50960"/>
    <d v="2023-08-22T10:25:39"/>
    <n v="25"/>
    <s v="Male"/>
    <x v="3"/>
    <n v="2396"/>
  </r>
  <r>
    <n v="1435"/>
    <n v="50961"/>
    <d v="2023-08-22T16:16:10"/>
    <n v="39"/>
    <s v="Female"/>
    <x v="3"/>
    <n v="1711"/>
  </r>
  <r>
    <n v="1318"/>
    <n v="50962"/>
    <d v="2023-08-22T22:06:41"/>
    <n v="23"/>
    <s v="Male"/>
    <x v="3"/>
    <n v="854"/>
  </r>
  <r>
    <n v="1032"/>
    <n v="50963"/>
    <d v="2023-08-23T03:57:12"/>
    <n v="29"/>
    <s v="Female"/>
    <x v="2"/>
    <n v="3192"/>
  </r>
  <r>
    <n v="1285"/>
    <n v="50964"/>
    <d v="2023-08-23T09:47:43"/>
    <n v="64"/>
    <s v="Female"/>
    <x v="3"/>
    <n v="4850"/>
  </r>
  <r>
    <n v="1305"/>
    <n v="50965"/>
    <d v="2023-08-23T15:38:14"/>
    <n v="57"/>
    <s v="Female"/>
    <x v="3"/>
    <n v="4720"/>
  </r>
  <r>
    <n v="1429"/>
    <n v="50966"/>
    <d v="2023-08-23T21:28:45"/>
    <n v="53"/>
    <s v="Female"/>
    <x v="0"/>
    <n v="492"/>
  </r>
  <r>
    <n v="1477"/>
    <n v="50967"/>
    <d v="2023-08-24T03:19:16"/>
    <n v="32"/>
    <s v="Female"/>
    <x v="0"/>
    <n v="2801"/>
  </r>
  <r>
    <n v="1286"/>
    <n v="50968"/>
    <d v="2023-08-24T09:09:47"/>
    <n v="45"/>
    <s v="Male"/>
    <x v="1"/>
    <n v="4726"/>
  </r>
  <r>
    <n v="1144"/>
    <n v="50969"/>
    <d v="2023-08-24T15:00:18"/>
    <n v="62"/>
    <s v="Male"/>
    <x v="1"/>
    <n v="4612"/>
  </r>
  <r>
    <n v="1424"/>
    <n v="50970"/>
    <d v="2023-08-24T20:50:49"/>
    <n v="35"/>
    <s v="Female"/>
    <x v="1"/>
    <n v="4693"/>
  </r>
  <r>
    <n v="1019"/>
    <n v="50971"/>
    <d v="2023-08-25T02:41:20"/>
    <n v="19"/>
    <s v="Female"/>
    <x v="1"/>
    <n v="1788"/>
  </r>
  <r>
    <n v="1018"/>
    <n v="50972"/>
    <d v="2023-08-25T08:31:51"/>
    <n v="30"/>
    <s v="Female"/>
    <x v="0"/>
    <n v="795"/>
  </r>
  <r>
    <n v="1590"/>
    <n v="50973"/>
    <d v="2023-08-25T14:22:22"/>
    <n v="62"/>
    <s v="Male"/>
    <x v="0"/>
    <n v="2793"/>
  </r>
  <r>
    <n v="1371"/>
    <n v="50974"/>
    <d v="2023-08-25T20:12:53"/>
    <n v="32"/>
    <s v="Male"/>
    <x v="0"/>
    <n v="2323"/>
  </r>
  <r>
    <n v="1175"/>
    <n v="50975"/>
    <d v="2023-08-26T02:03:24"/>
    <n v="37"/>
    <s v="Female"/>
    <x v="3"/>
    <n v="2143"/>
  </r>
  <r>
    <n v="1194"/>
    <n v="50976"/>
    <d v="2023-08-26T07:53:55"/>
    <n v="46"/>
    <s v="Male"/>
    <x v="3"/>
    <n v="1115"/>
  </r>
  <r>
    <n v="1502"/>
    <n v="50977"/>
    <d v="2023-08-26T13:44:26"/>
    <n v="59"/>
    <s v="Female"/>
    <x v="1"/>
    <n v="4069"/>
  </r>
  <r>
    <n v="1113"/>
    <n v="50978"/>
    <d v="2023-08-26T19:34:57"/>
    <n v="46"/>
    <s v="Female"/>
    <x v="3"/>
    <n v="2994"/>
  </r>
  <r>
    <n v="1114"/>
    <n v="50979"/>
    <d v="2023-08-27T01:25:28"/>
    <n v="20"/>
    <s v="Female"/>
    <x v="2"/>
    <n v="3278"/>
  </r>
  <r>
    <n v="1222"/>
    <n v="50980"/>
    <d v="2023-08-27T07:15:59"/>
    <n v="36"/>
    <s v="Male"/>
    <x v="0"/>
    <n v="1175"/>
  </r>
  <r>
    <n v="1264"/>
    <n v="50981"/>
    <d v="2023-08-27T13:06:30"/>
    <n v="20"/>
    <s v="Female"/>
    <x v="1"/>
    <n v="1275"/>
  </r>
  <r>
    <n v="1055"/>
    <n v="50982"/>
    <d v="2023-08-27T18:57:01"/>
    <n v="31"/>
    <s v="Female"/>
    <x v="1"/>
    <n v="3189"/>
  </r>
  <r>
    <n v="1458"/>
    <n v="50983"/>
    <d v="2023-08-28T00:47:32"/>
    <n v="57"/>
    <s v="Female"/>
    <x v="2"/>
    <n v="3667"/>
  </r>
  <r>
    <n v="1162"/>
    <n v="50984"/>
    <d v="2023-08-28T06:38:03"/>
    <n v="21"/>
    <s v="Male"/>
    <x v="3"/>
    <n v="1651"/>
  </r>
  <r>
    <n v="1380"/>
    <n v="50985"/>
    <d v="2023-08-28T12:28:34"/>
    <n v="28"/>
    <s v="Male"/>
    <x v="1"/>
    <n v="4023"/>
  </r>
  <r>
    <n v="1087"/>
    <n v="50986"/>
    <d v="2023-08-28T18:19:05"/>
    <n v="48"/>
    <s v="Male"/>
    <x v="3"/>
    <n v="4132"/>
  </r>
  <r>
    <n v="1055"/>
    <n v="50987"/>
    <d v="2023-08-29T00:09:36"/>
    <n v="60"/>
    <s v="Female"/>
    <x v="3"/>
    <n v="2228"/>
  </r>
  <r>
    <n v="1476"/>
    <n v="50988"/>
    <d v="2023-08-29T06:00:07"/>
    <n v="49"/>
    <s v="Male"/>
    <x v="2"/>
    <n v="562"/>
  </r>
  <r>
    <n v="1178"/>
    <n v="50989"/>
    <d v="2023-08-29T11:50:38"/>
    <n v="44"/>
    <s v="Female"/>
    <x v="1"/>
    <n v="2629"/>
  </r>
  <r>
    <n v="1391"/>
    <n v="50990"/>
    <d v="2023-08-29T17:41:09"/>
    <n v="47"/>
    <s v="Male"/>
    <x v="3"/>
    <n v="3832"/>
  </r>
  <r>
    <n v="1349"/>
    <n v="50991"/>
    <d v="2023-08-29T23:31:40"/>
    <n v="60"/>
    <s v="Female"/>
    <x v="3"/>
    <n v="2518"/>
  </r>
  <r>
    <n v="1008"/>
    <n v="50992"/>
    <d v="2023-08-30T05:22:11"/>
    <n v="19"/>
    <s v="Male"/>
    <x v="2"/>
    <n v="3285"/>
  </r>
  <r>
    <n v="1313"/>
    <n v="50993"/>
    <d v="2023-08-30T11:12:42"/>
    <n v="26"/>
    <s v="Female"/>
    <x v="2"/>
    <n v="2545"/>
  </r>
  <r>
    <n v="1443"/>
    <n v="50994"/>
    <d v="2023-08-30T17:03:13"/>
    <n v="45"/>
    <s v="Male"/>
    <x v="3"/>
    <n v="3798"/>
  </r>
  <r>
    <n v="1328"/>
    <n v="50995"/>
    <d v="2023-08-30T22:53:44"/>
    <n v="48"/>
    <s v="Male"/>
    <x v="2"/>
    <n v="4529"/>
  </r>
  <r>
    <n v="1054"/>
    <n v="50996"/>
    <d v="2023-08-31T04:44:15"/>
    <n v="51"/>
    <s v="Male"/>
    <x v="3"/>
    <n v="1931"/>
  </r>
  <r>
    <n v="1239"/>
    <n v="50997"/>
    <d v="2023-08-31T10:34:46"/>
    <n v="32"/>
    <s v="Female"/>
    <x v="1"/>
    <n v="226"/>
  </r>
  <r>
    <n v="1229"/>
    <n v="50998"/>
    <d v="2023-08-31T16:25:17"/>
    <n v="42"/>
    <s v="Male"/>
    <x v="0"/>
    <n v="292"/>
  </r>
  <r>
    <n v="1579"/>
    <n v="50999"/>
    <d v="2023-08-31T22:15:48"/>
    <n v="53"/>
    <s v="Male"/>
    <x v="2"/>
    <n v="2864"/>
  </r>
  <r>
    <n v="1051"/>
    <n v="51000"/>
    <d v="2023-09-01T04:06:19"/>
    <n v="25"/>
    <s v="Male"/>
    <x v="0"/>
    <n v="508"/>
  </r>
  <r>
    <n v="1264"/>
    <n v="51001"/>
    <d v="2023-09-01T09:56:50"/>
    <n v="26"/>
    <s v="Male"/>
    <x v="3"/>
    <n v="251"/>
  </r>
  <r>
    <n v="1418"/>
    <n v="51002"/>
    <d v="2023-09-01T15:47:21"/>
    <n v="54"/>
    <s v="Female"/>
    <x v="3"/>
    <n v="518"/>
  </r>
  <r>
    <n v="1096"/>
    <n v="51003"/>
    <d v="2023-09-01T21:37:52"/>
    <n v="62"/>
    <s v="Male"/>
    <x v="3"/>
    <n v="2192"/>
  </r>
  <r>
    <n v="1088"/>
    <n v="51004"/>
    <d v="2023-09-02T03:28:23"/>
    <n v="56"/>
    <s v="Female"/>
    <x v="0"/>
    <n v="4476"/>
  </r>
  <r>
    <n v="1078"/>
    <n v="51005"/>
    <d v="2023-09-02T09:18:54"/>
    <n v="49"/>
    <s v="Female"/>
    <x v="3"/>
    <n v="4091"/>
  </r>
  <r>
    <n v="1288"/>
    <n v="51006"/>
    <d v="2023-09-02T15:09:25"/>
    <n v="34"/>
    <s v="Female"/>
    <x v="2"/>
    <n v="4942"/>
  </r>
  <r>
    <n v="1120"/>
    <n v="51007"/>
    <d v="2023-09-02T20:59:56"/>
    <n v="52"/>
    <s v="Female"/>
    <x v="1"/>
    <n v="4156"/>
  </r>
  <r>
    <n v="1491"/>
    <n v="51008"/>
    <d v="2023-09-03T02:50:27"/>
    <n v="54"/>
    <s v="Male"/>
    <x v="1"/>
    <n v="2892"/>
  </r>
  <r>
    <n v="1452"/>
    <n v="51009"/>
    <d v="2023-09-03T08:40:58"/>
    <n v="36"/>
    <s v="Female"/>
    <x v="2"/>
    <n v="3218"/>
  </r>
  <r>
    <n v="1500"/>
    <n v="51010"/>
    <d v="2023-09-03T14:31:29"/>
    <n v="61"/>
    <s v="Female"/>
    <x v="1"/>
    <n v="2224"/>
  </r>
  <r>
    <n v="1165"/>
    <n v="51011"/>
    <d v="2023-09-03T20:22:00"/>
    <n v="46"/>
    <s v="Female"/>
    <x v="0"/>
    <n v="4631"/>
  </r>
  <r>
    <n v="1182"/>
    <n v="51012"/>
    <d v="2023-09-04T02:12:31"/>
    <n v="24"/>
    <s v="Female"/>
    <x v="3"/>
    <n v="1725"/>
  </r>
  <r>
    <n v="1469"/>
    <n v="51013"/>
    <d v="2023-09-04T08:03:02"/>
    <n v="45"/>
    <s v="Male"/>
    <x v="3"/>
    <n v="1478"/>
  </r>
  <r>
    <n v="1007"/>
    <n v="51014"/>
    <d v="2023-09-04T13:53:33"/>
    <n v="26"/>
    <s v="Male"/>
    <x v="3"/>
    <n v="713"/>
  </r>
  <r>
    <n v="1330"/>
    <n v="51015"/>
    <d v="2023-09-04T19:44:04"/>
    <n v="45"/>
    <s v="Female"/>
    <x v="0"/>
    <n v="4537"/>
  </r>
  <r>
    <n v="1151"/>
    <n v="51016"/>
    <d v="2023-09-05T01:34:35"/>
    <n v="23"/>
    <s v="Female"/>
    <x v="0"/>
    <n v="1933"/>
  </r>
  <r>
    <n v="1085"/>
    <n v="51017"/>
    <d v="2023-09-05T07:25:07"/>
    <n v="46"/>
    <s v="Female"/>
    <x v="0"/>
    <n v="3570"/>
  </r>
  <r>
    <n v="1147"/>
    <n v="51018"/>
    <d v="2023-09-05T13:15:38"/>
    <n v="34"/>
    <s v="Male"/>
    <x v="2"/>
    <n v="4121"/>
  </r>
  <r>
    <n v="1381"/>
    <n v="51019"/>
    <d v="2023-09-05T19:06:09"/>
    <n v="33"/>
    <s v="Male"/>
    <x v="0"/>
    <n v="2700"/>
  </r>
  <r>
    <n v="1548"/>
    <n v="51020"/>
    <d v="2023-09-06T00:56:40"/>
    <n v="40"/>
    <s v="Male"/>
    <x v="1"/>
    <n v="3664"/>
  </r>
  <r>
    <n v="1285"/>
    <n v="51021"/>
    <d v="2023-09-06T06:47:11"/>
    <n v="48"/>
    <s v="Male"/>
    <x v="2"/>
    <n v="2459"/>
  </r>
  <r>
    <n v="1082"/>
    <n v="51022"/>
    <d v="2023-09-06T12:37:42"/>
    <n v="20"/>
    <s v="Male"/>
    <x v="2"/>
    <n v="4963"/>
  </r>
  <r>
    <n v="1514"/>
    <n v="51023"/>
    <d v="2023-09-06T18:28:13"/>
    <n v="38"/>
    <s v="Female"/>
    <x v="2"/>
    <n v="4889"/>
  </r>
  <r>
    <n v="1523"/>
    <n v="51024"/>
    <d v="2023-09-07T00:18:44"/>
    <n v="43"/>
    <s v="Male"/>
    <x v="0"/>
    <n v="2859"/>
  </r>
  <r>
    <n v="1386"/>
    <n v="51025"/>
    <d v="2023-09-07T06:09:15"/>
    <n v="53"/>
    <s v="Male"/>
    <x v="2"/>
    <n v="455"/>
  </r>
  <r>
    <n v="1471"/>
    <n v="51026"/>
    <d v="2023-09-07T11:59:46"/>
    <n v="59"/>
    <s v="Female"/>
    <x v="0"/>
    <n v="1702"/>
  </r>
  <r>
    <n v="1119"/>
    <n v="51027"/>
    <d v="2023-09-07T17:50:17"/>
    <n v="54"/>
    <s v="Male"/>
    <x v="0"/>
    <n v="4856"/>
  </r>
  <r>
    <n v="1396"/>
    <n v="51028"/>
    <d v="2023-09-07T23:40:48"/>
    <n v="39"/>
    <s v="Male"/>
    <x v="2"/>
    <n v="2310"/>
  </r>
  <r>
    <n v="1532"/>
    <n v="51029"/>
    <d v="2023-09-08T05:31:19"/>
    <n v="59"/>
    <s v="Male"/>
    <x v="3"/>
    <n v="606"/>
  </r>
  <r>
    <n v="1261"/>
    <n v="51030"/>
    <d v="2023-09-08T11:21:50"/>
    <n v="29"/>
    <s v="Female"/>
    <x v="3"/>
    <n v="3049"/>
  </r>
  <r>
    <n v="1256"/>
    <n v="51031"/>
    <d v="2023-09-08T17:12:21"/>
    <n v="59"/>
    <s v="Male"/>
    <x v="2"/>
    <n v="3376"/>
  </r>
  <r>
    <n v="1226"/>
    <n v="51032"/>
    <d v="2023-09-08T23:02:52"/>
    <n v="30"/>
    <s v="Female"/>
    <x v="3"/>
    <n v="2060"/>
  </r>
  <r>
    <n v="1053"/>
    <n v="51033"/>
    <d v="2023-09-09T04:53:23"/>
    <n v="28"/>
    <s v="Female"/>
    <x v="1"/>
    <n v="4554"/>
  </r>
  <r>
    <n v="1500"/>
    <n v="51034"/>
    <d v="2023-09-09T10:43:54"/>
    <n v="33"/>
    <s v="Male"/>
    <x v="1"/>
    <n v="922"/>
  </r>
  <r>
    <n v="1506"/>
    <n v="51035"/>
    <d v="2023-09-09T16:34:25"/>
    <n v="25"/>
    <s v="Male"/>
    <x v="0"/>
    <n v="1482"/>
  </r>
  <r>
    <n v="1364"/>
    <n v="51036"/>
    <d v="2023-09-09T22:24:56"/>
    <n v="57"/>
    <s v="Male"/>
    <x v="3"/>
    <n v="813"/>
  </r>
  <r>
    <n v="1280"/>
    <n v="51037"/>
    <d v="2023-09-10T04:15:27"/>
    <n v="57"/>
    <s v="Male"/>
    <x v="1"/>
    <n v="3531"/>
  </r>
  <r>
    <n v="1593"/>
    <n v="51038"/>
    <d v="2023-09-10T10:05:58"/>
    <n v="62"/>
    <s v="Female"/>
    <x v="2"/>
    <n v="3316"/>
  </r>
  <r>
    <n v="1158"/>
    <n v="51039"/>
    <d v="2023-09-10T15:56:29"/>
    <n v="19"/>
    <s v="Male"/>
    <x v="3"/>
    <n v="2178"/>
  </r>
  <r>
    <n v="1059"/>
    <n v="51040"/>
    <d v="2023-09-10T21:47:00"/>
    <n v="47"/>
    <s v="Female"/>
    <x v="1"/>
    <n v="1012"/>
  </r>
  <r>
    <n v="1128"/>
    <n v="51041"/>
    <d v="2023-09-11T03:37:31"/>
    <n v="47"/>
    <s v="Female"/>
    <x v="1"/>
    <n v="1986"/>
  </r>
  <r>
    <n v="1115"/>
    <n v="51042"/>
    <d v="2023-09-11T09:28:02"/>
    <n v="29"/>
    <s v="Female"/>
    <x v="2"/>
    <n v="530"/>
  </r>
  <r>
    <n v="1209"/>
    <n v="51043"/>
    <d v="2023-09-11T15:18:33"/>
    <n v="27"/>
    <s v="Female"/>
    <x v="0"/>
    <n v="2412"/>
  </r>
  <r>
    <n v="1526"/>
    <n v="51044"/>
    <d v="2023-09-11T21:09:04"/>
    <n v="61"/>
    <s v="Female"/>
    <x v="2"/>
    <n v="1416"/>
  </r>
  <r>
    <n v="1521"/>
    <n v="51045"/>
    <d v="2023-09-12T02:59:35"/>
    <n v="28"/>
    <s v="Male"/>
    <x v="0"/>
    <n v="4682"/>
  </r>
  <r>
    <n v="1552"/>
    <n v="51046"/>
    <d v="2023-09-12T08:50:06"/>
    <n v="32"/>
    <s v="Female"/>
    <x v="1"/>
    <n v="3537"/>
  </r>
  <r>
    <n v="1237"/>
    <n v="51047"/>
    <d v="2023-09-12T14:40:37"/>
    <n v="33"/>
    <s v="Female"/>
    <x v="0"/>
    <n v="2575"/>
  </r>
  <r>
    <n v="1281"/>
    <n v="51048"/>
    <d v="2023-09-12T20:31:08"/>
    <n v="34"/>
    <s v="Male"/>
    <x v="1"/>
    <n v="1440"/>
  </r>
  <r>
    <n v="1359"/>
    <n v="51049"/>
    <d v="2023-09-13T02:21:39"/>
    <n v="43"/>
    <s v="Male"/>
    <x v="1"/>
    <n v="519"/>
  </r>
  <r>
    <n v="1201"/>
    <n v="51050"/>
    <d v="2023-09-13T08:12:10"/>
    <n v="19"/>
    <s v="Female"/>
    <x v="3"/>
    <n v="4694"/>
  </r>
  <r>
    <n v="1278"/>
    <n v="51051"/>
    <d v="2023-09-13T14:02:41"/>
    <n v="29"/>
    <s v="Female"/>
    <x v="0"/>
    <n v="2114"/>
  </r>
  <r>
    <n v="1235"/>
    <n v="51052"/>
    <d v="2023-09-13T19:53:12"/>
    <n v="43"/>
    <s v="Male"/>
    <x v="0"/>
    <n v="4400"/>
  </r>
  <r>
    <n v="1494"/>
    <n v="51053"/>
    <d v="2023-09-14T01:43:43"/>
    <n v="40"/>
    <s v="Female"/>
    <x v="0"/>
    <n v="4991"/>
  </r>
  <r>
    <n v="1004"/>
    <n v="51054"/>
    <d v="2023-09-14T07:34:14"/>
    <n v="35"/>
    <s v="Male"/>
    <x v="2"/>
    <n v="529"/>
  </r>
  <r>
    <n v="1442"/>
    <n v="51055"/>
    <d v="2023-09-14T13:24:45"/>
    <n v="49"/>
    <s v="Male"/>
    <x v="3"/>
    <n v="859"/>
  </r>
  <r>
    <n v="1029"/>
    <n v="51056"/>
    <d v="2023-09-14T19:15:16"/>
    <n v="55"/>
    <s v="Female"/>
    <x v="3"/>
    <n v="3888"/>
  </r>
  <r>
    <n v="1109"/>
    <n v="51057"/>
    <d v="2023-09-15T01:05:47"/>
    <n v="64"/>
    <s v="Male"/>
    <x v="3"/>
    <n v="3318"/>
  </r>
  <r>
    <n v="1075"/>
    <n v="51058"/>
    <d v="2023-09-15T06:56:18"/>
    <n v="20"/>
    <s v="Female"/>
    <x v="2"/>
    <n v="2172"/>
  </r>
  <r>
    <n v="1146"/>
    <n v="51059"/>
    <d v="2023-09-15T12:46:49"/>
    <n v="55"/>
    <s v="Female"/>
    <x v="0"/>
    <n v="1993"/>
  </r>
  <r>
    <n v="1128"/>
    <n v="51060"/>
    <d v="2023-09-15T18:37:20"/>
    <n v="20"/>
    <s v="Female"/>
    <x v="0"/>
    <n v="3418"/>
  </r>
  <r>
    <n v="1042"/>
    <n v="51061"/>
    <d v="2023-09-16T00:27:51"/>
    <n v="47"/>
    <s v="Male"/>
    <x v="0"/>
    <n v="4757"/>
  </r>
  <r>
    <n v="1356"/>
    <n v="51062"/>
    <d v="2023-09-16T06:18:22"/>
    <n v="18"/>
    <s v="Female"/>
    <x v="3"/>
    <n v="2733"/>
  </r>
  <r>
    <n v="1041"/>
    <n v="51063"/>
    <d v="2023-09-16T12:08:53"/>
    <n v="47"/>
    <s v="Male"/>
    <x v="3"/>
    <n v="2657"/>
  </r>
  <r>
    <n v="1034"/>
    <n v="51064"/>
    <d v="2023-09-16T17:59:24"/>
    <n v="62"/>
    <s v="Female"/>
    <x v="1"/>
    <n v="3300"/>
  </r>
  <r>
    <n v="1017"/>
    <n v="51065"/>
    <d v="2023-09-16T23:49:55"/>
    <n v="49"/>
    <s v="Female"/>
    <x v="2"/>
    <n v="4566"/>
  </r>
  <r>
    <n v="1153"/>
    <n v="51066"/>
    <d v="2023-09-17T05:40:26"/>
    <n v="45"/>
    <s v="Male"/>
    <x v="2"/>
    <n v="2933"/>
  </r>
  <r>
    <n v="1378"/>
    <n v="51067"/>
    <d v="2023-09-17T11:30:57"/>
    <n v="38"/>
    <s v="Female"/>
    <x v="3"/>
    <n v="4680"/>
  </r>
  <r>
    <n v="1588"/>
    <n v="51068"/>
    <d v="2023-09-17T17:21:28"/>
    <n v="63"/>
    <s v="Female"/>
    <x v="1"/>
    <n v="4355"/>
  </r>
  <r>
    <n v="1599"/>
    <n v="51069"/>
    <d v="2023-09-17T23:11:59"/>
    <n v="30"/>
    <s v="Male"/>
    <x v="0"/>
    <n v="419"/>
  </r>
  <r>
    <n v="1342"/>
    <n v="51070"/>
    <d v="2023-09-18T05:02:30"/>
    <n v="44"/>
    <s v="Male"/>
    <x v="3"/>
    <n v="3018"/>
  </r>
  <r>
    <n v="1027"/>
    <n v="51071"/>
    <d v="2023-09-18T10:53:01"/>
    <n v="53"/>
    <s v="Male"/>
    <x v="2"/>
    <n v="2106"/>
  </r>
  <r>
    <n v="1287"/>
    <n v="51072"/>
    <d v="2023-09-18T16:43:32"/>
    <n v="24"/>
    <s v="Female"/>
    <x v="2"/>
    <n v="2811"/>
  </r>
  <r>
    <n v="1168"/>
    <n v="51073"/>
    <d v="2023-09-18T22:34:03"/>
    <n v="39"/>
    <s v="Male"/>
    <x v="2"/>
    <n v="2793"/>
  </r>
  <r>
    <n v="1268"/>
    <n v="51074"/>
    <d v="2023-09-19T04:24:34"/>
    <n v="27"/>
    <s v="Male"/>
    <x v="0"/>
    <n v="295"/>
  </r>
  <r>
    <n v="1455"/>
    <n v="51075"/>
    <d v="2023-09-19T10:15:05"/>
    <n v="56"/>
    <s v="Female"/>
    <x v="2"/>
    <n v="1188"/>
  </r>
  <r>
    <n v="1401"/>
    <n v="51076"/>
    <d v="2023-09-19T16:05:36"/>
    <n v="32"/>
    <s v="Male"/>
    <x v="0"/>
    <n v="1312"/>
  </r>
  <r>
    <n v="1476"/>
    <n v="51077"/>
    <d v="2023-09-19T21:56:07"/>
    <n v="32"/>
    <s v="Female"/>
    <x v="0"/>
    <n v="2478"/>
  </r>
  <r>
    <n v="1558"/>
    <n v="51078"/>
    <d v="2023-09-20T03:46:38"/>
    <n v="21"/>
    <s v="Female"/>
    <x v="0"/>
    <n v="445"/>
  </r>
  <r>
    <n v="1576"/>
    <n v="51079"/>
    <d v="2023-09-20T09:37:09"/>
    <n v="49"/>
    <s v="Male"/>
    <x v="3"/>
    <n v="2358"/>
  </r>
  <r>
    <n v="1130"/>
    <n v="51080"/>
    <d v="2023-09-20T15:27:40"/>
    <n v="40"/>
    <s v="Female"/>
    <x v="0"/>
    <n v="4529"/>
  </r>
  <r>
    <n v="1363"/>
    <n v="51081"/>
    <d v="2023-09-20T21:18:11"/>
    <n v="23"/>
    <s v="Male"/>
    <x v="1"/>
    <n v="3549"/>
  </r>
  <r>
    <n v="1292"/>
    <n v="51082"/>
    <d v="2023-09-21T03:08:42"/>
    <n v="41"/>
    <s v="Male"/>
    <x v="2"/>
    <n v="2925"/>
  </r>
  <r>
    <n v="1371"/>
    <n v="51083"/>
    <d v="2023-09-21T08:59:13"/>
    <n v="37"/>
    <s v="Male"/>
    <x v="3"/>
    <n v="4277"/>
  </r>
  <r>
    <n v="1029"/>
    <n v="51084"/>
    <d v="2023-09-21T14:49:44"/>
    <n v="54"/>
    <s v="Male"/>
    <x v="2"/>
    <n v="2866"/>
  </r>
  <r>
    <n v="1149"/>
    <n v="51085"/>
    <d v="2023-09-21T20:40:15"/>
    <n v="37"/>
    <s v="Female"/>
    <x v="0"/>
    <n v="3399"/>
  </r>
  <r>
    <n v="1296"/>
    <n v="51086"/>
    <d v="2023-09-22T02:30:46"/>
    <n v="29"/>
    <s v="Female"/>
    <x v="3"/>
    <n v="2954"/>
  </r>
  <r>
    <n v="1011"/>
    <n v="51087"/>
    <d v="2023-09-22T08:21:17"/>
    <n v="50"/>
    <s v="Male"/>
    <x v="1"/>
    <n v="1617"/>
  </r>
  <r>
    <n v="1512"/>
    <n v="51088"/>
    <d v="2023-09-22T14:11:48"/>
    <n v="45"/>
    <s v="Male"/>
    <x v="0"/>
    <n v="854"/>
  </r>
  <r>
    <n v="1113"/>
    <n v="51089"/>
    <d v="2023-09-22T20:02:19"/>
    <n v="25"/>
    <s v="Female"/>
    <x v="2"/>
    <n v="2642"/>
  </r>
  <r>
    <n v="1187"/>
    <n v="51090"/>
    <d v="2023-09-23T01:52:50"/>
    <n v="18"/>
    <s v="Male"/>
    <x v="1"/>
    <n v="310"/>
  </r>
  <r>
    <n v="1227"/>
    <n v="51091"/>
    <d v="2023-09-23T07:43:21"/>
    <n v="54"/>
    <s v="Female"/>
    <x v="0"/>
    <n v="289"/>
  </r>
  <r>
    <n v="1310"/>
    <n v="51092"/>
    <d v="2023-09-23T13:33:52"/>
    <n v="39"/>
    <s v="Male"/>
    <x v="1"/>
    <n v="962"/>
  </r>
  <r>
    <n v="1098"/>
    <n v="51093"/>
    <d v="2023-09-23T19:24:23"/>
    <n v="23"/>
    <s v="Female"/>
    <x v="0"/>
    <n v="3372"/>
  </r>
  <r>
    <n v="1055"/>
    <n v="51094"/>
    <d v="2023-09-24T01:14:54"/>
    <n v="38"/>
    <s v="Female"/>
    <x v="3"/>
    <n v="2379"/>
  </r>
  <r>
    <n v="1406"/>
    <n v="51095"/>
    <d v="2023-09-24T07:05:25"/>
    <n v="49"/>
    <s v="Female"/>
    <x v="0"/>
    <n v="2704"/>
  </r>
  <r>
    <n v="1069"/>
    <n v="51096"/>
    <d v="2023-09-24T12:55:56"/>
    <n v="52"/>
    <s v="Male"/>
    <x v="3"/>
    <n v="1664"/>
  </r>
  <r>
    <n v="1312"/>
    <n v="51097"/>
    <d v="2023-09-24T18:46:27"/>
    <n v="32"/>
    <s v="Male"/>
    <x v="0"/>
    <n v="297"/>
  </r>
  <r>
    <n v="1289"/>
    <n v="51098"/>
    <d v="2023-09-25T00:36:58"/>
    <n v="22"/>
    <s v="Male"/>
    <x v="0"/>
    <n v="492"/>
  </r>
  <r>
    <n v="1548"/>
    <n v="51099"/>
    <d v="2023-09-25T06:27:29"/>
    <n v="63"/>
    <s v="Male"/>
    <x v="2"/>
    <n v="2039"/>
  </r>
  <r>
    <n v="1148"/>
    <n v="51100"/>
    <d v="2023-09-25T12:18:00"/>
    <n v="23"/>
    <s v="Male"/>
    <x v="1"/>
    <n v="1934"/>
  </r>
  <r>
    <n v="1467"/>
    <n v="51101"/>
    <d v="2023-09-25T18:08:31"/>
    <n v="42"/>
    <s v="Female"/>
    <x v="1"/>
    <n v="2819"/>
  </r>
  <r>
    <n v="1244"/>
    <n v="51102"/>
    <d v="2023-09-25T23:59:02"/>
    <n v="63"/>
    <s v="Female"/>
    <x v="1"/>
    <n v="4947"/>
  </r>
  <r>
    <n v="1491"/>
    <n v="51103"/>
    <d v="2023-09-26T05:49:33"/>
    <n v="57"/>
    <s v="Female"/>
    <x v="0"/>
    <n v="2396"/>
  </r>
  <r>
    <n v="1507"/>
    <n v="51104"/>
    <d v="2023-09-26T11:40:04"/>
    <n v="46"/>
    <s v="Female"/>
    <x v="0"/>
    <n v="3666"/>
  </r>
  <r>
    <n v="1365"/>
    <n v="51105"/>
    <d v="2023-09-26T17:30:35"/>
    <n v="24"/>
    <s v="Female"/>
    <x v="0"/>
    <n v="2106"/>
  </r>
  <r>
    <n v="1482"/>
    <n v="51106"/>
    <d v="2023-09-26T23:21:06"/>
    <n v="57"/>
    <s v="Female"/>
    <x v="3"/>
    <n v="1921"/>
  </r>
  <r>
    <n v="1201"/>
    <n v="51107"/>
    <d v="2023-09-27T05:11:37"/>
    <n v="30"/>
    <s v="Female"/>
    <x v="3"/>
    <n v="3891"/>
  </r>
  <r>
    <n v="1154"/>
    <n v="51108"/>
    <d v="2023-09-27T11:02:08"/>
    <n v="55"/>
    <s v="Male"/>
    <x v="2"/>
    <n v="2016"/>
  </r>
  <r>
    <n v="1450"/>
    <n v="51109"/>
    <d v="2023-09-27T16:52:39"/>
    <n v="35"/>
    <s v="Female"/>
    <x v="0"/>
    <n v="452"/>
  </r>
  <r>
    <n v="1501"/>
    <n v="51110"/>
    <d v="2023-09-27T22:43:10"/>
    <n v="19"/>
    <s v="Male"/>
    <x v="1"/>
    <n v="4427"/>
  </r>
  <r>
    <n v="1073"/>
    <n v="51111"/>
    <d v="2023-09-28T04:33:41"/>
    <n v="25"/>
    <s v="Female"/>
    <x v="1"/>
    <n v="3719"/>
  </r>
  <r>
    <n v="1296"/>
    <n v="51112"/>
    <d v="2023-09-28T10:24:12"/>
    <n v="28"/>
    <s v="Female"/>
    <x v="2"/>
    <n v="2107"/>
  </r>
  <r>
    <n v="1017"/>
    <n v="51113"/>
    <d v="2023-09-28T16:14:43"/>
    <n v="50"/>
    <s v="Male"/>
    <x v="1"/>
    <n v="2110"/>
  </r>
  <r>
    <n v="1217"/>
    <n v="51114"/>
    <d v="2023-09-28T22:05:15"/>
    <n v="55"/>
    <s v="Female"/>
    <x v="2"/>
    <n v="2721"/>
  </r>
  <r>
    <n v="1061"/>
    <n v="51115"/>
    <d v="2023-09-29T03:55:46"/>
    <n v="44"/>
    <s v="Male"/>
    <x v="0"/>
    <n v="4049"/>
  </r>
  <r>
    <n v="1042"/>
    <n v="51116"/>
    <d v="2023-09-29T09:46:17"/>
    <n v="37"/>
    <s v="Female"/>
    <x v="1"/>
    <n v="1258"/>
  </r>
  <r>
    <n v="1025"/>
    <n v="51117"/>
    <d v="2023-09-29T15:36:48"/>
    <n v="29"/>
    <s v="Male"/>
    <x v="0"/>
    <n v="3738"/>
  </r>
  <r>
    <n v="1039"/>
    <n v="51118"/>
    <d v="2023-09-29T21:27:19"/>
    <n v="60"/>
    <s v="Female"/>
    <x v="3"/>
    <n v="2522"/>
  </r>
  <r>
    <n v="1131"/>
    <n v="51119"/>
    <d v="2023-09-30T03:17:50"/>
    <n v="48"/>
    <s v="Male"/>
    <x v="1"/>
    <n v="386"/>
  </r>
  <r>
    <n v="1498"/>
    <n v="51120"/>
    <d v="2023-09-30T09:08:21"/>
    <n v="44"/>
    <s v="Male"/>
    <x v="3"/>
    <n v="1148"/>
  </r>
  <r>
    <n v="1229"/>
    <n v="51121"/>
    <d v="2023-09-30T14:58:52"/>
    <n v="49"/>
    <s v="Female"/>
    <x v="1"/>
    <n v="2490"/>
  </r>
  <r>
    <n v="1108"/>
    <n v="51122"/>
    <d v="2023-09-30T20:49:23"/>
    <n v="27"/>
    <s v="Female"/>
    <x v="0"/>
    <n v="4559"/>
  </r>
  <r>
    <n v="1172"/>
    <n v="51123"/>
    <d v="2023-10-01T02:39:54"/>
    <n v="20"/>
    <s v="Male"/>
    <x v="2"/>
    <n v="4817"/>
  </r>
  <r>
    <n v="1435"/>
    <n v="51124"/>
    <d v="2023-10-01T08:30:25"/>
    <n v="62"/>
    <s v="Female"/>
    <x v="0"/>
    <n v="4830"/>
  </r>
  <r>
    <n v="1478"/>
    <n v="51125"/>
    <d v="2023-10-01T14:20:56"/>
    <n v="44"/>
    <s v="Male"/>
    <x v="0"/>
    <n v="409"/>
  </r>
  <r>
    <n v="1102"/>
    <n v="51126"/>
    <d v="2023-10-01T20:11:27"/>
    <n v="52"/>
    <s v="Female"/>
    <x v="0"/>
    <n v="2293"/>
  </r>
  <r>
    <n v="1524"/>
    <n v="51127"/>
    <d v="2023-10-02T02:01:58"/>
    <n v="48"/>
    <s v="Male"/>
    <x v="1"/>
    <n v="3738"/>
  </r>
  <r>
    <n v="1275"/>
    <n v="51128"/>
    <d v="2023-10-02T07:52:29"/>
    <n v="32"/>
    <s v="Female"/>
    <x v="2"/>
    <n v="1763"/>
  </r>
  <r>
    <n v="1044"/>
    <n v="51129"/>
    <d v="2023-10-02T13:43:00"/>
    <n v="33"/>
    <s v="Male"/>
    <x v="3"/>
    <n v="225"/>
  </r>
  <r>
    <n v="1017"/>
    <n v="51130"/>
    <d v="2023-10-02T19:33:31"/>
    <n v="30"/>
    <s v="Female"/>
    <x v="0"/>
    <n v="374"/>
  </r>
  <r>
    <n v="1330"/>
    <n v="51131"/>
    <d v="2023-10-03T01:24:02"/>
    <n v="52"/>
    <s v="Male"/>
    <x v="1"/>
    <n v="1534"/>
  </r>
  <r>
    <n v="1569"/>
    <n v="51132"/>
    <d v="2023-10-03T07:14:33"/>
    <n v="28"/>
    <s v="Male"/>
    <x v="3"/>
    <n v="521"/>
  </r>
  <r>
    <n v="1497"/>
    <n v="51133"/>
    <d v="2023-10-03T13:05:04"/>
    <n v="38"/>
    <s v="Female"/>
    <x v="0"/>
    <n v="4350"/>
  </r>
  <r>
    <n v="1012"/>
    <n v="51134"/>
    <d v="2023-10-03T18:55:35"/>
    <n v="28"/>
    <s v="Female"/>
    <x v="3"/>
    <n v="4247"/>
  </r>
  <r>
    <n v="1318"/>
    <n v="51135"/>
    <d v="2023-10-04T00:46:06"/>
    <n v="47"/>
    <s v="Male"/>
    <x v="0"/>
    <n v="3427"/>
  </r>
  <r>
    <n v="1592"/>
    <n v="51136"/>
    <d v="2023-10-04T06:36:37"/>
    <n v="52"/>
    <s v="Male"/>
    <x v="3"/>
    <n v="2072"/>
  </r>
  <r>
    <n v="1216"/>
    <n v="51137"/>
    <d v="2023-10-04T12:27:08"/>
    <n v="39"/>
    <s v="Male"/>
    <x v="3"/>
    <n v="2267"/>
  </r>
  <r>
    <n v="1339"/>
    <n v="51138"/>
    <d v="2023-10-04T18:17:39"/>
    <n v="55"/>
    <s v="Male"/>
    <x v="2"/>
    <n v="532"/>
  </r>
  <r>
    <n v="1081"/>
    <n v="51139"/>
    <d v="2023-10-05T00:08:10"/>
    <n v="48"/>
    <s v="Female"/>
    <x v="2"/>
    <n v="3191"/>
  </r>
  <r>
    <n v="1485"/>
    <n v="51140"/>
    <d v="2023-10-05T05:58:41"/>
    <n v="31"/>
    <s v="Male"/>
    <x v="0"/>
    <n v="1110"/>
  </r>
  <r>
    <n v="1374"/>
    <n v="51141"/>
    <d v="2023-10-05T11:49:12"/>
    <n v="41"/>
    <s v="Male"/>
    <x v="1"/>
    <n v="4696"/>
  </r>
  <r>
    <n v="1200"/>
    <n v="51142"/>
    <d v="2023-10-05T17:39:43"/>
    <n v="49"/>
    <s v="Male"/>
    <x v="2"/>
    <n v="1149"/>
  </r>
  <r>
    <n v="1537"/>
    <n v="51143"/>
    <d v="2023-10-05T23:30:14"/>
    <n v="53"/>
    <s v="Female"/>
    <x v="3"/>
    <n v="2275"/>
  </r>
  <r>
    <n v="1466"/>
    <n v="51144"/>
    <d v="2023-10-06T05:20:45"/>
    <n v="49"/>
    <s v="Male"/>
    <x v="2"/>
    <n v="2714"/>
  </r>
  <r>
    <n v="1089"/>
    <n v="51145"/>
    <d v="2023-10-06T11:11:16"/>
    <n v="32"/>
    <s v="Female"/>
    <x v="2"/>
    <n v="3531"/>
  </r>
  <r>
    <n v="1268"/>
    <n v="51146"/>
    <d v="2023-10-06T17:01:47"/>
    <n v="60"/>
    <s v="Female"/>
    <x v="0"/>
    <n v="3229"/>
  </r>
  <r>
    <n v="1571"/>
    <n v="51147"/>
    <d v="2023-10-06T22:52:18"/>
    <n v="52"/>
    <s v="Female"/>
    <x v="2"/>
    <n v="300"/>
  </r>
  <r>
    <n v="1489"/>
    <n v="51148"/>
    <d v="2023-10-07T04:42:49"/>
    <n v="20"/>
    <s v="Female"/>
    <x v="2"/>
    <n v="4846"/>
  </r>
  <r>
    <n v="1538"/>
    <n v="51149"/>
    <d v="2023-10-07T10:33:20"/>
    <n v="33"/>
    <s v="Female"/>
    <x v="3"/>
    <n v="2600"/>
  </r>
  <r>
    <n v="1047"/>
    <n v="51150"/>
    <d v="2023-10-07T16:23:51"/>
    <n v="22"/>
    <s v="Female"/>
    <x v="2"/>
    <n v="3571"/>
  </r>
  <r>
    <n v="1288"/>
    <n v="51151"/>
    <d v="2023-10-07T22:14:22"/>
    <n v="38"/>
    <s v="Female"/>
    <x v="3"/>
    <n v="2543"/>
  </r>
  <r>
    <n v="1016"/>
    <n v="51152"/>
    <d v="2023-10-08T04:04:53"/>
    <n v="27"/>
    <s v="Male"/>
    <x v="2"/>
    <n v="552"/>
  </r>
  <r>
    <n v="1401"/>
    <n v="51153"/>
    <d v="2023-10-08T09:55:24"/>
    <n v="36"/>
    <s v="Male"/>
    <x v="2"/>
    <n v="3155"/>
  </r>
  <r>
    <n v="1086"/>
    <n v="51154"/>
    <d v="2023-10-08T15:45:55"/>
    <n v="42"/>
    <s v="Female"/>
    <x v="1"/>
    <n v="1218"/>
  </r>
  <r>
    <n v="1250"/>
    <n v="51155"/>
    <d v="2023-10-08T21:36:26"/>
    <n v="21"/>
    <s v="Male"/>
    <x v="2"/>
    <n v="1379"/>
  </r>
  <r>
    <n v="1391"/>
    <n v="51156"/>
    <d v="2023-10-09T03:26:57"/>
    <n v="46"/>
    <s v="Male"/>
    <x v="3"/>
    <n v="3736"/>
  </r>
  <r>
    <n v="1335"/>
    <n v="51157"/>
    <d v="2023-10-09T09:17:28"/>
    <n v="36"/>
    <s v="Female"/>
    <x v="3"/>
    <n v="3850"/>
  </r>
  <r>
    <n v="1519"/>
    <n v="51158"/>
    <d v="2023-10-09T15:07:59"/>
    <n v="60"/>
    <s v="Male"/>
    <x v="0"/>
    <n v="2702"/>
  </r>
  <r>
    <n v="1137"/>
    <n v="51159"/>
    <d v="2023-10-09T20:58:30"/>
    <n v="19"/>
    <s v="Female"/>
    <x v="0"/>
    <n v="4019"/>
  </r>
  <r>
    <n v="1498"/>
    <n v="51160"/>
    <d v="2023-10-10T02:49:01"/>
    <n v="27"/>
    <s v="Male"/>
    <x v="1"/>
    <n v="1179"/>
  </r>
  <r>
    <n v="1477"/>
    <n v="51161"/>
    <d v="2023-10-10T08:39:32"/>
    <n v="60"/>
    <s v="Female"/>
    <x v="3"/>
    <n v="1176"/>
  </r>
  <r>
    <n v="1594"/>
    <n v="51162"/>
    <d v="2023-10-10T14:30:03"/>
    <n v="42"/>
    <s v="Female"/>
    <x v="3"/>
    <n v="1571"/>
  </r>
  <r>
    <n v="1223"/>
    <n v="51163"/>
    <d v="2023-10-10T20:20:34"/>
    <n v="37"/>
    <s v="Male"/>
    <x v="3"/>
    <n v="2480"/>
  </r>
  <r>
    <n v="1372"/>
    <n v="51164"/>
    <d v="2023-10-11T02:11:05"/>
    <n v="36"/>
    <s v="Male"/>
    <x v="1"/>
    <n v="4776"/>
  </r>
  <r>
    <n v="1402"/>
    <n v="51165"/>
    <d v="2023-10-11T08:01:36"/>
    <n v="40"/>
    <s v="Female"/>
    <x v="3"/>
    <n v="307"/>
  </r>
  <r>
    <n v="1443"/>
    <n v="51166"/>
    <d v="2023-10-11T13:52:07"/>
    <n v="41"/>
    <s v="Female"/>
    <x v="0"/>
    <n v="1172"/>
  </r>
  <r>
    <n v="1490"/>
    <n v="51167"/>
    <d v="2023-10-11T19:42:38"/>
    <n v="28"/>
    <s v="Female"/>
    <x v="1"/>
    <n v="1826"/>
  </r>
  <r>
    <n v="1273"/>
    <n v="51168"/>
    <d v="2023-10-12T01:33:09"/>
    <n v="63"/>
    <s v="Male"/>
    <x v="0"/>
    <n v="903"/>
  </r>
  <r>
    <n v="1526"/>
    <n v="51169"/>
    <d v="2023-10-12T07:23:40"/>
    <n v="51"/>
    <s v="Male"/>
    <x v="0"/>
    <n v="1074"/>
  </r>
  <r>
    <n v="1159"/>
    <n v="51170"/>
    <d v="2023-10-12T13:14:11"/>
    <n v="45"/>
    <s v="Male"/>
    <x v="1"/>
    <n v="4009"/>
  </r>
  <r>
    <n v="1152"/>
    <n v="51171"/>
    <d v="2023-10-12T19:04:42"/>
    <n v="22"/>
    <s v="Male"/>
    <x v="2"/>
    <n v="2611"/>
  </r>
  <r>
    <n v="1188"/>
    <n v="51172"/>
    <d v="2023-10-13T00:55:13"/>
    <n v="22"/>
    <s v="Female"/>
    <x v="2"/>
    <n v="2307"/>
  </r>
  <r>
    <n v="1098"/>
    <n v="51173"/>
    <d v="2023-10-13T06:45:44"/>
    <n v="38"/>
    <s v="Female"/>
    <x v="0"/>
    <n v="3753"/>
  </r>
  <r>
    <n v="1131"/>
    <n v="51174"/>
    <d v="2023-10-13T12:36:15"/>
    <n v="29"/>
    <s v="Female"/>
    <x v="2"/>
    <n v="1473"/>
  </r>
  <r>
    <n v="1171"/>
    <n v="51175"/>
    <d v="2023-10-13T18:26:46"/>
    <n v="21"/>
    <s v="Female"/>
    <x v="3"/>
    <n v="759"/>
  </r>
  <r>
    <n v="1183"/>
    <n v="51176"/>
    <d v="2023-10-14T00:17:17"/>
    <n v="59"/>
    <s v="Male"/>
    <x v="1"/>
    <n v="316"/>
  </r>
  <r>
    <n v="1364"/>
    <n v="51177"/>
    <d v="2023-10-14T06:07:48"/>
    <n v="37"/>
    <s v="Female"/>
    <x v="0"/>
    <n v="3246"/>
  </r>
  <r>
    <n v="1039"/>
    <n v="51178"/>
    <d v="2023-10-14T11:58:19"/>
    <n v="55"/>
    <s v="Female"/>
    <x v="3"/>
    <n v="243"/>
  </r>
  <r>
    <n v="1527"/>
    <n v="51179"/>
    <d v="2023-10-14T17:48:50"/>
    <n v="42"/>
    <s v="Male"/>
    <x v="2"/>
    <n v="708"/>
  </r>
  <r>
    <n v="1497"/>
    <n v="51180"/>
    <d v="2023-10-14T23:39:21"/>
    <n v="31"/>
    <s v="Male"/>
    <x v="3"/>
    <n v="3639"/>
  </r>
  <r>
    <n v="1516"/>
    <n v="51181"/>
    <d v="2023-10-15T05:29:52"/>
    <n v="28"/>
    <s v="Female"/>
    <x v="2"/>
    <n v="4128"/>
  </r>
  <r>
    <n v="1349"/>
    <n v="51182"/>
    <d v="2023-10-15T11:20:23"/>
    <n v="49"/>
    <s v="Male"/>
    <x v="0"/>
    <n v="1116"/>
  </r>
  <r>
    <n v="1397"/>
    <n v="51183"/>
    <d v="2023-10-15T17:10:54"/>
    <n v="28"/>
    <s v="Female"/>
    <x v="3"/>
    <n v="3145"/>
  </r>
  <r>
    <n v="1161"/>
    <n v="51184"/>
    <d v="2023-10-15T23:01:25"/>
    <n v="35"/>
    <s v="Male"/>
    <x v="1"/>
    <n v="998"/>
  </r>
  <r>
    <n v="1016"/>
    <n v="51185"/>
    <d v="2023-10-16T04:51:56"/>
    <n v="44"/>
    <s v="Male"/>
    <x v="0"/>
    <n v="1960"/>
  </r>
  <r>
    <n v="1493"/>
    <n v="51186"/>
    <d v="2023-10-16T10:42:27"/>
    <n v="35"/>
    <s v="Female"/>
    <x v="3"/>
    <n v="2533"/>
  </r>
  <r>
    <n v="1426"/>
    <n v="51187"/>
    <d v="2023-10-16T16:32:58"/>
    <n v="40"/>
    <s v="Male"/>
    <x v="3"/>
    <n v="3475"/>
  </r>
  <r>
    <n v="1108"/>
    <n v="51188"/>
    <d v="2023-10-16T22:23:29"/>
    <n v="28"/>
    <s v="Female"/>
    <x v="2"/>
    <n v="1018"/>
  </r>
  <r>
    <n v="1450"/>
    <n v="51189"/>
    <d v="2023-10-17T04:14:00"/>
    <n v="38"/>
    <s v="Male"/>
    <x v="0"/>
    <n v="2368"/>
  </r>
  <r>
    <n v="1311"/>
    <n v="51190"/>
    <d v="2023-10-17T10:04:31"/>
    <n v="61"/>
    <s v="Male"/>
    <x v="0"/>
    <n v="3935"/>
  </r>
  <r>
    <n v="1170"/>
    <n v="51191"/>
    <d v="2023-10-17T15:55:02"/>
    <n v="22"/>
    <s v="Male"/>
    <x v="0"/>
    <n v="3265"/>
  </r>
  <r>
    <n v="1546"/>
    <n v="51192"/>
    <d v="2023-10-17T21:45:33"/>
    <n v="40"/>
    <s v="Male"/>
    <x v="0"/>
    <n v="3459"/>
  </r>
  <r>
    <n v="1414"/>
    <n v="51193"/>
    <d v="2023-10-18T03:36:04"/>
    <n v="58"/>
    <s v="Male"/>
    <x v="2"/>
    <n v="1106"/>
  </r>
  <r>
    <n v="1251"/>
    <n v="51194"/>
    <d v="2023-10-18T09:26:35"/>
    <n v="42"/>
    <s v="Female"/>
    <x v="1"/>
    <n v="4308"/>
  </r>
  <r>
    <n v="1141"/>
    <n v="51195"/>
    <d v="2023-10-18T15:17:06"/>
    <n v="58"/>
    <s v="Male"/>
    <x v="0"/>
    <n v="802"/>
  </r>
  <r>
    <n v="1274"/>
    <n v="51196"/>
    <d v="2023-10-18T21:07:37"/>
    <n v="27"/>
    <s v="Female"/>
    <x v="2"/>
    <n v="4495"/>
  </r>
  <r>
    <n v="1416"/>
    <n v="51197"/>
    <d v="2023-10-19T02:58:08"/>
    <n v="39"/>
    <s v="Male"/>
    <x v="1"/>
    <n v="2833"/>
  </r>
  <r>
    <n v="1039"/>
    <n v="51198"/>
    <d v="2023-10-19T08:48:39"/>
    <n v="36"/>
    <s v="Female"/>
    <x v="1"/>
    <n v="1991"/>
  </r>
  <r>
    <n v="1029"/>
    <n v="51199"/>
    <d v="2023-10-19T14:39:10"/>
    <n v="18"/>
    <s v="Male"/>
    <x v="2"/>
    <n v="3727"/>
  </r>
  <r>
    <n v="1477"/>
    <n v="51200"/>
    <d v="2023-10-19T20:29:41"/>
    <n v="24"/>
    <s v="Female"/>
    <x v="0"/>
    <n v="4743"/>
  </r>
  <r>
    <n v="1318"/>
    <n v="51201"/>
    <d v="2023-10-20T02:20:12"/>
    <n v="21"/>
    <s v="Female"/>
    <x v="1"/>
    <n v="2011"/>
  </r>
  <r>
    <n v="1245"/>
    <n v="51202"/>
    <d v="2023-10-20T08:10:43"/>
    <n v="18"/>
    <s v="Male"/>
    <x v="0"/>
    <n v="4111"/>
  </r>
  <r>
    <n v="1272"/>
    <n v="51203"/>
    <d v="2023-10-20T14:01:14"/>
    <n v="32"/>
    <s v="Male"/>
    <x v="0"/>
    <n v="1040"/>
  </r>
  <r>
    <n v="1440"/>
    <n v="51204"/>
    <d v="2023-10-20T19:51:45"/>
    <n v="57"/>
    <s v="Male"/>
    <x v="3"/>
    <n v="3342"/>
  </r>
  <r>
    <n v="1239"/>
    <n v="51205"/>
    <d v="2023-10-21T01:42:16"/>
    <n v="29"/>
    <s v="Female"/>
    <x v="0"/>
    <n v="4885"/>
  </r>
  <r>
    <n v="1377"/>
    <n v="51206"/>
    <d v="2023-10-21T07:32:47"/>
    <n v="39"/>
    <s v="Female"/>
    <x v="3"/>
    <n v="2290"/>
  </r>
  <r>
    <n v="1266"/>
    <n v="51207"/>
    <d v="2023-10-21T13:23:18"/>
    <n v="39"/>
    <s v="Male"/>
    <x v="1"/>
    <n v="4815"/>
  </r>
  <r>
    <n v="1359"/>
    <n v="51208"/>
    <d v="2023-10-21T19:13:49"/>
    <n v="64"/>
    <s v="Male"/>
    <x v="2"/>
    <n v="1236"/>
  </r>
  <r>
    <n v="1340"/>
    <n v="51209"/>
    <d v="2023-10-22T01:04:20"/>
    <n v="34"/>
    <s v="Female"/>
    <x v="3"/>
    <n v="924"/>
  </r>
  <r>
    <n v="1389"/>
    <n v="51210"/>
    <d v="2023-10-22T06:54:51"/>
    <n v="46"/>
    <s v="Female"/>
    <x v="2"/>
    <n v="1187"/>
  </r>
  <r>
    <n v="1577"/>
    <n v="51211"/>
    <d v="2023-10-22T12:45:23"/>
    <n v="63"/>
    <s v="Male"/>
    <x v="1"/>
    <n v="1002"/>
  </r>
  <r>
    <n v="1003"/>
    <n v="51212"/>
    <d v="2023-10-22T18:35:54"/>
    <n v="31"/>
    <s v="Female"/>
    <x v="0"/>
    <n v="2782"/>
  </r>
  <r>
    <n v="1429"/>
    <n v="51213"/>
    <d v="2023-10-23T00:26:25"/>
    <n v="37"/>
    <s v="Male"/>
    <x v="1"/>
    <n v="4037"/>
  </r>
  <r>
    <n v="1142"/>
    <n v="51214"/>
    <d v="2023-10-23T06:16:56"/>
    <n v="50"/>
    <s v="Male"/>
    <x v="2"/>
    <n v="726"/>
  </r>
  <r>
    <n v="1376"/>
    <n v="51215"/>
    <d v="2023-10-23T12:07:27"/>
    <n v="60"/>
    <s v="Male"/>
    <x v="1"/>
    <n v="1865"/>
  </r>
  <r>
    <n v="1324"/>
    <n v="51216"/>
    <d v="2023-10-23T17:57:58"/>
    <n v="32"/>
    <s v="Female"/>
    <x v="0"/>
    <n v="1338"/>
  </r>
  <r>
    <n v="1146"/>
    <n v="51217"/>
    <d v="2023-10-23T23:48:29"/>
    <n v="29"/>
    <s v="Female"/>
    <x v="1"/>
    <n v="659"/>
  </r>
  <r>
    <n v="1293"/>
    <n v="51218"/>
    <d v="2023-10-24T05:39:00"/>
    <n v="57"/>
    <s v="Female"/>
    <x v="0"/>
    <n v="2752"/>
  </r>
  <r>
    <n v="1432"/>
    <n v="51219"/>
    <d v="2023-10-24T11:29:31"/>
    <n v="37"/>
    <s v="Female"/>
    <x v="3"/>
    <n v="4620"/>
  </r>
  <r>
    <n v="1585"/>
    <n v="51220"/>
    <d v="2023-10-24T17:20:02"/>
    <n v="47"/>
    <s v="Male"/>
    <x v="2"/>
    <n v="4874"/>
  </r>
  <r>
    <n v="1399"/>
    <n v="51221"/>
    <d v="2023-10-24T23:10:33"/>
    <n v="55"/>
    <s v="Female"/>
    <x v="0"/>
    <n v="3008"/>
  </r>
  <r>
    <n v="1344"/>
    <n v="51222"/>
    <d v="2023-10-25T05:01:04"/>
    <n v="20"/>
    <s v="Male"/>
    <x v="0"/>
    <n v="3098"/>
  </r>
  <r>
    <n v="1140"/>
    <n v="51223"/>
    <d v="2023-10-25T10:51:35"/>
    <n v="45"/>
    <s v="Male"/>
    <x v="1"/>
    <n v="3443"/>
  </r>
  <r>
    <n v="1187"/>
    <n v="51224"/>
    <d v="2023-10-25T16:42:06"/>
    <n v="43"/>
    <s v="Male"/>
    <x v="3"/>
    <n v="4268"/>
  </r>
  <r>
    <n v="1061"/>
    <n v="51225"/>
    <d v="2023-10-25T22:32:37"/>
    <n v="47"/>
    <s v="Female"/>
    <x v="0"/>
    <n v="2531"/>
  </r>
  <r>
    <n v="1380"/>
    <n v="51226"/>
    <d v="2023-10-26T04:23:08"/>
    <n v="30"/>
    <s v="Male"/>
    <x v="3"/>
    <n v="4770"/>
  </r>
  <r>
    <n v="1440"/>
    <n v="51227"/>
    <d v="2023-10-26T10:13:39"/>
    <n v="30"/>
    <s v="Male"/>
    <x v="3"/>
    <n v="3885"/>
  </r>
  <r>
    <n v="1319"/>
    <n v="51228"/>
    <d v="2023-10-26T16:04:10"/>
    <n v="19"/>
    <s v="Female"/>
    <x v="1"/>
    <n v="831"/>
  </r>
  <r>
    <n v="1302"/>
    <n v="51229"/>
    <d v="2023-10-26T21:54:41"/>
    <n v="54"/>
    <s v="Male"/>
    <x v="0"/>
    <n v="4998"/>
  </r>
  <r>
    <n v="1344"/>
    <n v="51230"/>
    <d v="2023-10-27T03:45:12"/>
    <n v="55"/>
    <s v="Female"/>
    <x v="1"/>
    <n v="2656"/>
  </r>
  <r>
    <n v="1011"/>
    <n v="51231"/>
    <d v="2023-10-27T09:35:43"/>
    <n v="19"/>
    <s v="Female"/>
    <x v="2"/>
    <n v="1181"/>
  </r>
  <r>
    <n v="1062"/>
    <n v="51232"/>
    <d v="2023-10-27T15:26:14"/>
    <n v="53"/>
    <s v="Female"/>
    <x v="2"/>
    <n v="4854"/>
  </r>
  <r>
    <n v="1226"/>
    <n v="51233"/>
    <d v="2023-10-27T21:16:45"/>
    <n v="43"/>
    <s v="Male"/>
    <x v="0"/>
    <n v="4517"/>
  </r>
  <r>
    <n v="1153"/>
    <n v="51234"/>
    <d v="2023-10-28T03:07:16"/>
    <n v="28"/>
    <s v="Female"/>
    <x v="3"/>
    <n v="1756"/>
  </r>
  <r>
    <n v="1564"/>
    <n v="51235"/>
    <d v="2023-10-28T08:57:47"/>
    <n v="25"/>
    <s v="Female"/>
    <x v="0"/>
    <n v="2405"/>
  </r>
  <r>
    <n v="1571"/>
    <n v="51236"/>
    <d v="2023-10-28T14:48:18"/>
    <n v="61"/>
    <s v="Female"/>
    <x v="0"/>
    <n v="4643"/>
  </r>
  <r>
    <n v="1584"/>
    <n v="51237"/>
    <d v="2023-10-28T20:38:49"/>
    <n v="57"/>
    <s v="Female"/>
    <x v="2"/>
    <n v="4155"/>
  </r>
  <r>
    <n v="1575"/>
    <n v="51238"/>
    <d v="2023-10-29T02:29:20"/>
    <n v="60"/>
    <s v="Male"/>
    <x v="2"/>
    <n v="1121"/>
  </r>
  <r>
    <n v="1310"/>
    <n v="51239"/>
    <d v="2023-10-29T08:19:51"/>
    <n v="39"/>
    <s v="Female"/>
    <x v="3"/>
    <n v="604"/>
  </r>
  <r>
    <n v="1243"/>
    <n v="51240"/>
    <d v="2023-10-29T14:10:22"/>
    <n v="37"/>
    <s v="Male"/>
    <x v="3"/>
    <n v="4972"/>
  </r>
  <r>
    <n v="1493"/>
    <n v="51241"/>
    <d v="2023-10-29T20:00:53"/>
    <n v="25"/>
    <s v="Female"/>
    <x v="0"/>
    <n v="4884"/>
  </r>
  <r>
    <n v="1366"/>
    <n v="51242"/>
    <d v="2023-10-30T01:51:24"/>
    <n v="46"/>
    <s v="Male"/>
    <x v="1"/>
    <n v="1820"/>
  </r>
  <r>
    <n v="1330"/>
    <n v="51243"/>
    <d v="2023-10-30T07:41:55"/>
    <n v="57"/>
    <s v="Female"/>
    <x v="0"/>
    <n v="3152"/>
  </r>
  <r>
    <n v="1107"/>
    <n v="51244"/>
    <d v="2023-10-30T13:32:26"/>
    <n v="43"/>
    <s v="Male"/>
    <x v="3"/>
    <n v="3318"/>
  </r>
  <r>
    <n v="1226"/>
    <n v="51245"/>
    <d v="2023-10-30T19:22:57"/>
    <n v="47"/>
    <s v="Female"/>
    <x v="1"/>
    <n v="1794"/>
  </r>
  <r>
    <n v="1218"/>
    <n v="51246"/>
    <d v="2023-10-31T01:13:28"/>
    <n v="34"/>
    <s v="Male"/>
    <x v="2"/>
    <n v="765"/>
  </r>
  <r>
    <n v="1506"/>
    <n v="51247"/>
    <d v="2023-10-31T07:03:59"/>
    <n v="37"/>
    <s v="Male"/>
    <x v="3"/>
    <n v="4999"/>
  </r>
  <r>
    <n v="1259"/>
    <n v="51248"/>
    <d v="2023-10-31T12:54:30"/>
    <n v="33"/>
    <s v="Male"/>
    <x v="3"/>
    <n v="3068"/>
  </r>
  <r>
    <n v="1517"/>
    <n v="51249"/>
    <d v="2023-10-31T18:45:01"/>
    <n v="63"/>
    <s v="Female"/>
    <x v="1"/>
    <n v="1057"/>
  </r>
  <r>
    <n v="1054"/>
    <n v="51250"/>
    <d v="2023-11-01T00:35:32"/>
    <n v="60"/>
    <s v="Male"/>
    <x v="3"/>
    <n v="1484"/>
  </r>
  <r>
    <n v="1047"/>
    <n v="51251"/>
    <d v="2023-11-01T06:26:03"/>
    <n v="24"/>
    <s v="Male"/>
    <x v="3"/>
    <n v="784"/>
  </r>
  <r>
    <n v="1521"/>
    <n v="51252"/>
    <d v="2023-11-01T12:16:34"/>
    <n v="33"/>
    <s v="Male"/>
    <x v="3"/>
    <n v="4527"/>
  </r>
  <r>
    <n v="1099"/>
    <n v="51253"/>
    <d v="2023-11-01T18:07:05"/>
    <n v="62"/>
    <s v="Male"/>
    <x v="3"/>
    <n v="1445"/>
  </r>
  <r>
    <n v="1020"/>
    <n v="51254"/>
    <d v="2023-11-01T23:57:36"/>
    <n v="64"/>
    <s v="Female"/>
    <x v="3"/>
    <n v="251"/>
  </r>
  <r>
    <n v="1573"/>
    <n v="51255"/>
    <d v="2023-11-02T05:48:07"/>
    <n v="44"/>
    <s v="Male"/>
    <x v="3"/>
    <n v="2363"/>
  </r>
  <r>
    <n v="1490"/>
    <n v="51256"/>
    <d v="2023-11-02T11:38:38"/>
    <n v="40"/>
    <s v="Male"/>
    <x v="3"/>
    <n v="737"/>
  </r>
  <r>
    <n v="1419"/>
    <n v="51257"/>
    <d v="2023-11-02T17:29:09"/>
    <n v="41"/>
    <s v="Male"/>
    <x v="3"/>
    <n v="740"/>
  </r>
  <r>
    <n v="1062"/>
    <n v="51258"/>
    <d v="2023-11-02T23:19:40"/>
    <n v="26"/>
    <s v="Female"/>
    <x v="2"/>
    <n v="1014"/>
  </r>
  <r>
    <n v="1145"/>
    <n v="51259"/>
    <d v="2023-11-03T05:10:11"/>
    <n v="52"/>
    <s v="Male"/>
    <x v="3"/>
    <n v="1615"/>
  </r>
  <r>
    <n v="1216"/>
    <n v="51260"/>
    <d v="2023-11-03T11:00:42"/>
    <n v="37"/>
    <s v="Male"/>
    <x v="2"/>
    <n v="3038"/>
  </r>
  <r>
    <n v="1003"/>
    <n v="51261"/>
    <d v="2023-11-03T16:51:13"/>
    <n v="54"/>
    <s v="Male"/>
    <x v="2"/>
    <n v="1852"/>
  </r>
  <r>
    <n v="1160"/>
    <n v="51262"/>
    <d v="2023-11-03T22:41:44"/>
    <n v="59"/>
    <s v="Male"/>
    <x v="0"/>
    <n v="2865"/>
  </r>
  <r>
    <n v="1120"/>
    <n v="51263"/>
    <d v="2023-11-04T04:32:15"/>
    <n v="34"/>
    <s v="Female"/>
    <x v="0"/>
    <n v="4714"/>
  </r>
  <r>
    <n v="1089"/>
    <n v="51264"/>
    <d v="2023-11-04T10:22:46"/>
    <n v="64"/>
    <s v="Male"/>
    <x v="2"/>
    <n v="4262"/>
  </r>
  <r>
    <n v="1329"/>
    <n v="51265"/>
    <d v="2023-11-04T16:13:17"/>
    <n v="48"/>
    <s v="Male"/>
    <x v="2"/>
    <n v="2556"/>
  </r>
  <r>
    <n v="1580"/>
    <n v="51266"/>
    <d v="2023-11-04T22:03:48"/>
    <n v="25"/>
    <s v="Female"/>
    <x v="3"/>
    <n v="4010"/>
  </r>
  <r>
    <n v="1357"/>
    <n v="51267"/>
    <d v="2023-11-05T03:54:19"/>
    <n v="32"/>
    <s v="Female"/>
    <x v="0"/>
    <n v="1063"/>
  </r>
  <r>
    <n v="1267"/>
    <n v="51268"/>
    <d v="2023-11-05T09:44:50"/>
    <n v="48"/>
    <s v="Female"/>
    <x v="1"/>
    <n v="385"/>
  </r>
  <r>
    <n v="1323"/>
    <n v="51269"/>
    <d v="2023-11-05T15:35:21"/>
    <n v="47"/>
    <s v="Male"/>
    <x v="0"/>
    <n v="4556"/>
  </r>
  <r>
    <n v="1541"/>
    <n v="51270"/>
    <d v="2023-11-05T21:25:52"/>
    <n v="63"/>
    <s v="Female"/>
    <x v="2"/>
    <n v="1751"/>
  </r>
  <r>
    <n v="1195"/>
    <n v="51271"/>
    <d v="2023-11-06T03:16:23"/>
    <n v="37"/>
    <s v="Male"/>
    <x v="2"/>
    <n v="2407"/>
  </r>
  <r>
    <n v="1332"/>
    <n v="51272"/>
    <d v="2023-11-06T09:06:54"/>
    <n v="56"/>
    <s v="Female"/>
    <x v="3"/>
    <n v="961"/>
  </r>
  <r>
    <n v="1170"/>
    <n v="51273"/>
    <d v="2023-11-06T14:57:25"/>
    <n v="29"/>
    <s v="Male"/>
    <x v="3"/>
    <n v="4519"/>
  </r>
  <r>
    <n v="1521"/>
    <n v="51274"/>
    <d v="2023-11-06T20:47:56"/>
    <n v="34"/>
    <s v="Female"/>
    <x v="0"/>
    <n v="1479"/>
  </r>
  <r>
    <n v="1463"/>
    <n v="51275"/>
    <d v="2023-11-07T02:38:27"/>
    <n v="59"/>
    <s v="Male"/>
    <x v="3"/>
    <n v="4475"/>
  </r>
  <r>
    <n v="1040"/>
    <n v="51276"/>
    <d v="2023-11-07T08:28:58"/>
    <n v="47"/>
    <s v="Female"/>
    <x v="1"/>
    <n v="4927"/>
  </r>
  <r>
    <n v="1537"/>
    <n v="51277"/>
    <d v="2023-11-07T14:19:29"/>
    <n v="46"/>
    <s v="Male"/>
    <x v="1"/>
    <n v="3894"/>
  </r>
  <r>
    <n v="1261"/>
    <n v="51278"/>
    <d v="2023-11-07T20:10:00"/>
    <n v="36"/>
    <s v="Male"/>
    <x v="3"/>
    <n v="3481"/>
  </r>
  <r>
    <n v="1395"/>
    <n v="51279"/>
    <d v="2023-11-08T02:00:31"/>
    <n v="63"/>
    <s v="Male"/>
    <x v="1"/>
    <n v="1736"/>
  </r>
  <r>
    <n v="1226"/>
    <n v="51280"/>
    <d v="2023-11-08T07:51:02"/>
    <n v="28"/>
    <s v="Male"/>
    <x v="1"/>
    <n v="3364"/>
  </r>
  <r>
    <n v="1124"/>
    <n v="51281"/>
    <d v="2023-11-08T13:41:33"/>
    <n v="51"/>
    <s v="Male"/>
    <x v="0"/>
    <n v="2970"/>
  </r>
  <r>
    <n v="1038"/>
    <n v="51282"/>
    <d v="2023-11-08T19:32:04"/>
    <n v="24"/>
    <s v="Male"/>
    <x v="1"/>
    <n v="2163"/>
  </r>
  <r>
    <n v="1328"/>
    <n v="51283"/>
    <d v="2023-11-09T01:22:35"/>
    <n v="61"/>
    <s v="Male"/>
    <x v="2"/>
    <n v="4045"/>
  </r>
  <r>
    <n v="1251"/>
    <n v="51284"/>
    <d v="2023-11-09T07:13:06"/>
    <n v="51"/>
    <s v="Male"/>
    <x v="2"/>
    <n v="3635"/>
  </r>
  <r>
    <n v="1176"/>
    <n v="51285"/>
    <d v="2023-11-09T13:03:37"/>
    <n v="37"/>
    <s v="Female"/>
    <x v="0"/>
    <n v="4910"/>
  </r>
  <r>
    <n v="1454"/>
    <n v="51286"/>
    <d v="2023-11-09T18:54:08"/>
    <n v="55"/>
    <s v="Male"/>
    <x v="3"/>
    <n v="761"/>
  </r>
  <r>
    <n v="1037"/>
    <n v="51287"/>
    <d v="2023-11-10T00:44:39"/>
    <n v="41"/>
    <s v="Male"/>
    <x v="0"/>
    <n v="2621"/>
  </r>
  <r>
    <n v="1316"/>
    <n v="51288"/>
    <d v="2023-11-10T06:35:10"/>
    <n v="27"/>
    <s v="Female"/>
    <x v="3"/>
    <n v="4917"/>
  </r>
  <r>
    <n v="1593"/>
    <n v="51289"/>
    <d v="2023-11-10T12:25:41"/>
    <n v="49"/>
    <s v="Male"/>
    <x v="3"/>
    <n v="2335"/>
  </r>
  <r>
    <n v="1114"/>
    <n v="51290"/>
    <d v="2023-11-10T18:16:12"/>
    <n v="32"/>
    <s v="Female"/>
    <x v="3"/>
    <n v="2261"/>
  </r>
  <r>
    <n v="1040"/>
    <n v="51291"/>
    <d v="2023-11-11T00:06:43"/>
    <n v="54"/>
    <s v="Male"/>
    <x v="3"/>
    <n v="2380"/>
  </r>
  <r>
    <n v="1301"/>
    <n v="51292"/>
    <d v="2023-11-11T05:57:14"/>
    <n v="37"/>
    <s v="Female"/>
    <x v="3"/>
    <n v="2160"/>
  </r>
  <r>
    <n v="1224"/>
    <n v="51293"/>
    <d v="2023-11-11T11:47:45"/>
    <n v="20"/>
    <s v="Female"/>
    <x v="0"/>
    <n v="4079"/>
  </r>
  <r>
    <n v="1318"/>
    <n v="51294"/>
    <d v="2023-11-11T17:38:16"/>
    <n v="54"/>
    <s v="Male"/>
    <x v="3"/>
    <n v="3479"/>
  </r>
  <r>
    <n v="1349"/>
    <n v="51295"/>
    <d v="2023-11-11T23:28:47"/>
    <n v="57"/>
    <s v="Female"/>
    <x v="1"/>
    <n v="4084"/>
  </r>
  <r>
    <n v="1115"/>
    <n v="51296"/>
    <d v="2023-11-12T05:19:18"/>
    <n v="25"/>
    <s v="Male"/>
    <x v="1"/>
    <n v="3470"/>
  </r>
  <r>
    <n v="1323"/>
    <n v="51297"/>
    <d v="2023-11-12T11:09:49"/>
    <n v="57"/>
    <s v="Male"/>
    <x v="3"/>
    <n v="4887"/>
  </r>
  <r>
    <n v="1568"/>
    <n v="51298"/>
    <d v="2023-11-12T17:00:20"/>
    <n v="61"/>
    <s v="Male"/>
    <x v="1"/>
    <n v="782"/>
  </r>
  <r>
    <n v="1040"/>
    <n v="51299"/>
    <d v="2023-11-12T22:50:51"/>
    <n v="40"/>
    <s v="Male"/>
    <x v="2"/>
    <n v="1813"/>
  </r>
  <r>
    <n v="1040"/>
    <n v="51300"/>
    <d v="2023-11-13T04:41:22"/>
    <n v="57"/>
    <s v="Female"/>
    <x v="0"/>
    <n v="1301"/>
  </r>
  <r>
    <n v="1289"/>
    <n v="51301"/>
    <d v="2023-11-13T10:31:53"/>
    <n v="28"/>
    <s v="Male"/>
    <x v="0"/>
    <n v="488"/>
  </r>
  <r>
    <n v="1262"/>
    <n v="51302"/>
    <d v="2023-11-13T16:22:24"/>
    <n v="63"/>
    <s v="Female"/>
    <x v="3"/>
    <n v="4059"/>
  </r>
  <r>
    <n v="1216"/>
    <n v="51303"/>
    <d v="2023-11-13T22:12:55"/>
    <n v="25"/>
    <s v="Female"/>
    <x v="3"/>
    <n v="3260"/>
  </r>
  <r>
    <n v="1147"/>
    <n v="51304"/>
    <d v="2023-11-14T04:03:26"/>
    <n v="46"/>
    <s v="Male"/>
    <x v="2"/>
    <n v="3126"/>
  </r>
  <r>
    <n v="1336"/>
    <n v="51305"/>
    <d v="2023-11-14T09:53:57"/>
    <n v="47"/>
    <s v="Male"/>
    <x v="3"/>
    <n v="4302"/>
  </r>
  <r>
    <n v="1168"/>
    <n v="51306"/>
    <d v="2023-11-14T15:44:28"/>
    <n v="27"/>
    <s v="Male"/>
    <x v="1"/>
    <n v="1383"/>
  </r>
  <r>
    <n v="1092"/>
    <n v="51307"/>
    <d v="2023-11-14T21:34:59"/>
    <n v="56"/>
    <s v="Male"/>
    <x v="2"/>
    <n v="4535"/>
  </r>
  <r>
    <n v="1353"/>
    <n v="51308"/>
    <d v="2023-11-15T03:25:31"/>
    <n v="45"/>
    <s v="Female"/>
    <x v="1"/>
    <n v="1646"/>
  </r>
  <r>
    <n v="1571"/>
    <n v="51309"/>
    <d v="2023-11-15T09:16:02"/>
    <n v="53"/>
    <s v="Male"/>
    <x v="0"/>
    <n v="1949"/>
  </r>
  <r>
    <n v="1571"/>
    <n v="51310"/>
    <d v="2023-11-15T15:06:33"/>
    <n v="30"/>
    <s v="Female"/>
    <x v="1"/>
    <n v="2103"/>
  </r>
  <r>
    <n v="1363"/>
    <n v="51311"/>
    <d v="2023-11-15T20:57:04"/>
    <n v="49"/>
    <s v="Male"/>
    <x v="0"/>
    <n v="3375"/>
  </r>
  <r>
    <n v="1557"/>
    <n v="51312"/>
    <d v="2023-11-16T02:47:35"/>
    <n v="53"/>
    <s v="Male"/>
    <x v="1"/>
    <n v="1277"/>
  </r>
  <r>
    <n v="1345"/>
    <n v="51313"/>
    <d v="2023-11-16T08:38:06"/>
    <n v="54"/>
    <s v="Male"/>
    <x v="0"/>
    <n v="2577"/>
  </r>
  <r>
    <n v="1170"/>
    <n v="51314"/>
    <d v="2023-11-16T14:28:37"/>
    <n v="43"/>
    <s v="Male"/>
    <x v="3"/>
    <n v="1047"/>
  </r>
  <r>
    <n v="1356"/>
    <n v="51315"/>
    <d v="2023-11-16T20:19:08"/>
    <n v="39"/>
    <s v="Female"/>
    <x v="1"/>
    <n v="3076"/>
  </r>
  <r>
    <n v="1191"/>
    <n v="51316"/>
    <d v="2023-11-17T02:09:39"/>
    <n v="21"/>
    <s v="Female"/>
    <x v="0"/>
    <n v="1439"/>
  </r>
  <r>
    <n v="1422"/>
    <n v="51317"/>
    <d v="2023-11-17T08:00:10"/>
    <n v="48"/>
    <s v="Male"/>
    <x v="1"/>
    <n v="1532"/>
  </r>
  <r>
    <n v="1007"/>
    <n v="51318"/>
    <d v="2023-11-17T13:50:41"/>
    <n v="35"/>
    <s v="Female"/>
    <x v="2"/>
    <n v="3706"/>
  </r>
  <r>
    <n v="1133"/>
    <n v="51319"/>
    <d v="2023-11-17T19:41:12"/>
    <n v="55"/>
    <s v="Female"/>
    <x v="3"/>
    <n v="2579"/>
  </r>
  <r>
    <n v="1557"/>
    <n v="51320"/>
    <d v="2023-11-18T01:31:43"/>
    <n v="41"/>
    <s v="Male"/>
    <x v="0"/>
    <n v="4991"/>
  </r>
  <r>
    <n v="1031"/>
    <n v="51321"/>
    <d v="2023-11-18T07:22:14"/>
    <n v="40"/>
    <s v="Male"/>
    <x v="2"/>
    <n v="4322"/>
  </r>
  <r>
    <n v="1535"/>
    <n v="51322"/>
    <d v="2023-11-18T13:12:45"/>
    <n v="39"/>
    <s v="Female"/>
    <x v="1"/>
    <n v="3437"/>
  </r>
  <r>
    <n v="1426"/>
    <n v="51323"/>
    <d v="2023-11-18T19:03:16"/>
    <n v="19"/>
    <s v="Female"/>
    <x v="2"/>
    <n v="2565"/>
  </r>
  <r>
    <n v="1394"/>
    <n v="51324"/>
    <d v="2023-11-19T00:53:47"/>
    <n v="48"/>
    <s v="Female"/>
    <x v="1"/>
    <n v="2612"/>
  </r>
  <r>
    <n v="1363"/>
    <n v="51325"/>
    <d v="2023-11-19T06:44:18"/>
    <n v="28"/>
    <s v="Female"/>
    <x v="3"/>
    <n v="3374"/>
  </r>
  <r>
    <n v="1437"/>
    <n v="51326"/>
    <d v="2023-11-19T12:34:49"/>
    <n v="45"/>
    <s v="Male"/>
    <x v="2"/>
    <n v="572"/>
  </r>
  <r>
    <n v="1551"/>
    <n v="51327"/>
    <d v="2023-11-19T18:25:20"/>
    <n v="63"/>
    <s v="Male"/>
    <x v="3"/>
    <n v="2149"/>
  </r>
  <r>
    <n v="1082"/>
    <n v="51328"/>
    <d v="2023-11-20T00:15:51"/>
    <n v="49"/>
    <s v="Female"/>
    <x v="0"/>
    <n v="444"/>
  </r>
  <r>
    <n v="1356"/>
    <n v="51329"/>
    <d v="2023-11-20T06:06:22"/>
    <n v="22"/>
    <s v="Male"/>
    <x v="1"/>
    <n v="2040"/>
  </r>
  <r>
    <n v="1258"/>
    <n v="51330"/>
    <d v="2023-11-20T11:56:53"/>
    <n v="55"/>
    <s v="Female"/>
    <x v="1"/>
    <n v="3627"/>
  </r>
  <r>
    <n v="1589"/>
    <n v="51331"/>
    <d v="2023-11-20T17:47:24"/>
    <n v="27"/>
    <s v="Female"/>
    <x v="3"/>
    <n v="324"/>
  </r>
  <r>
    <n v="1524"/>
    <n v="51332"/>
    <d v="2023-11-20T23:37:55"/>
    <n v="57"/>
    <s v="Male"/>
    <x v="3"/>
    <n v="4832"/>
  </r>
  <r>
    <n v="1295"/>
    <n v="51333"/>
    <d v="2023-11-21T05:28:26"/>
    <n v="63"/>
    <s v="Female"/>
    <x v="0"/>
    <n v="2953"/>
  </r>
  <r>
    <n v="1224"/>
    <n v="51334"/>
    <d v="2023-11-21T11:18:57"/>
    <n v="41"/>
    <s v="Female"/>
    <x v="2"/>
    <n v="2119"/>
  </r>
  <r>
    <n v="1525"/>
    <n v="51335"/>
    <d v="2023-11-21T17:09:28"/>
    <n v="52"/>
    <s v="Male"/>
    <x v="1"/>
    <n v="1835"/>
  </r>
  <r>
    <n v="1046"/>
    <n v="51336"/>
    <d v="2023-11-21T22:59:59"/>
    <n v="61"/>
    <s v="Male"/>
    <x v="1"/>
    <n v="1625"/>
  </r>
  <r>
    <n v="1113"/>
    <n v="51337"/>
    <d v="2023-11-22T04:50:30"/>
    <n v="40"/>
    <s v="Female"/>
    <x v="0"/>
    <n v="1740"/>
  </r>
  <r>
    <n v="1233"/>
    <n v="51338"/>
    <d v="2023-11-22T10:41:01"/>
    <n v="34"/>
    <s v="Female"/>
    <x v="0"/>
    <n v="730"/>
  </r>
  <r>
    <n v="1017"/>
    <n v="51339"/>
    <d v="2023-11-22T16:31:32"/>
    <n v="18"/>
    <s v="Male"/>
    <x v="3"/>
    <n v="4549"/>
  </r>
  <r>
    <n v="1360"/>
    <n v="51340"/>
    <d v="2023-11-22T22:22:03"/>
    <n v="48"/>
    <s v="Female"/>
    <x v="3"/>
    <n v="3303"/>
  </r>
  <r>
    <n v="1223"/>
    <n v="51341"/>
    <d v="2023-11-23T04:12:34"/>
    <n v="48"/>
    <s v="Female"/>
    <x v="2"/>
    <n v="4956"/>
  </r>
  <r>
    <n v="1448"/>
    <n v="51342"/>
    <d v="2023-11-23T10:03:05"/>
    <n v="59"/>
    <s v="Male"/>
    <x v="0"/>
    <n v="2001"/>
  </r>
  <r>
    <n v="1365"/>
    <n v="51343"/>
    <d v="2023-11-23T15:53:36"/>
    <n v="59"/>
    <s v="Male"/>
    <x v="2"/>
    <n v="1236"/>
  </r>
  <r>
    <n v="1326"/>
    <n v="51344"/>
    <d v="2023-11-23T21:44:07"/>
    <n v="51"/>
    <s v="Male"/>
    <x v="0"/>
    <n v="3928"/>
  </r>
  <r>
    <n v="1467"/>
    <n v="51345"/>
    <d v="2023-11-24T03:34:38"/>
    <n v="26"/>
    <s v="Male"/>
    <x v="1"/>
    <n v="4211"/>
  </r>
  <r>
    <n v="1414"/>
    <n v="51346"/>
    <d v="2023-11-24T09:25:09"/>
    <n v="39"/>
    <s v="Male"/>
    <x v="0"/>
    <n v="3663"/>
  </r>
  <r>
    <n v="1455"/>
    <n v="51347"/>
    <d v="2023-11-24T15:15:40"/>
    <n v="30"/>
    <s v="Male"/>
    <x v="0"/>
    <n v="1342"/>
  </r>
  <r>
    <n v="1586"/>
    <n v="51348"/>
    <d v="2023-11-24T21:06:11"/>
    <n v="42"/>
    <s v="Female"/>
    <x v="1"/>
    <n v="1955"/>
  </r>
  <r>
    <n v="1233"/>
    <n v="51349"/>
    <d v="2023-11-25T02:56:42"/>
    <n v="35"/>
    <s v="Female"/>
    <x v="0"/>
    <n v="1829"/>
  </r>
  <r>
    <n v="1224"/>
    <n v="51350"/>
    <d v="2023-11-25T08:47:13"/>
    <n v="29"/>
    <s v="Male"/>
    <x v="2"/>
    <n v="962"/>
  </r>
  <r>
    <n v="1412"/>
    <n v="51351"/>
    <d v="2023-11-25T14:37:44"/>
    <n v="57"/>
    <s v="Male"/>
    <x v="3"/>
    <n v="4157"/>
  </r>
  <r>
    <n v="1572"/>
    <n v="51352"/>
    <d v="2023-11-25T20:28:15"/>
    <n v="34"/>
    <s v="Female"/>
    <x v="3"/>
    <n v="757"/>
  </r>
  <r>
    <n v="1335"/>
    <n v="51353"/>
    <d v="2023-11-26T02:18:46"/>
    <n v="32"/>
    <s v="Female"/>
    <x v="2"/>
    <n v="4821"/>
  </r>
  <r>
    <n v="1222"/>
    <n v="51354"/>
    <d v="2023-11-26T08:09:17"/>
    <n v="59"/>
    <s v="Female"/>
    <x v="1"/>
    <n v="1039"/>
  </r>
  <r>
    <n v="1037"/>
    <n v="51355"/>
    <d v="2023-11-26T13:59:48"/>
    <n v="32"/>
    <s v="Male"/>
    <x v="0"/>
    <n v="202"/>
  </r>
  <r>
    <n v="1278"/>
    <n v="51356"/>
    <d v="2023-11-26T19:50:19"/>
    <n v="32"/>
    <s v="Male"/>
    <x v="2"/>
    <n v="1251"/>
  </r>
  <r>
    <n v="1196"/>
    <n v="51357"/>
    <d v="2023-11-27T01:40:50"/>
    <n v="56"/>
    <s v="Female"/>
    <x v="3"/>
    <n v="1604"/>
  </r>
  <r>
    <n v="1484"/>
    <n v="51358"/>
    <d v="2023-11-27T07:31:21"/>
    <n v="30"/>
    <s v="Male"/>
    <x v="3"/>
    <n v="356"/>
  </r>
  <r>
    <n v="1242"/>
    <n v="51359"/>
    <d v="2023-11-27T13:21:52"/>
    <n v="34"/>
    <s v="Male"/>
    <x v="2"/>
    <n v="2137"/>
  </r>
  <r>
    <n v="1324"/>
    <n v="51360"/>
    <d v="2023-11-27T19:12:23"/>
    <n v="49"/>
    <s v="Male"/>
    <x v="3"/>
    <n v="710"/>
  </r>
  <r>
    <n v="1192"/>
    <n v="51361"/>
    <d v="2023-11-28T01:02:54"/>
    <n v="26"/>
    <s v="Female"/>
    <x v="2"/>
    <n v="3604"/>
  </r>
  <r>
    <n v="1017"/>
    <n v="51362"/>
    <d v="2023-11-28T06:53:25"/>
    <n v="57"/>
    <s v="Female"/>
    <x v="3"/>
    <n v="4982"/>
  </r>
  <r>
    <n v="1524"/>
    <n v="51363"/>
    <d v="2023-11-28T12:43:56"/>
    <n v="37"/>
    <s v="Male"/>
    <x v="2"/>
    <n v="1337"/>
  </r>
  <r>
    <n v="1401"/>
    <n v="51364"/>
    <d v="2023-11-28T18:34:27"/>
    <n v="43"/>
    <s v="Male"/>
    <x v="0"/>
    <n v="4114"/>
  </r>
  <r>
    <n v="1022"/>
    <n v="51365"/>
    <d v="2023-11-29T00:24:58"/>
    <n v="44"/>
    <s v="Male"/>
    <x v="0"/>
    <n v="3521"/>
  </r>
  <r>
    <n v="1474"/>
    <n v="51366"/>
    <d v="2023-11-29T06:15:29"/>
    <n v="38"/>
    <s v="Male"/>
    <x v="0"/>
    <n v="4866"/>
  </r>
  <r>
    <n v="1120"/>
    <n v="51367"/>
    <d v="2023-11-29T12:06:00"/>
    <n v="35"/>
    <s v="Male"/>
    <x v="0"/>
    <n v="914"/>
  </r>
  <r>
    <n v="1210"/>
    <n v="51368"/>
    <d v="2023-11-29T17:56:31"/>
    <n v="30"/>
    <s v="Female"/>
    <x v="3"/>
    <n v="2486"/>
  </r>
  <r>
    <n v="1306"/>
    <n v="51369"/>
    <d v="2023-11-29T23:47:02"/>
    <n v="33"/>
    <s v="Male"/>
    <x v="1"/>
    <n v="2854"/>
  </r>
  <r>
    <n v="1270"/>
    <n v="51370"/>
    <d v="2023-11-30T05:37:33"/>
    <n v="26"/>
    <s v="Male"/>
    <x v="2"/>
    <n v="1190"/>
  </r>
  <r>
    <n v="1285"/>
    <n v="51371"/>
    <d v="2023-11-30T11:28:04"/>
    <n v="29"/>
    <s v="Male"/>
    <x v="1"/>
    <n v="4629"/>
  </r>
  <r>
    <n v="1227"/>
    <n v="51372"/>
    <d v="2023-11-30T17:18:35"/>
    <n v="61"/>
    <s v="Female"/>
    <x v="3"/>
    <n v="2360"/>
  </r>
  <r>
    <n v="1381"/>
    <n v="51373"/>
    <d v="2023-11-30T23:09:06"/>
    <n v="55"/>
    <s v="Female"/>
    <x v="3"/>
    <n v="4657"/>
  </r>
  <r>
    <n v="1460"/>
    <n v="51374"/>
    <d v="2023-12-01T04:59:37"/>
    <n v="36"/>
    <s v="Male"/>
    <x v="1"/>
    <n v="2344"/>
  </r>
  <r>
    <n v="1007"/>
    <n v="51375"/>
    <d v="2023-12-01T10:50:08"/>
    <n v="24"/>
    <s v="Female"/>
    <x v="1"/>
    <n v="2263"/>
  </r>
  <r>
    <n v="1029"/>
    <n v="51376"/>
    <d v="2023-12-01T16:40:39"/>
    <n v="52"/>
    <s v="Female"/>
    <x v="3"/>
    <n v="2803"/>
  </r>
  <r>
    <n v="1033"/>
    <n v="51377"/>
    <d v="2023-12-01T22:31:10"/>
    <n v="35"/>
    <s v="Female"/>
    <x v="3"/>
    <n v="2177"/>
  </r>
  <r>
    <n v="1079"/>
    <n v="51378"/>
    <d v="2023-12-02T04:21:41"/>
    <n v="33"/>
    <s v="Female"/>
    <x v="2"/>
    <n v="575"/>
  </r>
  <r>
    <n v="1459"/>
    <n v="51379"/>
    <d v="2023-12-02T10:12:12"/>
    <n v="56"/>
    <s v="Female"/>
    <x v="0"/>
    <n v="941"/>
  </r>
  <r>
    <n v="1570"/>
    <n v="51380"/>
    <d v="2023-12-02T16:02:43"/>
    <n v="21"/>
    <s v="Female"/>
    <x v="0"/>
    <n v="4685"/>
  </r>
  <r>
    <n v="1538"/>
    <n v="51381"/>
    <d v="2023-12-02T21:53:14"/>
    <n v="42"/>
    <s v="Male"/>
    <x v="2"/>
    <n v="2867"/>
  </r>
  <r>
    <n v="1482"/>
    <n v="51382"/>
    <d v="2023-12-03T03:43:45"/>
    <n v="49"/>
    <s v="Female"/>
    <x v="1"/>
    <n v="1440"/>
  </r>
  <r>
    <n v="1430"/>
    <n v="51383"/>
    <d v="2023-12-03T09:34:16"/>
    <n v="57"/>
    <s v="Female"/>
    <x v="3"/>
    <n v="3670"/>
  </r>
  <r>
    <n v="1285"/>
    <n v="51384"/>
    <d v="2023-12-03T15:24:47"/>
    <n v="30"/>
    <s v="Male"/>
    <x v="1"/>
    <n v="2567"/>
  </r>
  <r>
    <n v="1516"/>
    <n v="51385"/>
    <d v="2023-12-03T21:15:18"/>
    <n v="62"/>
    <s v="Male"/>
    <x v="0"/>
    <n v="2443"/>
  </r>
  <r>
    <n v="1099"/>
    <n v="51386"/>
    <d v="2023-12-04T03:05:49"/>
    <n v="34"/>
    <s v="Male"/>
    <x v="0"/>
    <n v="3749"/>
  </r>
  <r>
    <n v="1397"/>
    <n v="51387"/>
    <d v="2023-12-04T08:56:20"/>
    <n v="54"/>
    <s v="Male"/>
    <x v="1"/>
    <n v="617"/>
  </r>
  <r>
    <n v="1489"/>
    <n v="51388"/>
    <d v="2023-12-04T14:46:51"/>
    <n v="23"/>
    <s v="Female"/>
    <x v="0"/>
    <n v="806"/>
  </r>
  <r>
    <n v="1039"/>
    <n v="51389"/>
    <d v="2023-12-04T20:37:22"/>
    <n v="36"/>
    <s v="Female"/>
    <x v="3"/>
    <n v="767"/>
  </r>
  <r>
    <n v="1271"/>
    <n v="51390"/>
    <d v="2023-12-05T02:27:53"/>
    <n v="30"/>
    <s v="Female"/>
    <x v="2"/>
    <n v="743"/>
  </r>
  <r>
    <n v="1157"/>
    <n v="51391"/>
    <d v="2023-12-05T08:18:24"/>
    <n v="43"/>
    <s v="Female"/>
    <x v="1"/>
    <n v="1083"/>
  </r>
  <r>
    <n v="1075"/>
    <n v="51392"/>
    <d v="2023-12-05T14:08:55"/>
    <n v="31"/>
    <s v="Male"/>
    <x v="3"/>
    <n v="4998"/>
  </r>
  <r>
    <n v="1130"/>
    <n v="51393"/>
    <d v="2023-12-05T19:59:26"/>
    <n v="48"/>
    <s v="Female"/>
    <x v="3"/>
    <n v="1423"/>
  </r>
  <r>
    <n v="1084"/>
    <n v="51394"/>
    <d v="2023-12-06T01:49:57"/>
    <n v="21"/>
    <s v="Female"/>
    <x v="0"/>
    <n v="3093"/>
  </r>
  <r>
    <n v="1022"/>
    <n v="51395"/>
    <d v="2023-12-06T07:40:28"/>
    <n v="56"/>
    <s v="Male"/>
    <x v="3"/>
    <n v="2268"/>
  </r>
  <r>
    <n v="1459"/>
    <n v="51396"/>
    <d v="2023-12-06T13:30:59"/>
    <n v="25"/>
    <s v="Female"/>
    <x v="1"/>
    <n v="3909"/>
  </r>
  <r>
    <n v="1539"/>
    <n v="51397"/>
    <d v="2023-12-06T19:21:30"/>
    <n v="42"/>
    <s v="Female"/>
    <x v="3"/>
    <n v="1986"/>
  </r>
  <r>
    <n v="1382"/>
    <n v="51398"/>
    <d v="2023-12-07T01:12:01"/>
    <n v="30"/>
    <s v="Female"/>
    <x v="2"/>
    <n v="1657"/>
  </r>
  <r>
    <n v="1440"/>
    <n v="51399"/>
    <d v="2023-12-07T07:02:32"/>
    <n v="49"/>
    <s v="Female"/>
    <x v="3"/>
    <n v="2114"/>
  </r>
  <r>
    <n v="1021"/>
    <n v="51400"/>
    <d v="2023-12-07T12:53:03"/>
    <n v="55"/>
    <s v="Male"/>
    <x v="3"/>
    <n v="277"/>
  </r>
  <r>
    <n v="1303"/>
    <n v="51401"/>
    <d v="2023-12-07T18:43:34"/>
    <n v="55"/>
    <s v="Male"/>
    <x v="2"/>
    <n v="3813"/>
  </r>
  <r>
    <n v="1084"/>
    <n v="51402"/>
    <d v="2023-12-08T00:34:05"/>
    <n v="45"/>
    <s v="Male"/>
    <x v="3"/>
    <n v="1508"/>
  </r>
  <r>
    <n v="1453"/>
    <n v="51403"/>
    <d v="2023-12-08T06:24:36"/>
    <n v="47"/>
    <s v="Male"/>
    <x v="3"/>
    <n v="847"/>
  </r>
  <r>
    <n v="1387"/>
    <n v="51404"/>
    <d v="2023-12-08T12:15:08"/>
    <n v="20"/>
    <s v="Male"/>
    <x v="0"/>
    <n v="2387"/>
  </r>
  <r>
    <n v="1507"/>
    <n v="51405"/>
    <d v="2023-12-08T18:05:39"/>
    <n v="45"/>
    <s v="Female"/>
    <x v="1"/>
    <n v="752"/>
  </r>
  <r>
    <n v="1257"/>
    <n v="51406"/>
    <d v="2023-12-08T23:56:10"/>
    <n v="20"/>
    <s v="Female"/>
    <x v="0"/>
    <n v="481"/>
  </r>
  <r>
    <n v="1570"/>
    <n v="51407"/>
    <d v="2023-12-09T05:46:41"/>
    <n v="62"/>
    <s v="Male"/>
    <x v="1"/>
    <n v="1481"/>
  </r>
  <r>
    <n v="1527"/>
    <n v="51408"/>
    <d v="2023-12-09T11:37:12"/>
    <n v="51"/>
    <s v="Male"/>
    <x v="2"/>
    <n v="2046"/>
  </r>
  <r>
    <n v="1162"/>
    <n v="51409"/>
    <d v="2023-12-09T17:27:43"/>
    <n v="33"/>
    <s v="Male"/>
    <x v="2"/>
    <n v="2687"/>
  </r>
  <r>
    <n v="1163"/>
    <n v="51410"/>
    <d v="2023-12-09T23:18:14"/>
    <n v="39"/>
    <s v="Female"/>
    <x v="2"/>
    <n v="2993"/>
  </r>
  <r>
    <n v="1524"/>
    <n v="51411"/>
    <d v="2023-12-10T05:08:45"/>
    <n v="49"/>
    <s v="Male"/>
    <x v="1"/>
    <n v="3911"/>
  </r>
  <r>
    <n v="1271"/>
    <n v="51412"/>
    <d v="2023-12-10T10:59:16"/>
    <n v="55"/>
    <s v="Female"/>
    <x v="1"/>
    <n v="4399"/>
  </r>
  <r>
    <n v="1492"/>
    <n v="51413"/>
    <d v="2023-12-10T16:49:47"/>
    <n v="25"/>
    <s v="Female"/>
    <x v="1"/>
    <n v="2976"/>
  </r>
  <r>
    <n v="1208"/>
    <n v="51414"/>
    <d v="2023-12-10T22:40:18"/>
    <n v="25"/>
    <s v="Female"/>
    <x v="2"/>
    <n v="1796"/>
  </r>
  <r>
    <n v="1539"/>
    <n v="51415"/>
    <d v="2023-12-11T04:30:49"/>
    <n v="23"/>
    <s v="Female"/>
    <x v="1"/>
    <n v="679"/>
  </r>
  <r>
    <n v="1584"/>
    <n v="51416"/>
    <d v="2023-12-11T10:21:20"/>
    <n v="31"/>
    <s v="Male"/>
    <x v="3"/>
    <n v="3512"/>
  </r>
  <r>
    <n v="1060"/>
    <n v="51417"/>
    <d v="2023-12-11T16:11:51"/>
    <n v="49"/>
    <s v="Female"/>
    <x v="0"/>
    <n v="3418"/>
  </r>
  <r>
    <n v="1430"/>
    <n v="51418"/>
    <d v="2023-12-11T22:02:22"/>
    <n v="52"/>
    <s v="Female"/>
    <x v="2"/>
    <n v="2163"/>
  </r>
  <r>
    <n v="1309"/>
    <n v="51419"/>
    <d v="2023-12-12T03:52:53"/>
    <n v="27"/>
    <s v="Male"/>
    <x v="0"/>
    <n v="2342"/>
  </r>
  <r>
    <n v="1520"/>
    <n v="51420"/>
    <d v="2023-12-12T09:43:24"/>
    <n v="20"/>
    <s v="Female"/>
    <x v="3"/>
    <n v="4098"/>
  </r>
  <r>
    <n v="1591"/>
    <n v="51421"/>
    <d v="2023-12-12T15:33:55"/>
    <n v="29"/>
    <s v="Female"/>
    <x v="1"/>
    <n v="2272"/>
  </r>
  <r>
    <n v="1027"/>
    <n v="51422"/>
    <d v="2023-12-12T21:24:26"/>
    <n v="48"/>
    <s v="Female"/>
    <x v="0"/>
    <n v="1495"/>
  </r>
  <r>
    <n v="1562"/>
    <n v="51423"/>
    <d v="2023-12-13T03:14:57"/>
    <n v="46"/>
    <s v="Male"/>
    <x v="3"/>
    <n v="1138"/>
  </r>
  <r>
    <n v="1199"/>
    <n v="51424"/>
    <d v="2023-12-13T09:05:28"/>
    <n v="22"/>
    <s v="Female"/>
    <x v="3"/>
    <n v="961"/>
  </r>
  <r>
    <n v="1387"/>
    <n v="51425"/>
    <d v="2023-12-13T14:55:59"/>
    <n v="42"/>
    <s v="Female"/>
    <x v="0"/>
    <n v="4949"/>
  </r>
  <r>
    <n v="1349"/>
    <n v="51426"/>
    <d v="2023-12-13T20:46:30"/>
    <n v="58"/>
    <s v="Male"/>
    <x v="2"/>
    <n v="1869"/>
  </r>
  <r>
    <n v="1536"/>
    <n v="51427"/>
    <d v="2023-12-14T02:37:01"/>
    <n v="48"/>
    <s v="Male"/>
    <x v="0"/>
    <n v="4062"/>
  </r>
  <r>
    <n v="1378"/>
    <n v="51428"/>
    <d v="2023-12-14T08:27:32"/>
    <n v="38"/>
    <s v="Female"/>
    <x v="2"/>
    <n v="2885"/>
  </r>
  <r>
    <n v="1558"/>
    <n v="51429"/>
    <d v="2023-12-14T14:18:03"/>
    <n v="37"/>
    <s v="Female"/>
    <x v="1"/>
    <n v="4099"/>
  </r>
  <r>
    <n v="1527"/>
    <n v="51430"/>
    <d v="2023-12-14T20:08:34"/>
    <n v="56"/>
    <s v="Male"/>
    <x v="2"/>
    <n v="2131"/>
  </r>
  <r>
    <n v="1153"/>
    <n v="51431"/>
    <d v="2023-12-15T01:59:05"/>
    <n v="39"/>
    <s v="Female"/>
    <x v="1"/>
    <n v="4139"/>
  </r>
  <r>
    <n v="1206"/>
    <n v="51432"/>
    <d v="2023-12-15T07:49:36"/>
    <n v="21"/>
    <s v="Male"/>
    <x v="0"/>
    <n v="1326"/>
  </r>
  <r>
    <n v="1455"/>
    <n v="51433"/>
    <d v="2023-12-15T13:40:07"/>
    <n v="30"/>
    <s v="Female"/>
    <x v="1"/>
    <n v="3497"/>
  </r>
  <r>
    <n v="1273"/>
    <n v="51434"/>
    <d v="2023-12-15T19:30:38"/>
    <n v="62"/>
    <s v="Male"/>
    <x v="3"/>
    <n v="4870"/>
  </r>
  <r>
    <n v="1236"/>
    <n v="51435"/>
    <d v="2023-12-16T01:21:09"/>
    <n v="59"/>
    <s v="Female"/>
    <x v="1"/>
    <n v="1403"/>
  </r>
  <r>
    <n v="1521"/>
    <n v="51436"/>
    <d v="2023-12-16T07:11:40"/>
    <n v="37"/>
    <s v="Male"/>
    <x v="2"/>
    <n v="4335"/>
  </r>
  <r>
    <n v="1501"/>
    <n v="51437"/>
    <d v="2023-12-16T13:02:11"/>
    <n v="30"/>
    <s v="Male"/>
    <x v="2"/>
    <n v="3972"/>
  </r>
  <r>
    <n v="1117"/>
    <n v="51438"/>
    <d v="2023-12-16T18:52:42"/>
    <n v="34"/>
    <s v="Male"/>
    <x v="2"/>
    <n v="719"/>
  </r>
  <r>
    <n v="1386"/>
    <n v="51439"/>
    <d v="2023-12-17T00:43:13"/>
    <n v="53"/>
    <s v="Male"/>
    <x v="1"/>
    <n v="2483"/>
  </r>
  <r>
    <n v="1344"/>
    <n v="51440"/>
    <d v="2023-12-17T06:33:44"/>
    <n v="50"/>
    <s v="Male"/>
    <x v="2"/>
    <n v="4758"/>
  </r>
  <r>
    <n v="1584"/>
    <n v="51441"/>
    <d v="2023-12-17T12:24:15"/>
    <n v="18"/>
    <s v="Female"/>
    <x v="2"/>
    <n v="682"/>
  </r>
  <r>
    <n v="1395"/>
    <n v="51442"/>
    <d v="2023-12-17T18:14:46"/>
    <n v="32"/>
    <s v="Female"/>
    <x v="3"/>
    <n v="2677"/>
  </r>
  <r>
    <n v="1064"/>
    <n v="51443"/>
    <d v="2023-12-18T00:05:17"/>
    <n v="30"/>
    <s v="Male"/>
    <x v="1"/>
    <n v="3293"/>
  </r>
  <r>
    <n v="1072"/>
    <n v="51444"/>
    <d v="2023-12-18T05:55:48"/>
    <n v="34"/>
    <s v="Female"/>
    <x v="3"/>
    <n v="542"/>
  </r>
  <r>
    <n v="1274"/>
    <n v="51445"/>
    <d v="2023-12-18T11:46:19"/>
    <n v="41"/>
    <s v="Female"/>
    <x v="2"/>
    <n v="1662"/>
  </r>
  <r>
    <n v="1320"/>
    <n v="51446"/>
    <d v="2023-12-18T17:36:50"/>
    <n v="25"/>
    <s v="Female"/>
    <x v="2"/>
    <n v="1402"/>
  </r>
  <r>
    <n v="1338"/>
    <n v="51447"/>
    <d v="2023-12-18T23:27:21"/>
    <n v="44"/>
    <s v="Female"/>
    <x v="2"/>
    <n v="1821"/>
  </r>
  <r>
    <n v="1366"/>
    <n v="51448"/>
    <d v="2023-12-19T05:17:52"/>
    <n v="62"/>
    <s v="Female"/>
    <x v="1"/>
    <n v="2598"/>
  </r>
  <r>
    <n v="1495"/>
    <n v="51449"/>
    <d v="2023-12-19T11:08:23"/>
    <n v="40"/>
    <s v="Female"/>
    <x v="0"/>
    <n v="3796"/>
  </r>
  <r>
    <n v="1166"/>
    <n v="51450"/>
    <d v="2023-12-19T16:58:54"/>
    <n v="63"/>
    <s v="Male"/>
    <x v="2"/>
    <n v="3735"/>
  </r>
  <r>
    <n v="1544"/>
    <n v="51451"/>
    <d v="2023-12-19T22:49:25"/>
    <n v="25"/>
    <s v="Female"/>
    <x v="2"/>
    <n v="3077"/>
  </r>
  <r>
    <n v="1011"/>
    <n v="51452"/>
    <d v="2023-12-20T04:39:56"/>
    <n v="25"/>
    <s v="Female"/>
    <x v="2"/>
    <n v="2590"/>
  </r>
  <r>
    <n v="1301"/>
    <n v="51453"/>
    <d v="2023-12-20T10:30:27"/>
    <n v="43"/>
    <s v="Female"/>
    <x v="2"/>
    <n v="3551"/>
  </r>
  <r>
    <n v="1102"/>
    <n v="51454"/>
    <d v="2023-12-20T16:20:58"/>
    <n v="64"/>
    <s v="Male"/>
    <x v="1"/>
    <n v="3113"/>
  </r>
  <r>
    <n v="1425"/>
    <n v="51455"/>
    <d v="2023-12-20T22:11:29"/>
    <n v="30"/>
    <s v="Female"/>
    <x v="0"/>
    <n v="1389"/>
  </r>
  <r>
    <n v="1392"/>
    <n v="51456"/>
    <d v="2023-12-21T04:02:00"/>
    <n v="56"/>
    <s v="Female"/>
    <x v="0"/>
    <n v="2540"/>
  </r>
  <r>
    <n v="1214"/>
    <n v="51457"/>
    <d v="2023-12-21T09:52:31"/>
    <n v="54"/>
    <s v="Female"/>
    <x v="0"/>
    <n v="3780"/>
  </r>
  <r>
    <n v="1088"/>
    <n v="51458"/>
    <d v="2023-12-21T15:43:02"/>
    <n v="45"/>
    <s v="Male"/>
    <x v="2"/>
    <n v="1803"/>
  </r>
  <r>
    <n v="1553"/>
    <n v="51459"/>
    <d v="2023-12-21T21:33:33"/>
    <n v="42"/>
    <s v="Female"/>
    <x v="2"/>
    <n v="3497"/>
  </r>
  <r>
    <n v="1401"/>
    <n v="51460"/>
    <d v="2023-12-22T03:24:04"/>
    <n v="33"/>
    <s v="Male"/>
    <x v="0"/>
    <n v="797"/>
  </r>
  <r>
    <n v="1588"/>
    <n v="51461"/>
    <d v="2023-12-22T09:14:35"/>
    <n v="19"/>
    <s v="Female"/>
    <x v="0"/>
    <n v="844"/>
  </r>
  <r>
    <n v="1046"/>
    <n v="51462"/>
    <d v="2023-12-22T15:05:06"/>
    <n v="35"/>
    <s v="Male"/>
    <x v="2"/>
    <n v="4743"/>
  </r>
  <r>
    <n v="1463"/>
    <n v="51463"/>
    <d v="2023-12-22T20:55:37"/>
    <n v="34"/>
    <s v="Male"/>
    <x v="2"/>
    <n v="3102"/>
  </r>
  <r>
    <n v="1592"/>
    <n v="51464"/>
    <d v="2023-12-23T02:46:08"/>
    <n v="47"/>
    <s v="Male"/>
    <x v="3"/>
    <n v="963"/>
  </r>
  <r>
    <n v="1310"/>
    <n v="51465"/>
    <d v="2023-12-23T08:36:39"/>
    <n v="56"/>
    <s v="Female"/>
    <x v="3"/>
    <n v="1842"/>
  </r>
  <r>
    <n v="1086"/>
    <n v="51466"/>
    <d v="2023-12-23T14:27:10"/>
    <n v="30"/>
    <s v="Male"/>
    <x v="3"/>
    <n v="2497"/>
  </r>
  <r>
    <n v="1092"/>
    <n v="51467"/>
    <d v="2023-12-23T20:17:41"/>
    <n v="49"/>
    <s v="Male"/>
    <x v="0"/>
    <n v="4896"/>
  </r>
  <r>
    <n v="1242"/>
    <n v="51468"/>
    <d v="2023-12-24T02:08:12"/>
    <n v="46"/>
    <s v="Male"/>
    <x v="1"/>
    <n v="2372"/>
  </r>
  <r>
    <n v="1002"/>
    <n v="51469"/>
    <d v="2023-12-24T07:58:43"/>
    <n v="63"/>
    <s v="Male"/>
    <x v="2"/>
    <n v="2360"/>
  </r>
  <r>
    <n v="1225"/>
    <n v="51470"/>
    <d v="2023-12-24T13:49:14"/>
    <n v="47"/>
    <s v="Female"/>
    <x v="3"/>
    <n v="3949"/>
  </r>
  <r>
    <n v="1589"/>
    <n v="51471"/>
    <d v="2023-12-24T19:39:45"/>
    <n v="35"/>
    <s v="Female"/>
    <x v="1"/>
    <n v="3122"/>
  </r>
  <r>
    <n v="1116"/>
    <n v="51472"/>
    <d v="2023-12-25T01:30:16"/>
    <n v="30"/>
    <s v="Female"/>
    <x v="2"/>
    <n v="779"/>
  </r>
  <r>
    <n v="1103"/>
    <n v="51473"/>
    <d v="2023-12-25T07:20:47"/>
    <n v="60"/>
    <s v="Female"/>
    <x v="1"/>
    <n v="4004"/>
  </r>
  <r>
    <n v="1194"/>
    <n v="51474"/>
    <d v="2023-12-25T13:11:18"/>
    <n v="38"/>
    <s v="Male"/>
    <x v="0"/>
    <n v="2568"/>
  </r>
  <r>
    <n v="1166"/>
    <n v="51475"/>
    <d v="2023-12-25T19:01:49"/>
    <n v="47"/>
    <s v="Female"/>
    <x v="0"/>
    <n v="4132"/>
  </r>
  <r>
    <n v="1090"/>
    <n v="51476"/>
    <d v="2023-12-26T00:52:20"/>
    <n v="38"/>
    <s v="Male"/>
    <x v="0"/>
    <n v="4827"/>
  </r>
  <r>
    <n v="1122"/>
    <n v="51477"/>
    <d v="2023-12-26T06:42:51"/>
    <n v="34"/>
    <s v="Female"/>
    <x v="3"/>
    <n v="3560"/>
  </r>
  <r>
    <n v="1143"/>
    <n v="51478"/>
    <d v="2023-12-26T12:33:22"/>
    <n v="57"/>
    <s v="Female"/>
    <x v="2"/>
    <n v="4907"/>
  </r>
  <r>
    <n v="1106"/>
    <n v="51479"/>
    <d v="2023-12-26T18:23:53"/>
    <n v="36"/>
    <s v="Female"/>
    <x v="0"/>
    <n v="1300"/>
  </r>
  <r>
    <n v="1428"/>
    <n v="51480"/>
    <d v="2023-12-27T00:14:24"/>
    <n v="32"/>
    <s v="Male"/>
    <x v="3"/>
    <n v="1870"/>
  </r>
  <r>
    <n v="1305"/>
    <n v="51481"/>
    <d v="2023-12-27T06:04:55"/>
    <n v="26"/>
    <s v="Female"/>
    <x v="3"/>
    <n v="2420"/>
  </r>
  <r>
    <n v="1317"/>
    <n v="51482"/>
    <d v="2023-12-27T11:55:26"/>
    <n v="27"/>
    <s v="Female"/>
    <x v="3"/>
    <n v="416"/>
  </r>
  <r>
    <n v="1009"/>
    <n v="51483"/>
    <d v="2023-12-27T17:45:57"/>
    <n v="61"/>
    <s v="Female"/>
    <x v="3"/>
    <n v="575"/>
  </r>
  <r>
    <n v="1073"/>
    <n v="51484"/>
    <d v="2023-12-27T23:36:28"/>
    <n v="48"/>
    <s v="Male"/>
    <x v="0"/>
    <n v="1809"/>
  </r>
  <r>
    <n v="1359"/>
    <n v="51485"/>
    <d v="2023-12-28T05:26:59"/>
    <n v="40"/>
    <s v="Female"/>
    <x v="3"/>
    <n v="4306"/>
  </r>
  <r>
    <n v="1223"/>
    <n v="51486"/>
    <d v="2023-12-28T11:17:30"/>
    <n v="47"/>
    <s v="Female"/>
    <x v="0"/>
    <n v="4039"/>
  </r>
  <r>
    <n v="1416"/>
    <n v="51487"/>
    <d v="2023-12-28T17:08:01"/>
    <n v="50"/>
    <s v="Male"/>
    <x v="0"/>
    <n v="3139"/>
  </r>
  <r>
    <n v="1553"/>
    <n v="51488"/>
    <d v="2023-12-28T22:58:32"/>
    <n v="26"/>
    <s v="Male"/>
    <x v="3"/>
    <n v="4262"/>
  </r>
  <r>
    <n v="1370"/>
    <n v="51489"/>
    <d v="2023-12-29T04:49:03"/>
    <n v="64"/>
    <s v="Female"/>
    <x v="0"/>
    <n v="1813"/>
  </r>
  <r>
    <n v="1264"/>
    <n v="51490"/>
    <d v="2023-12-29T10:39:34"/>
    <n v="18"/>
    <s v="Female"/>
    <x v="2"/>
    <n v="3879"/>
  </r>
  <r>
    <n v="1318"/>
    <n v="51491"/>
    <d v="2023-12-29T16:30:05"/>
    <n v="61"/>
    <s v="Female"/>
    <x v="2"/>
    <n v="1496"/>
  </r>
  <r>
    <n v="1084"/>
    <n v="51492"/>
    <d v="2023-12-29T22:20:36"/>
    <n v="52"/>
    <s v="Male"/>
    <x v="1"/>
    <n v="4196"/>
  </r>
  <r>
    <n v="1318"/>
    <n v="51493"/>
    <d v="2023-12-30T04:11:07"/>
    <n v="28"/>
    <s v="Male"/>
    <x v="2"/>
    <n v="4986"/>
  </r>
  <r>
    <n v="1111"/>
    <n v="51494"/>
    <d v="2023-12-30T10:01:38"/>
    <n v="51"/>
    <s v="Male"/>
    <x v="0"/>
    <n v="1355"/>
  </r>
  <r>
    <n v="1251"/>
    <n v="51495"/>
    <d v="2023-12-30T15:52:09"/>
    <n v="33"/>
    <s v="Female"/>
    <x v="0"/>
    <n v="2566"/>
  </r>
  <r>
    <n v="1383"/>
    <n v="51496"/>
    <d v="2023-12-30T21:42:40"/>
    <n v="26"/>
    <s v="Male"/>
    <x v="2"/>
    <n v="3091"/>
  </r>
  <r>
    <n v="1007"/>
    <n v="51497"/>
    <d v="2023-12-31T03:33:11"/>
    <n v="49"/>
    <s v="Female"/>
    <x v="3"/>
    <n v="2172"/>
  </r>
  <r>
    <n v="1459"/>
    <n v="51498"/>
    <d v="2023-12-31T09:23:42"/>
    <n v="32"/>
    <s v="Male"/>
    <x v="3"/>
    <n v="984"/>
  </r>
  <r>
    <n v="1084"/>
    <n v="51499"/>
    <d v="2023-12-31T15:14:13"/>
    <n v="29"/>
    <s v="Male"/>
    <x v="0"/>
    <n v="4692"/>
  </r>
  <r>
    <n v="1208"/>
    <n v="51500"/>
    <d v="2023-12-31T21:04:44"/>
    <n v="50"/>
    <s v="Male"/>
    <x v="3"/>
    <n v="1281"/>
  </r>
  <r>
    <n v="1390"/>
    <n v="51501"/>
    <d v="2024-01-01T02:55:16"/>
    <n v="62"/>
    <s v="Female"/>
    <x v="1"/>
    <n v="2233"/>
  </r>
  <r>
    <n v="1314"/>
    <n v="51502"/>
    <d v="2024-01-01T08:45:47"/>
    <n v="31"/>
    <s v="Female"/>
    <x v="1"/>
    <n v="1814"/>
  </r>
  <r>
    <n v="1022"/>
    <n v="51503"/>
    <d v="2024-01-01T14:36:18"/>
    <n v="25"/>
    <s v="Female"/>
    <x v="2"/>
    <n v="4755"/>
  </r>
  <r>
    <n v="1410"/>
    <n v="51504"/>
    <d v="2024-01-01T20:26:49"/>
    <n v="25"/>
    <s v="Female"/>
    <x v="2"/>
    <n v="2616"/>
  </r>
  <r>
    <n v="1515"/>
    <n v="51505"/>
    <d v="2024-01-02T02:17:20"/>
    <n v="44"/>
    <s v="Male"/>
    <x v="3"/>
    <n v="4841"/>
  </r>
  <r>
    <n v="1127"/>
    <n v="51506"/>
    <d v="2024-01-02T08:07:51"/>
    <n v="29"/>
    <s v="Female"/>
    <x v="0"/>
    <n v="3853"/>
  </r>
  <r>
    <n v="1014"/>
    <n v="51507"/>
    <d v="2024-01-02T13:58:22"/>
    <n v="18"/>
    <s v="Male"/>
    <x v="2"/>
    <n v="696"/>
  </r>
  <r>
    <n v="1012"/>
    <n v="51508"/>
    <d v="2024-01-02T19:48:53"/>
    <n v="60"/>
    <s v="Female"/>
    <x v="1"/>
    <n v="704"/>
  </r>
  <r>
    <n v="1087"/>
    <n v="51509"/>
    <d v="2024-01-03T01:39:24"/>
    <n v="57"/>
    <s v="Female"/>
    <x v="2"/>
    <n v="3586"/>
  </r>
  <r>
    <n v="1524"/>
    <n v="51510"/>
    <d v="2024-01-03T07:29:55"/>
    <n v="59"/>
    <s v="Male"/>
    <x v="2"/>
    <n v="2408"/>
  </r>
  <r>
    <n v="1537"/>
    <n v="51511"/>
    <d v="2024-01-03T13:20:26"/>
    <n v="28"/>
    <s v="Male"/>
    <x v="1"/>
    <n v="3416"/>
  </r>
  <r>
    <n v="1301"/>
    <n v="51512"/>
    <d v="2024-01-03T19:10:57"/>
    <n v="56"/>
    <s v="Female"/>
    <x v="0"/>
    <n v="3866"/>
  </r>
  <r>
    <n v="1243"/>
    <n v="51513"/>
    <d v="2024-01-04T01:01:28"/>
    <n v="60"/>
    <s v="Female"/>
    <x v="2"/>
    <n v="1608"/>
  </r>
  <r>
    <n v="1122"/>
    <n v="51514"/>
    <d v="2024-01-04T06:51:59"/>
    <n v="48"/>
    <s v="Male"/>
    <x v="2"/>
    <n v="4564"/>
  </r>
  <r>
    <n v="1147"/>
    <n v="51515"/>
    <d v="2024-01-04T12:42:30"/>
    <n v="34"/>
    <s v="Male"/>
    <x v="2"/>
    <n v="4277"/>
  </r>
  <r>
    <n v="1567"/>
    <n v="51516"/>
    <d v="2024-01-04T18:33:01"/>
    <n v="50"/>
    <s v="Male"/>
    <x v="3"/>
    <n v="1677"/>
  </r>
  <r>
    <n v="1356"/>
    <n v="51517"/>
    <d v="2024-01-05T00:23:32"/>
    <n v="49"/>
    <s v="Male"/>
    <x v="2"/>
    <n v="2597"/>
  </r>
  <r>
    <n v="1309"/>
    <n v="51518"/>
    <d v="2024-01-05T06:14:03"/>
    <n v="46"/>
    <s v="Male"/>
    <x v="1"/>
    <n v="309"/>
  </r>
  <r>
    <n v="1288"/>
    <n v="51519"/>
    <d v="2024-01-05T12:04:34"/>
    <n v="38"/>
    <s v="Female"/>
    <x v="0"/>
    <n v="3754"/>
  </r>
  <r>
    <n v="1307"/>
    <n v="51520"/>
    <d v="2024-01-05T17:55:05"/>
    <n v="38"/>
    <s v="Female"/>
    <x v="0"/>
    <n v="849"/>
  </r>
  <r>
    <n v="1594"/>
    <n v="51521"/>
    <d v="2024-01-05T23:45:36"/>
    <n v="57"/>
    <s v="Female"/>
    <x v="1"/>
    <n v="1699"/>
  </r>
  <r>
    <n v="1549"/>
    <n v="51522"/>
    <d v="2024-01-06T05:36:07"/>
    <n v="40"/>
    <s v="Female"/>
    <x v="3"/>
    <n v="795"/>
  </r>
  <r>
    <n v="1352"/>
    <n v="51523"/>
    <d v="2024-01-06T11:26:38"/>
    <n v="23"/>
    <s v="Male"/>
    <x v="1"/>
    <n v="1178"/>
  </r>
  <r>
    <n v="1312"/>
    <n v="51524"/>
    <d v="2024-01-06T17:17:09"/>
    <n v="39"/>
    <s v="Male"/>
    <x v="0"/>
    <n v="930"/>
  </r>
  <r>
    <n v="1059"/>
    <n v="51525"/>
    <d v="2024-01-06T23:07:40"/>
    <n v="55"/>
    <s v="Male"/>
    <x v="1"/>
    <n v="256"/>
  </r>
  <r>
    <n v="1035"/>
    <n v="51526"/>
    <d v="2024-01-07T04:58:11"/>
    <n v="54"/>
    <s v="Female"/>
    <x v="3"/>
    <n v="2443"/>
  </r>
  <r>
    <n v="1445"/>
    <n v="51527"/>
    <d v="2024-01-07T10:48:42"/>
    <n v="62"/>
    <s v="Male"/>
    <x v="0"/>
    <n v="1901"/>
  </r>
  <r>
    <n v="1093"/>
    <n v="51528"/>
    <d v="2024-01-07T16:39:13"/>
    <n v="25"/>
    <s v="Male"/>
    <x v="3"/>
    <n v="1486"/>
  </r>
  <r>
    <n v="1207"/>
    <n v="51529"/>
    <d v="2024-01-07T22:29:44"/>
    <n v="58"/>
    <s v="Female"/>
    <x v="1"/>
    <n v="311"/>
  </r>
  <r>
    <n v="1353"/>
    <n v="51530"/>
    <d v="2024-01-08T04:20:15"/>
    <n v="52"/>
    <s v="Female"/>
    <x v="2"/>
    <n v="1401"/>
  </r>
  <r>
    <n v="1332"/>
    <n v="51531"/>
    <d v="2024-01-08T10:10:46"/>
    <n v="28"/>
    <s v="Female"/>
    <x v="1"/>
    <n v="1147"/>
  </r>
  <r>
    <n v="1159"/>
    <n v="51532"/>
    <d v="2024-01-08T16:01:17"/>
    <n v="41"/>
    <s v="Male"/>
    <x v="3"/>
    <n v="4321"/>
  </r>
  <r>
    <n v="1024"/>
    <n v="51533"/>
    <d v="2024-01-08T21:51:48"/>
    <n v="38"/>
    <s v="Male"/>
    <x v="1"/>
    <n v="957"/>
  </r>
  <r>
    <n v="1404"/>
    <n v="51534"/>
    <d v="2024-01-09T03:42:19"/>
    <n v="19"/>
    <s v="Female"/>
    <x v="2"/>
    <n v="3588"/>
  </r>
  <r>
    <n v="1516"/>
    <n v="51535"/>
    <d v="2024-01-09T09:32:50"/>
    <n v="57"/>
    <s v="Female"/>
    <x v="3"/>
    <n v="2041"/>
  </r>
  <r>
    <n v="1364"/>
    <n v="51536"/>
    <d v="2024-01-09T15:23:21"/>
    <n v="36"/>
    <s v="Male"/>
    <x v="1"/>
    <n v="3735"/>
  </r>
  <r>
    <n v="1382"/>
    <n v="51537"/>
    <d v="2024-01-09T21:13:52"/>
    <n v="56"/>
    <s v="Female"/>
    <x v="3"/>
    <n v="2493"/>
  </r>
  <r>
    <n v="1532"/>
    <n v="51538"/>
    <d v="2024-01-10T03:04:23"/>
    <n v="45"/>
    <s v="Male"/>
    <x v="3"/>
    <n v="1304"/>
  </r>
  <r>
    <n v="1152"/>
    <n v="51539"/>
    <d v="2024-01-10T08:54:54"/>
    <n v="34"/>
    <s v="Female"/>
    <x v="0"/>
    <n v="861"/>
  </r>
  <r>
    <n v="1562"/>
    <n v="51540"/>
    <d v="2024-01-10T14:45:25"/>
    <n v="23"/>
    <s v="Female"/>
    <x v="0"/>
    <n v="1108"/>
  </r>
  <r>
    <n v="1420"/>
    <n v="51541"/>
    <d v="2024-01-10T20:35:56"/>
    <n v="36"/>
    <s v="Female"/>
    <x v="3"/>
    <n v="4817"/>
  </r>
  <r>
    <n v="1250"/>
    <n v="51542"/>
    <d v="2024-01-11T02:26:27"/>
    <n v="55"/>
    <s v="Male"/>
    <x v="1"/>
    <n v="2056"/>
  </r>
  <r>
    <n v="1117"/>
    <n v="51543"/>
    <d v="2024-01-11T08:16:58"/>
    <n v="45"/>
    <s v="Male"/>
    <x v="1"/>
    <n v="2511"/>
  </r>
  <r>
    <n v="1512"/>
    <n v="51544"/>
    <d v="2024-01-11T14:07:29"/>
    <n v="19"/>
    <s v="Female"/>
    <x v="1"/>
    <n v="989"/>
  </r>
  <r>
    <n v="1578"/>
    <n v="51545"/>
    <d v="2024-01-11T19:58:00"/>
    <n v="55"/>
    <s v="Male"/>
    <x v="2"/>
    <n v="371"/>
  </r>
  <r>
    <n v="1335"/>
    <n v="51546"/>
    <d v="2024-01-12T01:48:31"/>
    <n v="54"/>
    <s v="Female"/>
    <x v="3"/>
    <n v="4560"/>
  </r>
  <r>
    <n v="1418"/>
    <n v="51547"/>
    <d v="2024-01-12T07:39:02"/>
    <n v="21"/>
    <s v="Female"/>
    <x v="3"/>
    <n v="2186"/>
  </r>
  <r>
    <n v="1295"/>
    <n v="51548"/>
    <d v="2024-01-12T13:29:33"/>
    <n v="39"/>
    <s v="Male"/>
    <x v="2"/>
    <n v="2085"/>
  </r>
  <r>
    <n v="1371"/>
    <n v="51549"/>
    <d v="2024-01-12T19:20:04"/>
    <n v="43"/>
    <s v="Male"/>
    <x v="3"/>
    <n v="675"/>
  </r>
  <r>
    <n v="1186"/>
    <n v="51550"/>
    <d v="2024-01-13T01:10:35"/>
    <n v="60"/>
    <s v="Male"/>
    <x v="3"/>
    <n v="1249"/>
  </r>
  <r>
    <n v="1246"/>
    <n v="51551"/>
    <d v="2024-01-13T07:01:06"/>
    <n v="53"/>
    <s v="Male"/>
    <x v="2"/>
    <n v="4329"/>
  </r>
  <r>
    <n v="1268"/>
    <n v="51552"/>
    <d v="2024-01-13T12:51:37"/>
    <n v="30"/>
    <s v="Female"/>
    <x v="0"/>
    <n v="2511"/>
  </r>
  <r>
    <n v="1237"/>
    <n v="51553"/>
    <d v="2024-01-13T18:42:08"/>
    <n v="49"/>
    <s v="Male"/>
    <x v="3"/>
    <n v="1361"/>
  </r>
  <r>
    <n v="1530"/>
    <n v="51554"/>
    <d v="2024-01-14T00:32:39"/>
    <n v="34"/>
    <s v="Male"/>
    <x v="2"/>
    <n v="1015"/>
  </r>
  <r>
    <n v="1552"/>
    <n v="51555"/>
    <d v="2024-01-14T06:23:10"/>
    <n v="58"/>
    <s v="Female"/>
    <x v="1"/>
    <n v="3966"/>
  </r>
  <r>
    <n v="1021"/>
    <n v="51556"/>
    <d v="2024-01-14T12:13:41"/>
    <n v="53"/>
    <s v="Female"/>
    <x v="0"/>
    <n v="3122"/>
  </r>
  <r>
    <n v="1520"/>
    <n v="51557"/>
    <d v="2024-01-14T18:04:12"/>
    <n v="63"/>
    <s v="Female"/>
    <x v="1"/>
    <n v="953"/>
  </r>
  <r>
    <n v="1100"/>
    <n v="51558"/>
    <d v="2024-01-14T23:54:43"/>
    <n v="36"/>
    <s v="Female"/>
    <x v="3"/>
    <n v="4861"/>
  </r>
  <r>
    <n v="1478"/>
    <n v="51559"/>
    <d v="2024-01-15T05:45:14"/>
    <n v="52"/>
    <s v="Male"/>
    <x v="0"/>
    <n v="661"/>
  </r>
  <r>
    <n v="1599"/>
    <n v="51560"/>
    <d v="2024-01-15T11:35:45"/>
    <n v="63"/>
    <s v="Male"/>
    <x v="2"/>
    <n v="3439"/>
  </r>
  <r>
    <n v="1298"/>
    <n v="51561"/>
    <d v="2024-01-15T17:26:16"/>
    <n v="57"/>
    <s v="Female"/>
    <x v="3"/>
    <n v="2902"/>
  </r>
  <r>
    <n v="1526"/>
    <n v="51562"/>
    <d v="2024-01-15T23:16:47"/>
    <n v="45"/>
    <s v="Female"/>
    <x v="2"/>
    <n v="280"/>
  </r>
  <r>
    <n v="1334"/>
    <n v="51563"/>
    <d v="2024-01-16T05:07:18"/>
    <n v="18"/>
    <s v="Male"/>
    <x v="0"/>
    <n v="3004"/>
  </r>
  <r>
    <n v="1002"/>
    <n v="51564"/>
    <d v="2024-01-16T10:57:49"/>
    <n v="59"/>
    <s v="Male"/>
    <x v="1"/>
    <n v="1069"/>
  </r>
  <r>
    <n v="1375"/>
    <n v="51565"/>
    <d v="2024-01-16T16:48:20"/>
    <n v="35"/>
    <s v="Male"/>
    <x v="3"/>
    <n v="4894"/>
  </r>
  <r>
    <n v="1293"/>
    <n v="51566"/>
    <d v="2024-01-16T22:38:51"/>
    <n v="57"/>
    <s v="Male"/>
    <x v="3"/>
    <n v="1006"/>
  </r>
  <r>
    <n v="1553"/>
    <n v="51567"/>
    <d v="2024-01-17T04:29:22"/>
    <n v="50"/>
    <s v="Male"/>
    <x v="2"/>
    <n v="2134"/>
  </r>
  <r>
    <n v="1318"/>
    <n v="51568"/>
    <d v="2024-01-17T10:19:53"/>
    <n v="29"/>
    <s v="Female"/>
    <x v="0"/>
    <n v="903"/>
  </r>
  <r>
    <n v="1502"/>
    <n v="51569"/>
    <d v="2024-01-17T16:10:24"/>
    <n v="25"/>
    <s v="Female"/>
    <x v="2"/>
    <n v="2723"/>
  </r>
  <r>
    <n v="1381"/>
    <n v="51570"/>
    <d v="2024-01-17T22:00:55"/>
    <n v="41"/>
    <s v="Female"/>
    <x v="0"/>
    <n v="2839"/>
  </r>
  <r>
    <n v="1014"/>
    <n v="51571"/>
    <d v="2024-01-18T03:51:26"/>
    <n v="33"/>
    <s v="Female"/>
    <x v="3"/>
    <n v="4782"/>
  </r>
  <r>
    <n v="1504"/>
    <n v="51572"/>
    <d v="2024-01-18T09:41:57"/>
    <n v="21"/>
    <s v="Male"/>
    <x v="0"/>
    <n v="4109"/>
  </r>
  <r>
    <n v="1231"/>
    <n v="51573"/>
    <d v="2024-01-18T15:32:28"/>
    <n v="55"/>
    <s v="Female"/>
    <x v="3"/>
    <n v="1364"/>
  </r>
  <r>
    <n v="1084"/>
    <n v="51574"/>
    <d v="2024-01-18T21:22:59"/>
    <n v="61"/>
    <s v="Male"/>
    <x v="0"/>
    <n v="819"/>
  </r>
  <r>
    <n v="1130"/>
    <n v="51575"/>
    <d v="2024-01-19T03:13:30"/>
    <n v="44"/>
    <s v="Male"/>
    <x v="1"/>
    <n v="3266"/>
  </r>
  <r>
    <n v="1145"/>
    <n v="51576"/>
    <d v="2024-01-19T09:04:01"/>
    <n v="26"/>
    <s v="Male"/>
    <x v="0"/>
    <n v="646"/>
  </r>
  <r>
    <n v="1028"/>
    <n v="51577"/>
    <d v="2024-01-19T14:54:32"/>
    <n v="64"/>
    <s v="Male"/>
    <x v="1"/>
    <n v="2537"/>
  </r>
  <r>
    <n v="1066"/>
    <n v="51578"/>
    <d v="2024-01-19T20:45:03"/>
    <n v="33"/>
    <s v="Male"/>
    <x v="0"/>
    <n v="408"/>
  </r>
  <r>
    <n v="1163"/>
    <n v="51579"/>
    <d v="2024-01-20T02:35:34"/>
    <n v="29"/>
    <s v="Male"/>
    <x v="0"/>
    <n v="2660"/>
  </r>
  <r>
    <n v="1229"/>
    <n v="51580"/>
    <d v="2024-01-20T08:26:05"/>
    <n v="48"/>
    <s v="Male"/>
    <x v="2"/>
    <n v="3642"/>
  </r>
  <r>
    <n v="1261"/>
    <n v="51581"/>
    <d v="2024-01-20T14:16:36"/>
    <n v="41"/>
    <s v="Female"/>
    <x v="2"/>
    <n v="2911"/>
  </r>
  <r>
    <n v="1449"/>
    <n v="51582"/>
    <d v="2024-01-20T20:07:07"/>
    <n v="31"/>
    <s v="Male"/>
    <x v="3"/>
    <n v="2537"/>
  </r>
  <r>
    <n v="1424"/>
    <n v="51583"/>
    <d v="2024-01-21T01:57:38"/>
    <n v="62"/>
    <s v="Female"/>
    <x v="2"/>
    <n v="1491"/>
  </r>
  <r>
    <n v="1460"/>
    <n v="51584"/>
    <d v="2024-01-21T07:48:09"/>
    <n v="42"/>
    <s v="Female"/>
    <x v="0"/>
    <n v="2398"/>
  </r>
  <r>
    <n v="1301"/>
    <n v="51585"/>
    <d v="2024-01-21T13:38:40"/>
    <n v="51"/>
    <s v="Male"/>
    <x v="2"/>
    <n v="1600"/>
  </r>
  <r>
    <n v="1303"/>
    <n v="51586"/>
    <d v="2024-01-21T19:29:11"/>
    <n v="20"/>
    <s v="Male"/>
    <x v="0"/>
    <n v="2855"/>
  </r>
  <r>
    <n v="1287"/>
    <n v="51587"/>
    <d v="2024-01-22T01:19:42"/>
    <n v="41"/>
    <s v="Female"/>
    <x v="1"/>
    <n v="4212"/>
  </r>
  <r>
    <n v="1395"/>
    <n v="51588"/>
    <d v="2024-01-22T07:10:13"/>
    <n v="59"/>
    <s v="Female"/>
    <x v="0"/>
    <n v="904"/>
  </r>
  <r>
    <n v="1010"/>
    <n v="51589"/>
    <d v="2024-01-22T13:00:44"/>
    <n v="26"/>
    <s v="Female"/>
    <x v="3"/>
    <n v="1025"/>
  </r>
  <r>
    <n v="1270"/>
    <n v="51590"/>
    <d v="2024-01-22T18:51:15"/>
    <n v="43"/>
    <s v="Female"/>
    <x v="1"/>
    <n v="1204"/>
  </r>
  <r>
    <n v="1592"/>
    <n v="51591"/>
    <d v="2024-01-23T00:41:46"/>
    <n v="37"/>
    <s v="Male"/>
    <x v="3"/>
    <n v="3660"/>
  </r>
  <r>
    <n v="1361"/>
    <n v="51592"/>
    <d v="2024-01-23T06:32:17"/>
    <n v="57"/>
    <s v="Male"/>
    <x v="3"/>
    <n v="576"/>
  </r>
  <r>
    <n v="1257"/>
    <n v="51593"/>
    <d v="2024-01-23T12:22:48"/>
    <n v="27"/>
    <s v="Male"/>
    <x v="3"/>
    <n v="1172"/>
  </r>
  <r>
    <n v="1133"/>
    <n v="51594"/>
    <d v="2024-01-23T18:13:19"/>
    <n v="36"/>
    <s v="Female"/>
    <x v="2"/>
    <n v="4413"/>
  </r>
  <r>
    <n v="1276"/>
    <n v="51595"/>
    <d v="2024-01-24T00:03:50"/>
    <n v="20"/>
    <s v="Male"/>
    <x v="3"/>
    <n v="3276"/>
  </r>
  <r>
    <n v="1513"/>
    <n v="51596"/>
    <d v="2024-01-24T05:54:21"/>
    <n v="41"/>
    <s v="Female"/>
    <x v="1"/>
    <n v="643"/>
  </r>
  <r>
    <n v="1313"/>
    <n v="51597"/>
    <d v="2024-01-24T11:44:52"/>
    <n v="22"/>
    <s v="Male"/>
    <x v="0"/>
    <n v="954"/>
  </r>
  <r>
    <n v="1576"/>
    <n v="51598"/>
    <d v="2024-01-24T17:35:24"/>
    <n v="20"/>
    <s v="Female"/>
    <x v="3"/>
    <n v="3804"/>
  </r>
  <r>
    <n v="1284"/>
    <n v="51599"/>
    <d v="2024-01-24T23:25:55"/>
    <n v="44"/>
    <s v="Male"/>
    <x v="1"/>
    <n v="4935"/>
  </r>
  <r>
    <n v="1121"/>
    <n v="51600"/>
    <d v="2024-01-25T05:16:26"/>
    <n v="33"/>
    <s v="Male"/>
    <x v="3"/>
    <n v="2371"/>
  </r>
  <r>
    <n v="1107"/>
    <n v="51601"/>
    <d v="2024-01-25T11:06:57"/>
    <n v="32"/>
    <s v="Female"/>
    <x v="0"/>
    <n v="2905"/>
  </r>
  <r>
    <n v="1204"/>
    <n v="51602"/>
    <d v="2024-01-25T16:57:28"/>
    <n v="52"/>
    <s v="Female"/>
    <x v="1"/>
    <n v="3665"/>
  </r>
  <r>
    <n v="1165"/>
    <n v="51603"/>
    <d v="2024-01-25T22:47:59"/>
    <n v="29"/>
    <s v="Female"/>
    <x v="1"/>
    <n v="2911"/>
  </r>
  <r>
    <n v="1305"/>
    <n v="51604"/>
    <d v="2024-01-26T04:38:30"/>
    <n v="58"/>
    <s v="Female"/>
    <x v="0"/>
    <n v="2607"/>
  </r>
  <r>
    <n v="1497"/>
    <n v="51605"/>
    <d v="2024-01-26T10:29:01"/>
    <n v="61"/>
    <s v="Female"/>
    <x v="1"/>
    <n v="822"/>
  </r>
  <r>
    <n v="1556"/>
    <n v="51606"/>
    <d v="2024-01-26T16:19:32"/>
    <n v="43"/>
    <s v="Male"/>
    <x v="0"/>
    <n v="1923"/>
  </r>
  <r>
    <n v="1156"/>
    <n v="51607"/>
    <d v="2024-01-26T22:10:03"/>
    <n v="64"/>
    <s v="Female"/>
    <x v="1"/>
    <n v="3522"/>
  </r>
  <r>
    <n v="1367"/>
    <n v="51608"/>
    <d v="2024-01-27T04:00:34"/>
    <n v="51"/>
    <s v="Male"/>
    <x v="1"/>
    <n v="2119"/>
  </r>
  <r>
    <n v="1251"/>
    <n v="51609"/>
    <d v="2024-01-27T09:51:05"/>
    <n v="40"/>
    <s v="Male"/>
    <x v="0"/>
    <n v="1118"/>
  </r>
  <r>
    <n v="1334"/>
    <n v="51610"/>
    <d v="2024-01-27T15:41:36"/>
    <n v="48"/>
    <s v="Male"/>
    <x v="0"/>
    <n v="4415"/>
  </r>
  <r>
    <n v="1511"/>
    <n v="51611"/>
    <d v="2024-01-27T21:32:07"/>
    <n v="37"/>
    <s v="Male"/>
    <x v="1"/>
    <n v="781"/>
  </r>
  <r>
    <n v="1293"/>
    <n v="51612"/>
    <d v="2024-01-28T03:22:38"/>
    <n v="29"/>
    <s v="Male"/>
    <x v="1"/>
    <n v="4081"/>
  </r>
  <r>
    <n v="1020"/>
    <n v="51613"/>
    <d v="2024-01-28T09:13:09"/>
    <n v="40"/>
    <s v="Female"/>
    <x v="0"/>
    <n v="1886"/>
  </r>
  <r>
    <n v="1282"/>
    <n v="51614"/>
    <d v="2024-01-28T15:03:40"/>
    <n v="21"/>
    <s v="Female"/>
    <x v="2"/>
    <n v="4109"/>
  </r>
  <r>
    <n v="1001"/>
    <n v="51615"/>
    <d v="2024-01-28T20:54:11"/>
    <n v="40"/>
    <s v="Male"/>
    <x v="0"/>
    <n v="2199"/>
  </r>
  <r>
    <n v="1119"/>
    <n v="51616"/>
    <d v="2024-01-29T02:44:42"/>
    <n v="18"/>
    <s v="Male"/>
    <x v="1"/>
    <n v="2911"/>
  </r>
  <r>
    <n v="1035"/>
    <n v="51617"/>
    <d v="2024-01-29T08:35:13"/>
    <n v="42"/>
    <s v="Female"/>
    <x v="1"/>
    <n v="600"/>
  </r>
  <r>
    <n v="1198"/>
    <n v="51618"/>
    <d v="2024-01-29T14:25:44"/>
    <n v="19"/>
    <s v="Female"/>
    <x v="1"/>
    <n v="3848"/>
  </r>
  <r>
    <n v="1485"/>
    <n v="51619"/>
    <d v="2024-01-29T20:16:15"/>
    <n v="47"/>
    <s v="Male"/>
    <x v="0"/>
    <n v="2828"/>
  </r>
  <r>
    <n v="1059"/>
    <n v="51620"/>
    <d v="2024-01-30T02:06:46"/>
    <n v="20"/>
    <s v="Female"/>
    <x v="1"/>
    <n v="1856"/>
  </r>
  <r>
    <n v="1161"/>
    <n v="51621"/>
    <d v="2024-01-30T07:57:17"/>
    <n v="38"/>
    <s v="Female"/>
    <x v="2"/>
    <n v="820"/>
  </r>
  <r>
    <n v="1206"/>
    <n v="51622"/>
    <d v="2024-01-30T13:47:48"/>
    <n v="42"/>
    <s v="Female"/>
    <x v="3"/>
    <n v="446"/>
  </r>
  <r>
    <n v="1012"/>
    <n v="51623"/>
    <d v="2024-01-30T19:38:19"/>
    <n v="37"/>
    <s v="Male"/>
    <x v="2"/>
    <n v="3539"/>
  </r>
  <r>
    <n v="1490"/>
    <n v="51624"/>
    <d v="2024-01-31T01:28:50"/>
    <n v="39"/>
    <s v="Female"/>
    <x v="0"/>
    <n v="3210"/>
  </r>
  <r>
    <n v="1276"/>
    <n v="51625"/>
    <d v="2024-01-31T07:19:21"/>
    <n v="38"/>
    <s v="Male"/>
    <x v="1"/>
    <n v="4919"/>
  </r>
  <r>
    <n v="1242"/>
    <n v="51626"/>
    <d v="2024-01-31T13:09:52"/>
    <n v="50"/>
    <s v="Male"/>
    <x v="0"/>
    <n v="2568"/>
  </r>
  <r>
    <n v="1216"/>
    <n v="51627"/>
    <d v="2024-01-31T19:00:23"/>
    <n v="55"/>
    <s v="Male"/>
    <x v="3"/>
    <n v="4194"/>
  </r>
  <r>
    <n v="1251"/>
    <n v="51628"/>
    <d v="2024-02-01T00:50:54"/>
    <n v="32"/>
    <s v="Male"/>
    <x v="0"/>
    <n v="2039"/>
  </r>
  <r>
    <n v="1126"/>
    <n v="51629"/>
    <d v="2024-02-01T06:41:25"/>
    <n v="63"/>
    <s v="Male"/>
    <x v="1"/>
    <n v="3103"/>
  </r>
  <r>
    <n v="1217"/>
    <n v="51630"/>
    <d v="2024-02-01T12:31:56"/>
    <n v="32"/>
    <s v="Female"/>
    <x v="3"/>
    <n v="4595"/>
  </r>
  <r>
    <n v="1306"/>
    <n v="51631"/>
    <d v="2024-02-01T18:22:27"/>
    <n v="63"/>
    <s v="Male"/>
    <x v="3"/>
    <n v="4698"/>
  </r>
  <r>
    <n v="1185"/>
    <n v="51632"/>
    <d v="2024-02-02T00:12:58"/>
    <n v="42"/>
    <s v="Male"/>
    <x v="1"/>
    <n v="3891"/>
  </r>
  <r>
    <n v="1039"/>
    <n v="51633"/>
    <d v="2024-02-02T06:03:29"/>
    <n v="38"/>
    <s v="Male"/>
    <x v="1"/>
    <n v="4041"/>
  </r>
  <r>
    <n v="1223"/>
    <n v="51634"/>
    <d v="2024-02-02T11:54:00"/>
    <n v="41"/>
    <s v="Female"/>
    <x v="1"/>
    <n v="4548"/>
  </r>
  <r>
    <n v="1184"/>
    <n v="51635"/>
    <d v="2024-02-02T17:44:31"/>
    <n v="22"/>
    <s v="Female"/>
    <x v="0"/>
    <n v="1592"/>
  </r>
  <r>
    <n v="1495"/>
    <n v="51636"/>
    <d v="2024-02-02T23:35:02"/>
    <n v="23"/>
    <s v="Female"/>
    <x v="2"/>
    <n v="3950"/>
  </r>
  <r>
    <n v="1427"/>
    <n v="51637"/>
    <d v="2024-02-03T05:25:33"/>
    <n v="60"/>
    <s v="Female"/>
    <x v="0"/>
    <n v="4455"/>
  </r>
  <r>
    <n v="1178"/>
    <n v="51638"/>
    <d v="2024-02-03T11:16:04"/>
    <n v="61"/>
    <s v="Female"/>
    <x v="0"/>
    <n v="3208"/>
  </r>
  <r>
    <n v="1428"/>
    <n v="51639"/>
    <d v="2024-02-03T17:06:35"/>
    <n v="64"/>
    <s v="Female"/>
    <x v="2"/>
    <n v="4500"/>
  </r>
  <r>
    <n v="1294"/>
    <n v="51640"/>
    <d v="2024-02-03T22:57:06"/>
    <n v="40"/>
    <s v="Female"/>
    <x v="1"/>
    <n v="3538"/>
  </r>
  <r>
    <n v="1151"/>
    <n v="51641"/>
    <d v="2024-02-04T04:47:37"/>
    <n v="21"/>
    <s v="Male"/>
    <x v="1"/>
    <n v="3714"/>
  </r>
  <r>
    <n v="1384"/>
    <n v="51642"/>
    <d v="2024-02-04T10:38:08"/>
    <n v="44"/>
    <s v="Male"/>
    <x v="2"/>
    <n v="959"/>
  </r>
  <r>
    <n v="1308"/>
    <n v="51643"/>
    <d v="2024-02-04T16:28:39"/>
    <n v="35"/>
    <s v="Female"/>
    <x v="2"/>
    <n v="2968"/>
  </r>
  <r>
    <n v="1336"/>
    <n v="51644"/>
    <d v="2024-02-04T22:19:10"/>
    <n v="38"/>
    <s v="Male"/>
    <x v="0"/>
    <n v="3288"/>
  </r>
  <r>
    <n v="1375"/>
    <n v="51645"/>
    <d v="2024-02-05T04:09:41"/>
    <n v="45"/>
    <s v="Male"/>
    <x v="3"/>
    <n v="2315"/>
  </r>
  <r>
    <n v="1008"/>
    <n v="51646"/>
    <d v="2024-02-05T10:00:12"/>
    <n v="52"/>
    <s v="Female"/>
    <x v="2"/>
    <n v="4428"/>
  </r>
  <r>
    <n v="1341"/>
    <n v="51647"/>
    <d v="2024-02-05T15:50:43"/>
    <n v="39"/>
    <s v="Male"/>
    <x v="0"/>
    <n v="1923"/>
  </r>
  <r>
    <n v="1129"/>
    <n v="51648"/>
    <d v="2024-02-05T21:41:14"/>
    <n v="57"/>
    <s v="Male"/>
    <x v="3"/>
    <n v="3166"/>
  </r>
  <r>
    <n v="1352"/>
    <n v="51649"/>
    <d v="2024-02-06T03:31:45"/>
    <n v="40"/>
    <s v="Female"/>
    <x v="1"/>
    <n v="629"/>
  </r>
  <r>
    <n v="1358"/>
    <n v="51650"/>
    <d v="2024-02-06T09:22:16"/>
    <n v="20"/>
    <s v="Male"/>
    <x v="1"/>
    <n v="2555"/>
  </r>
  <r>
    <n v="1517"/>
    <n v="51651"/>
    <d v="2024-02-06T15:12:47"/>
    <n v="57"/>
    <s v="Female"/>
    <x v="0"/>
    <n v="2659"/>
  </r>
  <r>
    <n v="1495"/>
    <n v="51652"/>
    <d v="2024-02-06T21:03:18"/>
    <n v="27"/>
    <s v="Female"/>
    <x v="0"/>
    <n v="4392"/>
  </r>
  <r>
    <n v="1086"/>
    <n v="51653"/>
    <d v="2024-02-07T02:53:49"/>
    <n v="42"/>
    <s v="Male"/>
    <x v="2"/>
    <n v="1918"/>
  </r>
  <r>
    <n v="1175"/>
    <n v="51654"/>
    <d v="2024-02-07T08:44:20"/>
    <n v="25"/>
    <s v="Male"/>
    <x v="1"/>
    <n v="1465"/>
  </r>
  <r>
    <n v="1193"/>
    <n v="51655"/>
    <d v="2024-02-07T14:34:51"/>
    <n v="28"/>
    <s v="Male"/>
    <x v="0"/>
    <n v="1508"/>
  </r>
  <r>
    <n v="1311"/>
    <n v="51656"/>
    <d v="2024-02-07T20:25:22"/>
    <n v="22"/>
    <s v="Female"/>
    <x v="1"/>
    <n v="1250"/>
  </r>
  <r>
    <n v="1119"/>
    <n v="51657"/>
    <d v="2024-02-08T02:15:53"/>
    <n v="62"/>
    <s v="Female"/>
    <x v="1"/>
    <n v="3673"/>
  </r>
  <r>
    <n v="1218"/>
    <n v="51658"/>
    <d v="2024-02-08T08:06:24"/>
    <n v="54"/>
    <s v="Female"/>
    <x v="2"/>
    <n v="2449"/>
  </r>
  <r>
    <n v="1427"/>
    <n v="51659"/>
    <d v="2024-02-08T13:56:55"/>
    <n v="62"/>
    <s v="Male"/>
    <x v="3"/>
    <n v="3009"/>
  </r>
  <r>
    <n v="1414"/>
    <n v="51660"/>
    <d v="2024-02-08T19:47:26"/>
    <n v="55"/>
    <s v="Male"/>
    <x v="2"/>
    <n v="3121"/>
  </r>
  <r>
    <n v="1114"/>
    <n v="51661"/>
    <d v="2024-02-09T01:37:57"/>
    <n v="46"/>
    <s v="Female"/>
    <x v="0"/>
    <n v="4876"/>
  </r>
  <r>
    <n v="1145"/>
    <n v="51662"/>
    <d v="2024-02-09T07:28:28"/>
    <n v="22"/>
    <s v="Male"/>
    <x v="2"/>
    <n v="4241"/>
  </r>
  <r>
    <n v="1538"/>
    <n v="51663"/>
    <d v="2024-02-09T13:18:59"/>
    <n v="26"/>
    <s v="Male"/>
    <x v="2"/>
    <n v="2617"/>
  </r>
  <r>
    <n v="1303"/>
    <n v="51664"/>
    <d v="2024-02-09T19:09:30"/>
    <n v="19"/>
    <s v="Female"/>
    <x v="1"/>
    <n v="732"/>
  </r>
  <r>
    <n v="1588"/>
    <n v="51665"/>
    <d v="2024-02-10T01:00:01"/>
    <n v="18"/>
    <s v="Female"/>
    <x v="2"/>
    <n v="1098"/>
  </r>
  <r>
    <n v="1345"/>
    <n v="51666"/>
    <d v="2024-02-10T06:50:32"/>
    <n v="57"/>
    <s v="Male"/>
    <x v="0"/>
    <n v="2854"/>
  </r>
  <r>
    <n v="1001"/>
    <n v="51667"/>
    <d v="2024-02-10T12:41:03"/>
    <n v="47"/>
    <s v="Female"/>
    <x v="3"/>
    <n v="1669"/>
  </r>
  <r>
    <n v="1147"/>
    <n v="51668"/>
    <d v="2024-02-10T18:31:34"/>
    <n v="28"/>
    <s v="Male"/>
    <x v="2"/>
    <n v="3120"/>
  </r>
  <r>
    <n v="1287"/>
    <n v="51669"/>
    <d v="2024-02-11T00:22:05"/>
    <n v="45"/>
    <s v="Female"/>
    <x v="2"/>
    <n v="1452"/>
  </r>
  <r>
    <n v="1053"/>
    <n v="51670"/>
    <d v="2024-02-11T06:12:36"/>
    <n v="61"/>
    <s v="Female"/>
    <x v="3"/>
    <n v="969"/>
  </r>
  <r>
    <n v="1304"/>
    <n v="51671"/>
    <d v="2024-02-11T12:03:07"/>
    <n v="29"/>
    <s v="Female"/>
    <x v="0"/>
    <n v="1033"/>
  </r>
  <r>
    <n v="1069"/>
    <n v="51672"/>
    <d v="2024-02-11T17:53:38"/>
    <n v="56"/>
    <s v="Male"/>
    <x v="0"/>
    <n v="2409"/>
  </r>
  <r>
    <n v="1361"/>
    <n v="51673"/>
    <d v="2024-02-11T23:44:09"/>
    <n v="43"/>
    <s v="Male"/>
    <x v="2"/>
    <n v="4849"/>
  </r>
  <r>
    <n v="1220"/>
    <n v="51674"/>
    <d v="2024-02-12T05:34:40"/>
    <n v="30"/>
    <s v="Female"/>
    <x v="1"/>
    <n v="3624"/>
  </r>
  <r>
    <n v="1575"/>
    <n v="51675"/>
    <d v="2024-02-12T11:25:11"/>
    <n v="25"/>
    <s v="Female"/>
    <x v="2"/>
    <n v="1291"/>
  </r>
  <r>
    <n v="1585"/>
    <n v="51676"/>
    <d v="2024-02-12T17:15:42"/>
    <n v="45"/>
    <s v="Female"/>
    <x v="3"/>
    <n v="1396"/>
  </r>
  <r>
    <n v="1161"/>
    <n v="51677"/>
    <d v="2024-02-12T23:06:13"/>
    <n v="47"/>
    <s v="Male"/>
    <x v="3"/>
    <n v="4114"/>
  </r>
  <r>
    <n v="1089"/>
    <n v="51678"/>
    <d v="2024-02-13T04:56:44"/>
    <n v="26"/>
    <s v="Female"/>
    <x v="3"/>
    <n v="1860"/>
  </r>
  <r>
    <n v="1585"/>
    <n v="51679"/>
    <d v="2024-02-13T10:47:15"/>
    <n v="56"/>
    <s v="Female"/>
    <x v="2"/>
    <n v="4854"/>
  </r>
  <r>
    <n v="1589"/>
    <n v="51680"/>
    <d v="2024-02-13T16:37:46"/>
    <n v="48"/>
    <s v="Female"/>
    <x v="2"/>
    <n v="460"/>
  </r>
  <r>
    <n v="1159"/>
    <n v="51681"/>
    <d v="2024-02-13T22:28:17"/>
    <n v="38"/>
    <s v="Female"/>
    <x v="0"/>
    <n v="2464"/>
  </r>
  <r>
    <n v="1489"/>
    <n v="51682"/>
    <d v="2024-02-14T04:18:48"/>
    <n v="64"/>
    <s v="Male"/>
    <x v="1"/>
    <n v="1385"/>
  </r>
  <r>
    <n v="1324"/>
    <n v="51683"/>
    <d v="2024-02-14T10:09:19"/>
    <n v="51"/>
    <s v="Male"/>
    <x v="2"/>
    <n v="2649"/>
  </r>
  <r>
    <n v="1381"/>
    <n v="51684"/>
    <d v="2024-02-14T15:59:50"/>
    <n v="48"/>
    <s v="Female"/>
    <x v="0"/>
    <n v="3733"/>
  </r>
  <r>
    <n v="1102"/>
    <n v="51685"/>
    <d v="2024-02-14T21:50:21"/>
    <n v="42"/>
    <s v="Male"/>
    <x v="2"/>
    <n v="4570"/>
  </r>
  <r>
    <n v="1494"/>
    <n v="51686"/>
    <d v="2024-02-15T03:40:52"/>
    <n v="29"/>
    <s v="Male"/>
    <x v="0"/>
    <n v="4501"/>
  </r>
  <r>
    <n v="1019"/>
    <n v="51687"/>
    <d v="2024-02-15T09:31:23"/>
    <n v="18"/>
    <s v="Male"/>
    <x v="0"/>
    <n v="3544"/>
  </r>
  <r>
    <n v="1454"/>
    <n v="51688"/>
    <d v="2024-02-15T15:21:54"/>
    <n v="39"/>
    <s v="Female"/>
    <x v="1"/>
    <n v="1066"/>
  </r>
  <r>
    <n v="1482"/>
    <n v="51689"/>
    <d v="2024-02-15T21:12:25"/>
    <n v="57"/>
    <s v="Male"/>
    <x v="2"/>
    <n v="292"/>
  </r>
  <r>
    <n v="1594"/>
    <n v="51690"/>
    <d v="2024-02-16T03:02:56"/>
    <n v="54"/>
    <s v="Male"/>
    <x v="0"/>
    <n v="3378"/>
  </r>
  <r>
    <n v="1397"/>
    <n v="51691"/>
    <d v="2024-02-16T08:53:27"/>
    <n v="64"/>
    <s v="Male"/>
    <x v="3"/>
    <n v="1551"/>
  </r>
  <r>
    <n v="1279"/>
    <n v="51692"/>
    <d v="2024-02-16T14:43:58"/>
    <n v="18"/>
    <s v="Female"/>
    <x v="3"/>
    <n v="564"/>
  </r>
  <r>
    <n v="1365"/>
    <n v="51693"/>
    <d v="2024-02-16T20:34:29"/>
    <n v="18"/>
    <s v="Female"/>
    <x v="3"/>
    <n v="3918"/>
  </r>
  <r>
    <n v="1331"/>
    <n v="51694"/>
    <d v="2024-02-17T02:25:01"/>
    <n v="59"/>
    <s v="Male"/>
    <x v="1"/>
    <n v="2124"/>
  </r>
  <r>
    <n v="1344"/>
    <n v="51695"/>
    <d v="2024-02-17T08:15:32"/>
    <n v="59"/>
    <s v="Male"/>
    <x v="0"/>
    <n v="3295"/>
  </r>
  <r>
    <n v="1455"/>
    <n v="51696"/>
    <d v="2024-02-17T14:06:03"/>
    <n v="38"/>
    <s v="Female"/>
    <x v="1"/>
    <n v="2738"/>
  </r>
  <r>
    <n v="1065"/>
    <n v="51697"/>
    <d v="2024-02-17T19:56:34"/>
    <n v="32"/>
    <s v="Female"/>
    <x v="2"/>
    <n v="1496"/>
  </r>
  <r>
    <n v="1076"/>
    <n v="51698"/>
    <d v="2024-02-18T01:47:05"/>
    <n v="34"/>
    <s v="Male"/>
    <x v="2"/>
    <n v="2476"/>
  </r>
  <r>
    <n v="1143"/>
    <n v="51699"/>
    <d v="2024-02-18T07:37:36"/>
    <n v="39"/>
    <s v="Male"/>
    <x v="0"/>
    <n v="202"/>
  </r>
  <r>
    <n v="1473"/>
    <n v="51700"/>
    <d v="2024-02-18T13:28:07"/>
    <n v="55"/>
    <s v="Female"/>
    <x v="3"/>
    <n v="3692"/>
  </r>
  <r>
    <n v="1417"/>
    <n v="51701"/>
    <d v="2024-02-18T19:18:38"/>
    <n v="52"/>
    <s v="Female"/>
    <x v="0"/>
    <n v="1953"/>
  </r>
  <r>
    <n v="1305"/>
    <n v="51702"/>
    <d v="2024-02-19T01:09:09"/>
    <n v="62"/>
    <s v="Male"/>
    <x v="0"/>
    <n v="1110"/>
  </r>
  <r>
    <n v="1497"/>
    <n v="51703"/>
    <d v="2024-02-19T06:59:40"/>
    <n v="33"/>
    <s v="Female"/>
    <x v="0"/>
    <n v="506"/>
  </r>
  <r>
    <n v="1291"/>
    <n v="51704"/>
    <d v="2024-02-19T12:50:11"/>
    <n v="25"/>
    <s v="Male"/>
    <x v="1"/>
    <n v="4431"/>
  </r>
  <r>
    <n v="1102"/>
    <n v="51705"/>
    <d v="2024-02-19T18:40:42"/>
    <n v="64"/>
    <s v="Male"/>
    <x v="2"/>
    <n v="4215"/>
  </r>
  <r>
    <n v="1267"/>
    <n v="51706"/>
    <d v="2024-02-20T00:31:13"/>
    <n v="34"/>
    <s v="Male"/>
    <x v="0"/>
    <n v="1638"/>
  </r>
  <r>
    <n v="1003"/>
    <n v="51707"/>
    <d v="2024-02-20T06:21:44"/>
    <n v="34"/>
    <s v="Female"/>
    <x v="0"/>
    <n v="1072"/>
  </r>
  <r>
    <n v="1085"/>
    <n v="51708"/>
    <d v="2024-02-20T12:12:15"/>
    <n v="43"/>
    <s v="Male"/>
    <x v="0"/>
    <n v="1341"/>
  </r>
  <r>
    <n v="1328"/>
    <n v="51709"/>
    <d v="2024-02-20T18:02:46"/>
    <n v="30"/>
    <s v="Male"/>
    <x v="1"/>
    <n v="865"/>
  </r>
  <r>
    <n v="1450"/>
    <n v="51710"/>
    <d v="2024-02-20T23:53:17"/>
    <n v="34"/>
    <s v="Female"/>
    <x v="1"/>
    <n v="408"/>
  </r>
  <r>
    <n v="1454"/>
    <n v="51711"/>
    <d v="2024-02-21T05:43:48"/>
    <n v="55"/>
    <s v="Female"/>
    <x v="1"/>
    <n v="1151"/>
  </r>
  <r>
    <n v="1221"/>
    <n v="51712"/>
    <d v="2024-02-21T11:34:19"/>
    <n v="34"/>
    <s v="Male"/>
    <x v="0"/>
    <n v="1257"/>
  </r>
  <r>
    <n v="1154"/>
    <n v="51713"/>
    <d v="2024-02-21T17:24:50"/>
    <n v="31"/>
    <s v="Male"/>
    <x v="3"/>
    <n v="4944"/>
  </r>
  <r>
    <n v="1012"/>
    <n v="51714"/>
    <d v="2024-02-21T23:15:21"/>
    <n v="62"/>
    <s v="Female"/>
    <x v="3"/>
    <n v="4922"/>
  </r>
  <r>
    <n v="1133"/>
    <n v="51715"/>
    <d v="2024-02-22T05:05:52"/>
    <n v="23"/>
    <s v="Female"/>
    <x v="3"/>
    <n v="4820"/>
  </r>
  <r>
    <n v="1304"/>
    <n v="51716"/>
    <d v="2024-02-22T10:56:23"/>
    <n v="52"/>
    <s v="Female"/>
    <x v="2"/>
    <n v="4208"/>
  </r>
  <r>
    <n v="1293"/>
    <n v="51717"/>
    <d v="2024-02-22T16:46:54"/>
    <n v="63"/>
    <s v="Male"/>
    <x v="0"/>
    <n v="2068"/>
  </r>
  <r>
    <n v="1300"/>
    <n v="51718"/>
    <d v="2024-02-22T22:37:25"/>
    <n v="31"/>
    <s v="Male"/>
    <x v="3"/>
    <n v="971"/>
  </r>
  <r>
    <n v="1043"/>
    <n v="51719"/>
    <d v="2024-02-23T04:27:56"/>
    <n v="64"/>
    <s v="Male"/>
    <x v="3"/>
    <n v="4230"/>
  </r>
  <r>
    <n v="1343"/>
    <n v="51720"/>
    <d v="2024-02-23T10:18:27"/>
    <n v="25"/>
    <s v="Female"/>
    <x v="3"/>
    <n v="721"/>
  </r>
  <r>
    <n v="1326"/>
    <n v="51721"/>
    <d v="2024-02-23T16:08:58"/>
    <n v="32"/>
    <s v="Male"/>
    <x v="0"/>
    <n v="3555"/>
  </r>
  <r>
    <n v="1498"/>
    <n v="51722"/>
    <d v="2024-02-23T21:59:29"/>
    <n v="44"/>
    <s v="Female"/>
    <x v="3"/>
    <n v="1600"/>
  </r>
  <r>
    <n v="1364"/>
    <n v="51723"/>
    <d v="2024-02-24T03:50:00"/>
    <n v="30"/>
    <s v="Male"/>
    <x v="3"/>
    <n v="3938"/>
  </r>
  <r>
    <n v="1427"/>
    <n v="51724"/>
    <d v="2024-02-24T09:40:31"/>
    <n v="48"/>
    <s v="Female"/>
    <x v="0"/>
    <n v="4543"/>
  </r>
  <r>
    <n v="1021"/>
    <n v="51725"/>
    <d v="2024-02-24T15:31:02"/>
    <n v="52"/>
    <s v="Male"/>
    <x v="2"/>
    <n v="3923"/>
  </r>
  <r>
    <n v="1407"/>
    <n v="51726"/>
    <d v="2024-02-24T21:21:33"/>
    <n v="23"/>
    <s v="Male"/>
    <x v="1"/>
    <n v="3447"/>
  </r>
  <r>
    <n v="1336"/>
    <n v="51727"/>
    <d v="2024-02-25T03:12:04"/>
    <n v="22"/>
    <s v="Female"/>
    <x v="3"/>
    <n v="2058"/>
  </r>
  <r>
    <n v="1117"/>
    <n v="51728"/>
    <d v="2024-02-25T09:02:35"/>
    <n v="39"/>
    <s v="Female"/>
    <x v="1"/>
    <n v="4981"/>
  </r>
  <r>
    <n v="1124"/>
    <n v="51729"/>
    <d v="2024-02-25T14:53:06"/>
    <n v="40"/>
    <s v="Male"/>
    <x v="2"/>
    <n v="4264"/>
  </r>
  <r>
    <n v="1399"/>
    <n v="51730"/>
    <d v="2024-02-25T20:43:37"/>
    <n v="42"/>
    <s v="Female"/>
    <x v="2"/>
    <n v="4881"/>
  </r>
  <r>
    <n v="1051"/>
    <n v="51731"/>
    <d v="2024-02-26T02:34:08"/>
    <n v="51"/>
    <s v="Female"/>
    <x v="3"/>
    <n v="2598"/>
  </r>
  <r>
    <n v="1324"/>
    <n v="51732"/>
    <d v="2024-02-26T08:24:39"/>
    <n v="43"/>
    <s v="Male"/>
    <x v="0"/>
    <n v="342"/>
  </r>
  <r>
    <n v="1141"/>
    <n v="51733"/>
    <d v="2024-02-26T14:15:10"/>
    <n v="64"/>
    <s v="Female"/>
    <x v="2"/>
    <n v="3051"/>
  </r>
  <r>
    <n v="1470"/>
    <n v="51734"/>
    <d v="2024-02-26T20:05:41"/>
    <n v="22"/>
    <s v="Male"/>
    <x v="1"/>
    <n v="3669"/>
  </r>
  <r>
    <n v="1334"/>
    <n v="51735"/>
    <d v="2024-02-27T01:56:12"/>
    <n v="43"/>
    <s v="Male"/>
    <x v="1"/>
    <n v="3895"/>
  </r>
  <r>
    <n v="1373"/>
    <n v="51736"/>
    <d v="2024-02-27T07:46:43"/>
    <n v="37"/>
    <s v="Female"/>
    <x v="1"/>
    <n v="917"/>
  </r>
  <r>
    <n v="1564"/>
    <n v="51737"/>
    <d v="2024-02-27T13:37:14"/>
    <n v="23"/>
    <s v="Female"/>
    <x v="1"/>
    <n v="842"/>
  </r>
  <r>
    <n v="1494"/>
    <n v="51738"/>
    <d v="2024-02-27T19:27:45"/>
    <n v="23"/>
    <s v="Male"/>
    <x v="2"/>
    <n v="3640"/>
  </r>
  <r>
    <n v="1539"/>
    <n v="51739"/>
    <d v="2024-02-28T01:18:16"/>
    <n v="35"/>
    <s v="Male"/>
    <x v="3"/>
    <n v="2748"/>
  </r>
  <r>
    <n v="1156"/>
    <n v="51740"/>
    <d v="2024-02-28T07:08:47"/>
    <n v="21"/>
    <s v="Male"/>
    <x v="3"/>
    <n v="3893"/>
  </r>
  <r>
    <n v="1291"/>
    <n v="51741"/>
    <d v="2024-02-28T12:59:18"/>
    <n v="34"/>
    <s v="Male"/>
    <x v="1"/>
    <n v="569"/>
  </r>
  <r>
    <n v="1144"/>
    <n v="51742"/>
    <d v="2024-02-28T18:49:49"/>
    <n v="31"/>
    <s v="Male"/>
    <x v="3"/>
    <n v="3850"/>
  </r>
  <r>
    <n v="1106"/>
    <n v="51743"/>
    <d v="2024-02-29T00:40:20"/>
    <n v="31"/>
    <s v="Male"/>
    <x v="1"/>
    <n v="986"/>
  </r>
  <r>
    <n v="1420"/>
    <n v="51744"/>
    <d v="2024-02-29T06:30:51"/>
    <n v="30"/>
    <s v="Female"/>
    <x v="1"/>
    <n v="1149"/>
  </r>
  <r>
    <n v="1002"/>
    <n v="51745"/>
    <d v="2024-02-29T12:21:22"/>
    <n v="24"/>
    <s v="Female"/>
    <x v="0"/>
    <n v="721"/>
  </r>
  <r>
    <n v="1589"/>
    <n v="51746"/>
    <d v="2024-02-29T18:11:53"/>
    <n v="61"/>
    <s v="Female"/>
    <x v="2"/>
    <n v="3143"/>
  </r>
  <r>
    <n v="1090"/>
    <n v="51747"/>
    <d v="2024-03-01T00:02:24"/>
    <n v="32"/>
    <s v="Male"/>
    <x v="2"/>
    <n v="554"/>
  </r>
  <r>
    <n v="1345"/>
    <n v="51748"/>
    <d v="2024-03-01T05:52:55"/>
    <n v="36"/>
    <s v="Female"/>
    <x v="1"/>
    <n v="2535"/>
  </r>
  <r>
    <n v="1350"/>
    <n v="51749"/>
    <d v="2024-03-01T11:43:26"/>
    <n v="60"/>
    <s v="Male"/>
    <x v="2"/>
    <n v="1682"/>
  </r>
  <r>
    <n v="1459"/>
    <n v="51750"/>
    <d v="2024-03-01T17:33:57"/>
    <n v="64"/>
    <s v="Male"/>
    <x v="3"/>
    <n v="1847"/>
  </r>
  <r>
    <n v="1263"/>
    <n v="51751"/>
    <d v="2024-03-01T23:24:28"/>
    <n v="61"/>
    <s v="Female"/>
    <x v="1"/>
    <n v="3245"/>
  </r>
  <r>
    <n v="1351"/>
    <n v="51752"/>
    <d v="2024-03-02T05:14:59"/>
    <n v="52"/>
    <s v="Male"/>
    <x v="0"/>
    <n v="4831"/>
  </r>
  <r>
    <n v="1108"/>
    <n v="51753"/>
    <d v="2024-03-02T11:05:30"/>
    <n v="34"/>
    <s v="Male"/>
    <x v="3"/>
    <n v="2415"/>
  </r>
  <r>
    <n v="1586"/>
    <n v="51754"/>
    <d v="2024-03-02T16:56:01"/>
    <n v="52"/>
    <s v="Male"/>
    <x v="0"/>
    <n v="4916"/>
  </r>
  <r>
    <n v="1039"/>
    <n v="51755"/>
    <d v="2024-03-02T22:46:32"/>
    <n v="36"/>
    <s v="Male"/>
    <x v="0"/>
    <n v="627"/>
  </r>
  <r>
    <n v="1159"/>
    <n v="51756"/>
    <d v="2024-03-03T04:37:03"/>
    <n v="37"/>
    <s v="Male"/>
    <x v="2"/>
    <n v="2737"/>
  </r>
  <r>
    <n v="1583"/>
    <n v="51757"/>
    <d v="2024-03-03T10:27:34"/>
    <n v="53"/>
    <s v="Male"/>
    <x v="2"/>
    <n v="744"/>
  </r>
  <r>
    <n v="1312"/>
    <n v="51758"/>
    <d v="2024-03-03T16:18:05"/>
    <n v="52"/>
    <s v="Female"/>
    <x v="1"/>
    <n v="2964"/>
  </r>
  <r>
    <n v="1241"/>
    <n v="51759"/>
    <d v="2024-03-03T22:08:36"/>
    <n v="49"/>
    <s v="Male"/>
    <x v="2"/>
    <n v="3965"/>
  </r>
  <r>
    <n v="1445"/>
    <n v="51760"/>
    <d v="2024-03-04T03:59:07"/>
    <n v="61"/>
    <s v="Male"/>
    <x v="0"/>
    <n v="858"/>
  </r>
  <r>
    <n v="1298"/>
    <n v="51761"/>
    <d v="2024-03-04T09:49:38"/>
    <n v="57"/>
    <s v="Male"/>
    <x v="0"/>
    <n v="3027"/>
  </r>
  <r>
    <n v="1036"/>
    <n v="51762"/>
    <d v="2024-03-04T15:40:09"/>
    <n v="41"/>
    <s v="Male"/>
    <x v="3"/>
    <n v="2258"/>
  </r>
  <r>
    <n v="1084"/>
    <n v="51763"/>
    <d v="2024-03-04T21:30:40"/>
    <n v="34"/>
    <s v="Female"/>
    <x v="0"/>
    <n v="3527"/>
  </r>
  <r>
    <n v="1452"/>
    <n v="51764"/>
    <d v="2024-03-05T03:21:11"/>
    <n v="24"/>
    <s v="Female"/>
    <x v="1"/>
    <n v="930"/>
  </r>
  <r>
    <n v="1385"/>
    <n v="51765"/>
    <d v="2024-03-05T09:11:42"/>
    <n v="60"/>
    <s v="Male"/>
    <x v="1"/>
    <n v="2032"/>
  </r>
  <r>
    <n v="1172"/>
    <n v="51766"/>
    <d v="2024-03-05T15:02:13"/>
    <n v="18"/>
    <s v="Male"/>
    <x v="2"/>
    <n v="608"/>
  </r>
  <r>
    <n v="1376"/>
    <n v="51767"/>
    <d v="2024-03-05T20:52:44"/>
    <n v="52"/>
    <s v="Male"/>
    <x v="2"/>
    <n v="4379"/>
  </r>
  <r>
    <n v="1362"/>
    <n v="51768"/>
    <d v="2024-03-06T02:43:15"/>
    <n v="49"/>
    <s v="Female"/>
    <x v="2"/>
    <n v="3447"/>
  </r>
  <r>
    <n v="1559"/>
    <n v="51769"/>
    <d v="2024-03-06T08:33:46"/>
    <n v="53"/>
    <s v="Female"/>
    <x v="1"/>
    <n v="333"/>
  </r>
  <r>
    <n v="1141"/>
    <n v="51770"/>
    <d v="2024-03-06T14:24:17"/>
    <n v="30"/>
    <s v="Female"/>
    <x v="0"/>
    <n v="866"/>
  </r>
  <r>
    <n v="1118"/>
    <n v="51771"/>
    <d v="2024-03-06T20:14:48"/>
    <n v="23"/>
    <s v="Female"/>
    <x v="2"/>
    <n v="476"/>
  </r>
  <r>
    <n v="1277"/>
    <n v="51772"/>
    <d v="2024-03-07T02:05:19"/>
    <n v="31"/>
    <s v="Male"/>
    <x v="3"/>
    <n v="3507"/>
  </r>
  <r>
    <n v="1220"/>
    <n v="51773"/>
    <d v="2024-03-07T07:55:50"/>
    <n v="54"/>
    <s v="Female"/>
    <x v="2"/>
    <n v="1081"/>
  </r>
  <r>
    <n v="1026"/>
    <n v="51774"/>
    <d v="2024-03-07T13:46:21"/>
    <n v="32"/>
    <s v="Female"/>
    <x v="1"/>
    <n v="2260"/>
  </r>
  <r>
    <n v="1521"/>
    <n v="51775"/>
    <d v="2024-03-07T19:36:52"/>
    <n v="64"/>
    <s v="Male"/>
    <x v="2"/>
    <n v="2282"/>
  </r>
  <r>
    <n v="1010"/>
    <n v="51776"/>
    <d v="2024-03-08T01:27:23"/>
    <n v="21"/>
    <s v="Male"/>
    <x v="0"/>
    <n v="1437"/>
  </r>
  <r>
    <n v="1378"/>
    <n v="51777"/>
    <d v="2024-03-08T07:17:54"/>
    <n v="57"/>
    <s v="Female"/>
    <x v="2"/>
    <n v="2652"/>
  </r>
  <r>
    <n v="1584"/>
    <n v="51778"/>
    <d v="2024-03-08T13:08:25"/>
    <n v="33"/>
    <s v="Female"/>
    <x v="1"/>
    <n v="358"/>
  </r>
  <r>
    <n v="1152"/>
    <n v="51779"/>
    <d v="2024-03-08T18:58:56"/>
    <n v="45"/>
    <s v="Female"/>
    <x v="1"/>
    <n v="2796"/>
  </r>
  <r>
    <n v="1049"/>
    <n v="51780"/>
    <d v="2024-03-09T00:49:27"/>
    <n v="33"/>
    <s v="Female"/>
    <x v="3"/>
    <n v="4015"/>
  </r>
  <r>
    <n v="1154"/>
    <n v="51781"/>
    <d v="2024-03-09T06:39:58"/>
    <n v="21"/>
    <s v="Male"/>
    <x v="1"/>
    <n v="4574"/>
  </r>
  <r>
    <n v="1293"/>
    <n v="51782"/>
    <d v="2024-03-09T12:30:29"/>
    <n v="62"/>
    <s v="Male"/>
    <x v="3"/>
    <n v="2726"/>
  </r>
  <r>
    <n v="1580"/>
    <n v="51783"/>
    <d v="2024-03-09T18:21:00"/>
    <n v="43"/>
    <s v="Female"/>
    <x v="0"/>
    <n v="310"/>
  </r>
  <r>
    <n v="1050"/>
    <n v="51784"/>
    <d v="2024-03-10T00:11:31"/>
    <n v="45"/>
    <s v="Female"/>
    <x v="1"/>
    <n v="741"/>
  </r>
  <r>
    <n v="1531"/>
    <n v="51785"/>
    <d v="2024-03-10T06:02:02"/>
    <n v="49"/>
    <s v="Female"/>
    <x v="2"/>
    <n v="1338"/>
  </r>
  <r>
    <n v="1060"/>
    <n v="51786"/>
    <d v="2024-03-10T11:52:33"/>
    <n v="62"/>
    <s v="Female"/>
    <x v="0"/>
    <n v="3483"/>
  </r>
  <r>
    <n v="1167"/>
    <n v="51787"/>
    <d v="2024-03-10T17:43:04"/>
    <n v="19"/>
    <s v="Female"/>
    <x v="2"/>
    <n v="3810"/>
  </r>
  <r>
    <n v="1202"/>
    <n v="51788"/>
    <d v="2024-03-10T23:33:35"/>
    <n v="48"/>
    <s v="Male"/>
    <x v="2"/>
    <n v="4655"/>
  </r>
  <r>
    <n v="1146"/>
    <n v="51789"/>
    <d v="2024-03-11T05:24:06"/>
    <n v="20"/>
    <s v="Male"/>
    <x v="2"/>
    <n v="3757"/>
  </r>
  <r>
    <n v="1439"/>
    <n v="51790"/>
    <d v="2024-03-11T11:14:37"/>
    <n v="25"/>
    <s v="Male"/>
    <x v="0"/>
    <n v="2619"/>
  </r>
  <r>
    <n v="1242"/>
    <n v="51791"/>
    <d v="2024-03-11T17:05:09"/>
    <n v="41"/>
    <s v="Female"/>
    <x v="0"/>
    <n v="1956"/>
  </r>
  <r>
    <n v="1581"/>
    <n v="51792"/>
    <d v="2024-03-11T22:55:40"/>
    <n v="32"/>
    <s v="Female"/>
    <x v="1"/>
    <n v="3286"/>
  </r>
  <r>
    <n v="1561"/>
    <n v="51793"/>
    <d v="2024-03-12T04:46:11"/>
    <n v="60"/>
    <s v="Male"/>
    <x v="2"/>
    <n v="2506"/>
  </r>
  <r>
    <n v="1483"/>
    <n v="51794"/>
    <d v="2024-03-12T10:36:42"/>
    <n v="48"/>
    <s v="Male"/>
    <x v="3"/>
    <n v="1175"/>
  </r>
  <r>
    <n v="1108"/>
    <n v="51795"/>
    <d v="2024-03-12T16:27:13"/>
    <n v="26"/>
    <s v="Female"/>
    <x v="1"/>
    <n v="922"/>
  </r>
  <r>
    <n v="1226"/>
    <n v="51796"/>
    <d v="2024-03-12T22:17:44"/>
    <n v="56"/>
    <s v="Male"/>
    <x v="0"/>
    <n v="2770"/>
  </r>
  <r>
    <n v="1432"/>
    <n v="51797"/>
    <d v="2024-03-13T04:08:15"/>
    <n v="62"/>
    <s v="Female"/>
    <x v="3"/>
    <n v="524"/>
  </r>
  <r>
    <n v="1419"/>
    <n v="51798"/>
    <d v="2024-03-13T09:58:46"/>
    <n v="19"/>
    <s v="Female"/>
    <x v="0"/>
    <n v="1729"/>
  </r>
  <r>
    <n v="1455"/>
    <n v="51799"/>
    <d v="2024-03-13T15:49:17"/>
    <n v="25"/>
    <s v="Male"/>
    <x v="3"/>
    <n v="2145"/>
  </r>
  <r>
    <n v="1160"/>
    <n v="51800"/>
    <d v="2024-03-13T21:39:48"/>
    <n v="24"/>
    <s v="Male"/>
    <x v="1"/>
    <n v="4686"/>
  </r>
  <r>
    <n v="1523"/>
    <n v="51801"/>
    <d v="2024-03-14T03:30:19"/>
    <n v="61"/>
    <s v="Male"/>
    <x v="3"/>
    <n v="2630"/>
  </r>
  <r>
    <n v="1590"/>
    <n v="51802"/>
    <d v="2024-03-14T09:20:50"/>
    <n v="56"/>
    <s v="Female"/>
    <x v="1"/>
    <n v="4311"/>
  </r>
  <r>
    <n v="1077"/>
    <n v="51803"/>
    <d v="2024-03-14T15:11:21"/>
    <n v="59"/>
    <s v="Female"/>
    <x v="0"/>
    <n v="3710"/>
  </r>
  <r>
    <n v="1509"/>
    <n v="51804"/>
    <d v="2024-03-14T21:01:52"/>
    <n v="33"/>
    <s v="Male"/>
    <x v="3"/>
    <n v="1045"/>
  </r>
  <r>
    <n v="1441"/>
    <n v="51805"/>
    <d v="2024-03-15T02:52:23"/>
    <n v="52"/>
    <s v="Female"/>
    <x v="2"/>
    <n v="767"/>
  </r>
  <r>
    <n v="1254"/>
    <n v="51806"/>
    <d v="2024-03-15T08:42:54"/>
    <n v="47"/>
    <s v="Female"/>
    <x v="2"/>
    <n v="3888"/>
  </r>
  <r>
    <n v="1320"/>
    <n v="51807"/>
    <d v="2024-03-15T14:33:25"/>
    <n v="27"/>
    <s v="Female"/>
    <x v="0"/>
    <n v="2379"/>
  </r>
  <r>
    <n v="1263"/>
    <n v="51808"/>
    <d v="2024-03-15T20:23:56"/>
    <n v="55"/>
    <s v="Male"/>
    <x v="3"/>
    <n v="2219"/>
  </r>
  <r>
    <n v="1597"/>
    <n v="51809"/>
    <d v="2024-03-16T02:14:27"/>
    <n v="35"/>
    <s v="Female"/>
    <x v="2"/>
    <n v="3519"/>
  </r>
  <r>
    <n v="1554"/>
    <n v="51810"/>
    <d v="2024-03-16T08:04:58"/>
    <n v="22"/>
    <s v="Male"/>
    <x v="1"/>
    <n v="2520"/>
  </r>
  <r>
    <n v="1374"/>
    <n v="51811"/>
    <d v="2024-03-16T13:55:29"/>
    <n v="46"/>
    <s v="Male"/>
    <x v="3"/>
    <n v="1846"/>
  </r>
  <r>
    <n v="1167"/>
    <n v="51812"/>
    <d v="2024-03-16T19:46:00"/>
    <n v="56"/>
    <s v="Female"/>
    <x v="3"/>
    <n v="4203"/>
  </r>
  <r>
    <n v="1459"/>
    <n v="51813"/>
    <d v="2024-03-17T01:36:31"/>
    <n v="51"/>
    <s v="Male"/>
    <x v="2"/>
    <n v="4109"/>
  </r>
  <r>
    <n v="1280"/>
    <n v="51814"/>
    <d v="2024-03-17T07:27:02"/>
    <n v="60"/>
    <s v="Female"/>
    <x v="1"/>
    <n v="3620"/>
  </r>
  <r>
    <n v="1302"/>
    <n v="51815"/>
    <d v="2024-03-17T13:17:33"/>
    <n v="62"/>
    <s v="Male"/>
    <x v="1"/>
    <n v="2731"/>
  </r>
  <r>
    <n v="1531"/>
    <n v="51816"/>
    <d v="2024-03-17T19:08:04"/>
    <n v="40"/>
    <s v="Male"/>
    <x v="1"/>
    <n v="556"/>
  </r>
  <r>
    <n v="1580"/>
    <n v="51817"/>
    <d v="2024-03-18T00:58:35"/>
    <n v="22"/>
    <s v="Female"/>
    <x v="3"/>
    <n v="3281"/>
  </r>
  <r>
    <n v="1218"/>
    <n v="51818"/>
    <d v="2024-03-18T06:49:06"/>
    <n v="47"/>
    <s v="Male"/>
    <x v="0"/>
    <n v="2480"/>
  </r>
  <r>
    <n v="1102"/>
    <n v="51819"/>
    <d v="2024-03-18T12:39:37"/>
    <n v="23"/>
    <s v="Male"/>
    <x v="3"/>
    <n v="4331"/>
  </r>
  <r>
    <n v="1554"/>
    <n v="51820"/>
    <d v="2024-03-18T18:30:08"/>
    <n v="63"/>
    <s v="Male"/>
    <x v="3"/>
    <n v="2660"/>
  </r>
  <r>
    <n v="1288"/>
    <n v="51821"/>
    <d v="2024-03-19T00:20:39"/>
    <n v="61"/>
    <s v="Female"/>
    <x v="2"/>
    <n v="2987"/>
  </r>
  <r>
    <n v="1167"/>
    <n v="51822"/>
    <d v="2024-03-19T06:11:10"/>
    <n v="21"/>
    <s v="Female"/>
    <x v="0"/>
    <n v="4409"/>
  </r>
  <r>
    <n v="1036"/>
    <n v="51823"/>
    <d v="2024-03-19T12:01:41"/>
    <n v="46"/>
    <s v="Male"/>
    <x v="1"/>
    <n v="1397"/>
  </r>
  <r>
    <n v="1353"/>
    <n v="51824"/>
    <d v="2024-03-19T17:52:12"/>
    <n v="40"/>
    <s v="Male"/>
    <x v="2"/>
    <n v="1478"/>
  </r>
  <r>
    <n v="1073"/>
    <n v="51825"/>
    <d v="2024-03-19T23:42:43"/>
    <n v="23"/>
    <s v="Male"/>
    <x v="3"/>
    <n v="665"/>
  </r>
  <r>
    <n v="1353"/>
    <n v="51826"/>
    <d v="2024-03-20T05:33:14"/>
    <n v="49"/>
    <s v="Female"/>
    <x v="0"/>
    <n v="4200"/>
  </r>
  <r>
    <n v="1070"/>
    <n v="51827"/>
    <d v="2024-03-20T11:23:45"/>
    <n v="59"/>
    <s v="Female"/>
    <x v="1"/>
    <n v="3548"/>
  </r>
  <r>
    <n v="1425"/>
    <n v="51828"/>
    <d v="2024-03-20T17:14:16"/>
    <n v="35"/>
    <s v="Male"/>
    <x v="1"/>
    <n v="1687"/>
  </r>
  <r>
    <n v="1561"/>
    <n v="51829"/>
    <d v="2024-03-20T23:04:47"/>
    <n v="32"/>
    <s v="Female"/>
    <x v="3"/>
    <n v="4797"/>
  </r>
  <r>
    <n v="1517"/>
    <n v="51830"/>
    <d v="2024-03-21T04:55:18"/>
    <n v="57"/>
    <s v="Female"/>
    <x v="1"/>
    <n v="4736"/>
  </r>
  <r>
    <n v="1428"/>
    <n v="51831"/>
    <d v="2024-03-21T10:45:49"/>
    <n v="49"/>
    <s v="Female"/>
    <x v="1"/>
    <n v="525"/>
  </r>
  <r>
    <n v="1539"/>
    <n v="51832"/>
    <d v="2024-03-21T16:36:20"/>
    <n v="26"/>
    <s v="Female"/>
    <x v="0"/>
    <n v="1965"/>
  </r>
  <r>
    <n v="1160"/>
    <n v="51833"/>
    <d v="2024-03-21T22:26:51"/>
    <n v="54"/>
    <s v="Male"/>
    <x v="2"/>
    <n v="4362"/>
  </r>
  <r>
    <n v="1149"/>
    <n v="51834"/>
    <d v="2024-03-22T04:17:22"/>
    <n v="27"/>
    <s v="Female"/>
    <x v="0"/>
    <n v="503"/>
  </r>
  <r>
    <n v="1230"/>
    <n v="51835"/>
    <d v="2024-03-22T10:07:53"/>
    <n v="37"/>
    <s v="Female"/>
    <x v="2"/>
    <n v="4779"/>
  </r>
  <r>
    <n v="1562"/>
    <n v="51836"/>
    <d v="2024-03-22T15:58:24"/>
    <n v="23"/>
    <s v="Male"/>
    <x v="2"/>
    <n v="1640"/>
  </r>
  <r>
    <n v="1067"/>
    <n v="51837"/>
    <d v="2024-03-22T21:48:55"/>
    <n v="20"/>
    <s v="Male"/>
    <x v="2"/>
    <n v="348"/>
  </r>
  <r>
    <n v="1381"/>
    <n v="51838"/>
    <d v="2024-03-23T03:39:26"/>
    <n v="59"/>
    <s v="Female"/>
    <x v="1"/>
    <n v="3234"/>
  </r>
  <r>
    <n v="1058"/>
    <n v="51839"/>
    <d v="2024-03-23T09:29:57"/>
    <n v="28"/>
    <s v="Female"/>
    <x v="0"/>
    <n v="2831"/>
  </r>
  <r>
    <n v="1259"/>
    <n v="51840"/>
    <d v="2024-03-23T15:20:28"/>
    <n v="60"/>
    <s v="Male"/>
    <x v="1"/>
    <n v="295"/>
  </r>
  <r>
    <n v="1342"/>
    <n v="51841"/>
    <d v="2024-03-23T21:10:59"/>
    <n v="34"/>
    <s v="Male"/>
    <x v="3"/>
    <n v="3655"/>
  </r>
  <r>
    <n v="1130"/>
    <n v="51842"/>
    <d v="2024-03-24T03:01:30"/>
    <n v="49"/>
    <s v="Male"/>
    <x v="0"/>
    <n v="4577"/>
  </r>
  <r>
    <n v="1172"/>
    <n v="51843"/>
    <d v="2024-03-24T08:52:01"/>
    <n v="21"/>
    <s v="Female"/>
    <x v="2"/>
    <n v="2569"/>
  </r>
  <r>
    <n v="1209"/>
    <n v="51844"/>
    <d v="2024-03-24T14:42:32"/>
    <n v="21"/>
    <s v="Female"/>
    <x v="1"/>
    <n v="3667"/>
  </r>
  <r>
    <n v="1354"/>
    <n v="51845"/>
    <d v="2024-03-24T20:33:03"/>
    <n v="34"/>
    <s v="Male"/>
    <x v="1"/>
    <n v="728"/>
  </r>
  <r>
    <n v="1471"/>
    <n v="51846"/>
    <d v="2024-03-25T02:23:34"/>
    <n v="58"/>
    <s v="Female"/>
    <x v="0"/>
    <n v="2510"/>
  </r>
  <r>
    <n v="1116"/>
    <n v="51847"/>
    <d v="2024-03-25T08:14:05"/>
    <n v="36"/>
    <s v="Male"/>
    <x v="0"/>
    <n v="4875"/>
  </r>
  <r>
    <n v="1264"/>
    <n v="51848"/>
    <d v="2024-03-25T14:04:36"/>
    <n v="22"/>
    <s v="Female"/>
    <x v="2"/>
    <n v="1863"/>
  </r>
  <r>
    <n v="1442"/>
    <n v="51849"/>
    <d v="2024-03-25T19:55:07"/>
    <n v="49"/>
    <s v="Male"/>
    <x v="2"/>
    <n v="3564"/>
  </r>
  <r>
    <n v="1548"/>
    <n v="51850"/>
    <d v="2024-03-26T01:45:38"/>
    <n v="39"/>
    <s v="Male"/>
    <x v="3"/>
    <n v="2541"/>
  </r>
  <r>
    <n v="1453"/>
    <n v="51851"/>
    <d v="2024-03-26T07:36:09"/>
    <n v="23"/>
    <s v="Female"/>
    <x v="2"/>
    <n v="892"/>
  </r>
  <r>
    <n v="1477"/>
    <n v="51852"/>
    <d v="2024-03-26T13:26:40"/>
    <n v="52"/>
    <s v="Female"/>
    <x v="1"/>
    <n v="4530"/>
  </r>
  <r>
    <n v="1287"/>
    <n v="51853"/>
    <d v="2024-03-26T19:17:11"/>
    <n v="39"/>
    <s v="Female"/>
    <x v="3"/>
    <n v="1151"/>
  </r>
  <r>
    <n v="1303"/>
    <n v="51854"/>
    <d v="2024-03-27T01:07:42"/>
    <n v="18"/>
    <s v="Female"/>
    <x v="3"/>
    <n v="1560"/>
  </r>
  <r>
    <n v="1311"/>
    <n v="51855"/>
    <d v="2024-03-27T06:58:13"/>
    <n v="37"/>
    <s v="Female"/>
    <x v="3"/>
    <n v="738"/>
  </r>
  <r>
    <n v="1208"/>
    <n v="51856"/>
    <d v="2024-03-27T12:48:44"/>
    <n v="39"/>
    <s v="Female"/>
    <x v="0"/>
    <n v="1019"/>
  </r>
  <r>
    <n v="1446"/>
    <n v="51857"/>
    <d v="2024-03-27T18:39:15"/>
    <n v="28"/>
    <s v="Male"/>
    <x v="2"/>
    <n v="3362"/>
  </r>
  <r>
    <n v="1055"/>
    <n v="51858"/>
    <d v="2024-03-28T00:29:46"/>
    <n v="30"/>
    <s v="Female"/>
    <x v="3"/>
    <n v="4125"/>
  </r>
  <r>
    <n v="1012"/>
    <n v="51859"/>
    <d v="2024-03-28T06:20:17"/>
    <n v="59"/>
    <s v="Male"/>
    <x v="0"/>
    <n v="471"/>
  </r>
  <r>
    <n v="1400"/>
    <n v="51860"/>
    <d v="2024-03-28T12:10:48"/>
    <n v="20"/>
    <s v="Male"/>
    <x v="0"/>
    <n v="1228"/>
  </r>
  <r>
    <n v="1515"/>
    <n v="51861"/>
    <d v="2024-03-28T18:01:19"/>
    <n v="26"/>
    <s v="Female"/>
    <x v="3"/>
    <n v="3865"/>
  </r>
  <r>
    <n v="1542"/>
    <n v="51862"/>
    <d v="2024-03-28T23:51:50"/>
    <n v="29"/>
    <s v="Male"/>
    <x v="3"/>
    <n v="1442"/>
  </r>
  <r>
    <n v="1237"/>
    <n v="51863"/>
    <d v="2024-03-29T05:42:21"/>
    <n v="40"/>
    <s v="Male"/>
    <x v="1"/>
    <n v="1341"/>
  </r>
  <r>
    <n v="1279"/>
    <n v="51864"/>
    <d v="2024-03-29T11:32:52"/>
    <n v="31"/>
    <s v="Female"/>
    <x v="3"/>
    <n v="792"/>
  </r>
  <r>
    <n v="1348"/>
    <n v="51865"/>
    <d v="2024-03-29T17:23:23"/>
    <n v="50"/>
    <s v="Female"/>
    <x v="1"/>
    <n v="1805"/>
  </r>
  <r>
    <n v="1104"/>
    <n v="51866"/>
    <d v="2024-03-29T23:13:54"/>
    <n v="35"/>
    <s v="Female"/>
    <x v="3"/>
    <n v="4410"/>
  </r>
  <r>
    <n v="1517"/>
    <n v="51867"/>
    <d v="2024-03-30T05:04:25"/>
    <n v="58"/>
    <s v="Male"/>
    <x v="3"/>
    <n v="3577"/>
  </r>
  <r>
    <n v="1248"/>
    <n v="51868"/>
    <d v="2024-03-30T10:54:56"/>
    <n v="26"/>
    <s v="Female"/>
    <x v="2"/>
    <n v="4271"/>
  </r>
  <r>
    <n v="1364"/>
    <n v="51869"/>
    <d v="2024-03-30T16:45:27"/>
    <n v="40"/>
    <s v="Female"/>
    <x v="3"/>
    <n v="4502"/>
  </r>
  <r>
    <n v="1321"/>
    <n v="51870"/>
    <d v="2024-03-30T22:35:58"/>
    <n v="27"/>
    <s v="Female"/>
    <x v="3"/>
    <n v="3894"/>
  </r>
  <r>
    <n v="1286"/>
    <n v="51871"/>
    <d v="2024-03-31T04:26:29"/>
    <n v="36"/>
    <s v="Female"/>
    <x v="1"/>
    <n v="2550"/>
  </r>
  <r>
    <n v="1149"/>
    <n v="51872"/>
    <d v="2024-03-31T10:17:00"/>
    <n v="64"/>
    <s v="Male"/>
    <x v="1"/>
    <n v="4407"/>
  </r>
  <r>
    <n v="1084"/>
    <n v="51873"/>
    <d v="2024-03-31T16:07:31"/>
    <n v="22"/>
    <s v="Female"/>
    <x v="2"/>
    <n v="1640"/>
  </r>
  <r>
    <n v="1406"/>
    <n v="51874"/>
    <d v="2024-03-31T21:58:02"/>
    <n v="64"/>
    <s v="Male"/>
    <x v="3"/>
    <n v="3826"/>
  </r>
  <r>
    <n v="1456"/>
    <n v="51875"/>
    <d v="2024-04-01T03:48:33"/>
    <n v="40"/>
    <s v="Female"/>
    <x v="3"/>
    <n v="2082"/>
  </r>
  <r>
    <n v="1161"/>
    <n v="51876"/>
    <d v="2024-04-01T09:39:04"/>
    <n v="47"/>
    <s v="Male"/>
    <x v="1"/>
    <n v="3911"/>
  </r>
  <r>
    <n v="1460"/>
    <n v="51877"/>
    <d v="2024-04-01T15:29:35"/>
    <n v="42"/>
    <s v="Male"/>
    <x v="0"/>
    <n v="384"/>
  </r>
  <r>
    <n v="1550"/>
    <n v="51878"/>
    <d v="2024-04-01T21:20:06"/>
    <n v="45"/>
    <s v="Male"/>
    <x v="0"/>
    <n v="420"/>
  </r>
  <r>
    <n v="1500"/>
    <n v="51879"/>
    <d v="2024-04-02T03:10:37"/>
    <n v="51"/>
    <s v="Female"/>
    <x v="0"/>
    <n v="3388"/>
  </r>
  <r>
    <n v="1509"/>
    <n v="51880"/>
    <d v="2024-04-02T09:01:08"/>
    <n v="62"/>
    <s v="Male"/>
    <x v="1"/>
    <n v="1293"/>
  </r>
  <r>
    <n v="1481"/>
    <n v="51881"/>
    <d v="2024-04-02T14:51:39"/>
    <n v="64"/>
    <s v="Female"/>
    <x v="1"/>
    <n v="3145"/>
  </r>
  <r>
    <n v="1114"/>
    <n v="51882"/>
    <d v="2024-04-02T20:42:10"/>
    <n v="42"/>
    <s v="Female"/>
    <x v="0"/>
    <n v="2674"/>
  </r>
  <r>
    <n v="1578"/>
    <n v="51883"/>
    <d v="2024-04-03T02:32:41"/>
    <n v="27"/>
    <s v="Female"/>
    <x v="0"/>
    <n v="2815"/>
  </r>
  <r>
    <n v="1361"/>
    <n v="51884"/>
    <d v="2024-04-03T08:23:12"/>
    <n v="31"/>
    <s v="Female"/>
    <x v="3"/>
    <n v="2212"/>
  </r>
  <r>
    <n v="1341"/>
    <n v="51885"/>
    <d v="2024-04-03T14:13:43"/>
    <n v="59"/>
    <s v="Female"/>
    <x v="1"/>
    <n v="2690"/>
  </r>
  <r>
    <n v="1449"/>
    <n v="51886"/>
    <d v="2024-04-03T20:04:14"/>
    <n v="63"/>
    <s v="Male"/>
    <x v="1"/>
    <n v="800"/>
  </r>
  <r>
    <n v="1180"/>
    <n v="51887"/>
    <d v="2024-04-04T01:54:45"/>
    <n v="47"/>
    <s v="Female"/>
    <x v="0"/>
    <n v="1360"/>
  </r>
  <r>
    <n v="1407"/>
    <n v="51888"/>
    <d v="2024-04-04T07:45:17"/>
    <n v="58"/>
    <s v="Male"/>
    <x v="0"/>
    <n v="4799"/>
  </r>
  <r>
    <n v="1196"/>
    <n v="51889"/>
    <d v="2024-04-04T13:35:48"/>
    <n v="42"/>
    <s v="Male"/>
    <x v="2"/>
    <n v="4513"/>
  </r>
  <r>
    <n v="1466"/>
    <n v="51890"/>
    <d v="2024-04-04T19:26:19"/>
    <n v="31"/>
    <s v="Male"/>
    <x v="1"/>
    <n v="2935"/>
  </r>
  <r>
    <n v="1311"/>
    <n v="51891"/>
    <d v="2024-04-05T01:16:50"/>
    <n v="52"/>
    <s v="Male"/>
    <x v="2"/>
    <n v="2418"/>
  </r>
  <r>
    <n v="1262"/>
    <n v="51892"/>
    <d v="2024-04-05T07:07:21"/>
    <n v="51"/>
    <s v="Male"/>
    <x v="3"/>
    <n v="4907"/>
  </r>
  <r>
    <n v="1419"/>
    <n v="51893"/>
    <d v="2024-04-05T12:57:52"/>
    <n v="27"/>
    <s v="Male"/>
    <x v="2"/>
    <n v="1352"/>
  </r>
  <r>
    <n v="1406"/>
    <n v="51894"/>
    <d v="2024-04-05T18:48:23"/>
    <n v="52"/>
    <s v="Male"/>
    <x v="0"/>
    <n v="256"/>
  </r>
  <r>
    <n v="1143"/>
    <n v="51895"/>
    <d v="2024-04-06T00:38:54"/>
    <n v="28"/>
    <s v="Female"/>
    <x v="1"/>
    <n v="1404"/>
  </r>
  <r>
    <n v="1342"/>
    <n v="51896"/>
    <d v="2024-04-06T06:29:25"/>
    <n v="28"/>
    <s v="Male"/>
    <x v="1"/>
    <n v="4541"/>
  </r>
  <r>
    <n v="1316"/>
    <n v="51897"/>
    <d v="2024-04-06T12:19:56"/>
    <n v="38"/>
    <s v="Female"/>
    <x v="2"/>
    <n v="343"/>
  </r>
  <r>
    <n v="1101"/>
    <n v="51898"/>
    <d v="2024-04-06T18:10:27"/>
    <n v="38"/>
    <s v="Male"/>
    <x v="2"/>
    <n v="567"/>
  </r>
  <r>
    <n v="1244"/>
    <n v="51899"/>
    <d v="2024-04-07T00:00:58"/>
    <n v="39"/>
    <s v="Male"/>
    <x v="3"/>
    <n v="1682"/>
  </r>
  <r>
    <n v="1490"/>
    <n v="51900"/>
    <d v="2024-04-07T05:51:29"/>
    <n v="62"/>
    <s v="Male"/>
    <x v="3"/>
    <n v="815"/>
  </r>
  <r>
    <n v="1012"/>
    <n v="51901"/>
    <d v="2024-04-07T11:42:00"/>
    <n v="24"/>
    <s v="Male"/>
    <x v="0"/>
    <n v="3838"/>
  </r>
  <r>
    <n v="1239"/>
    <n v="51902"/>
    <d v="2024-04-07T17:32:31"/>
    <n v="34"/>
    <s v="Female"/>
    <x v="0"/>
    <n v="3528"/>
  </r>
  <r>
    <n v="1561"/>
    <n v="51903"/>
    <d v="2024-04-07T23:23:02"/>
    <n v="19"/>
    <s v="Female"/>
    <x v="0"/>
    <n v="3427"/>
  </r>
  <r>
    <n v="1042"/>
    <n v="51904"/>
    <d v="2024-04-08T05:13:33"/>
    <n v="29"/>
    <s v="Female"/>
    <x v="2"/>
    <n v="1788"/>
  </r>
  <r>
    <n v="1594"/>
    <n v="51905"/>
    <d v="2024-04-08T11:04:04"/>
    <n v="59"/>
    <s v="Male"/>
    <x v="2"/>
    <n v="2689"/>
  </r>
  <r>
    <n v="1429"/>
    <n v="51906"/>
    <d v="2024-04-08T16:54:35"/>
    <n v="35"/>
    <s v="Male"/>
    <x v="1"/>
    <n v="3203"/>
  </r>
  <r>
    <n v="1158"/>
    <n v="51907"/>
    <d v="2024-04-08T22:45:06"/>
    <n v="28"/>
    <s v="Male"/>
    <x v="0"/>
    <n v="898"/>
  </r>
  <r>
    <n v="1216"/>
    <n v="51908"/>
    <d v="2024-04-09T04:35:37"/>
    <n v="33"/>
    <s v="Female"/>
    <x v="2"/>
    <n v="3023"/>
  </r>
  <r>
    <n v="1462"/>
    <n v="51909"/>
    <d v="2024-04-09T10:26:08"/>
    <n v="35"/>
    <s v="Male"/>
    <x v="1"/>
    <n v="1144"/>
  </r>
  <r>
    <n v="1134"/>
    <n v="51910"/>
    <d v="2024-04-09T16:16:39"/>
    <n v="52"/>
    <s v="Female"/>
    <x v="0"/>
    <n v="4081"/>
  </r>
  <r>
    <n v="1067"/>
    <n v="51911"/>
    <d v="2024-04-09T22:07:10"/>
    <n v="43"/>
    <s v="Female"/>
    <x v="3"/>
    <n v="1122"/>
  </r>
  <r>
    <n v="1007"/>
    <n v="51912"/>
    <d v="2024-04-10T03:57:41"/>
    <n v="33"/>
    <s v="Male"/>
    <x v="3"/>
    <n v="1946"/>
  </r>
  <r>
    <n v="1526"/>
    <n v="51913"/>
    <d v="2024-04-10T09:48:12"/>
    <n v="23"/>
    <s v="Male"/>
    <x v="2"/>
    <n v="4320"/>
  </r>
  <r>
    <n v="1073"/>
    <n v="51914"/>
    <d v="2024-04-10T15:38:43"/>
    <n v="61"/>
    <s v="Female"/>
    <x v="1"/>
    <n v="3053"/>
  </r>
  <r>
    <n v="1399"/>
    <n v="51915"/>
    <d v="2024-04-10T21:29:14"/>
    <n v="60"/>
    <s v="Female"/>
    <x v="3"/>
    <n v="1759"/>
  </r>
  <r>
    <n v="1405"/>
    <n v="51916"/>
    <d v="2024-04-11T03:19:45"/>
    <n v="64"/>
    <s v="Female"/>
    <x v="1"/>
    <n v="1283"/>
  </r>
  <r>
    <n v="1578"/>
    <n v="51917"/>
    <d v="2024-04-11T09:10:16"/>
    <n v="64"/>
    <s v="Male"/>
    <x v="1"/>
    <n v="3738"/>
  </r>
  <r>
    <n v="1130"/>
    <n v="51918"/>
    <d v="2024-04-11T15:00:47"/>
    <n v="59"/>
    <s v="Male"/>
    <x v="3"/>
    <n v="633"/>
  </r>
  <r>
    <n v="1466"/>
    <n v="51919"/>
    <d v="2024-04-11T20:51:18"/>
    <n v="29"/>
    <s v="Male"/>
    <x v="1"/>
    <n v="3126"/>
  </r>
  <r>
    <n v="1206"/>
    <n v="51920"/>
    <d v="2024-04-12T02:41:49"/>
    <n v="30"/>
    <s v="Male"/>
    <x v="3"/>
    <n v="1289"/>
  </r>
  <r>
    <n v="1266"/>
    <n v="51921"/>
    <d v="2024-04-12T08:32:20"/>
    <n v="21"/>
    <s v="Male"/>
    <x v="2"/>
    <n v="3157"/>
  </r>
  <r>
    <n v="1537"/>
    <n v="51922"/>
    <d v="2024-04-12T14:22:51"/>
    <n v="56"/>
    <s v="Male"/>
    <x v="0"/>
    <n v="2812"/>
  </r>
  <r>
    <n v="1253"/>
    <n v="51923"/>
    <d v="2024-04-12T20:13:22"/>
    <n v="19"/>
    <s v="Female"/>
    <x v="0"/>
    <n v="4391"/>
  </r>
  <r>
    <n v="1289"/>
    <n v="51924"/>
    <d v="2024-04-13T02:03:53"/>
    <n v="43"/>
    <s v="Female"/>
    <x v="2"/>
    <n v="3959"/>
  </r>
  <r>
    <n v="1164"/>
    <n v="51925"/>
    <d v="2024-04-13T07:54:24"/>
    <n v="44"/>
    <s v="Female"/>
    <x v="3"/>
    <n v="4463"/>
  </r>
  <r>
    <n v="1095"/>
    <n v="51926"/>
    <d v="2024-04-13T13:44:55"/>
    <n v="44"/>
    <s v="Male"/>
    <x v="3"/>
    <n v="2289"/>
  </r>
  <r>
    <n v="1110"/>
    <n v="51927"/>
    <d v="2024-04-13T19:35:26"/>
    <n v="32"/>
    <s v="Female"/>
    <x v="3"/>
    <n v="2102"/>
  </r>
  <r>
    <n v="1336"/>
    <n v="51928"/>
    <d v="2024-04-14T01:25:57"/>
    <n v="25"/>
    <s v="Male"/>
    <x v="3"/>
    <n v="2767"/>
  </r>
  <r>
    <n v="1238"/>
    <n v="51929"/>
    <d v="2024-04-14T07:16:28"/>
    <n v="24"/>
    <s v="Male"/>
    <x v="2"/>
    <n v="2198"/>
  </r>
  <r>
    <n v="1381"/>
    <n v="51930"/>
    <d v="2024-04-14T13:06:59"/>
    <n v="64"/>
    <s v="Female"/>
    <x v="0"/>
    <n v="3314"/>
  </r>
  <r>
    <n v="1436"/>
    <n v="51931"/>
    <d v="2024-04-14T18:57:30"/>
    <n v="63"/>
    <s v="Male"/>
    <x v="1"/>
    <n v="3194"/>
  </r>
  <r>
    <n v="1483"/>
    <n v="51932"/>
    <d v="2024-04-15T00:48:01"/>
    <n v="57"/>
    <s v="Female"/>
    <x v="1"/>
    <n v="2210"/>
  </r>
  <r>
    <n v="1025"/>
    <n v="51933"/>
    <d v="2024-04-15T06:38:32"/>
    <n v="29"/>
    <s v="Female"/>
    <x v="0"/>
    <n v="2091"/>
  </r>
  <r>
    <n v="1117"/>
    <n v="51934"/>
    <d v="2024-04-15T12:29:03"/>
    <n v="30"/>
    <s v="Male"/>
    <x v="2"/>
    <n v="1030"/>
  </r>
  <r>
    <n v="1482"/>
    <n v="51935"/>
    <d v="2024-04-15T18:19:34"/>
    <n v="60"/>
    <s v="Female"/>
    <x v="1"/>
    <n v="248"/>
  </r>
  <r>
    <n v="1392"/>
    <n v="51936"/>
    <d v="2024-04-16T00:10:05"/>
    <n v="34"/>
    <s v="Female"/>
    <x v="0"/>
    <n v="4410"/>
  </r>
  <r>
    <n v="1537"/>
    <n v="51937"/>
    <d v="2024-04-16T06:00:36"/>
    <n v="34"/>
    <s v="Female"/>
    <x v="2"/>
    <n v="1378"/>
  </r>
  <r>
    <n v="1079"/>
    <n v="51938"/>
    <d v="2024-04-16T11:51:07"/>
    <n v="53"/>
    <s v="Female"/>
    <x v="1"/>
    <n v="3233"/>
  </r>
  <r>
    <n v="1580"/>
    <n v="51939"/>
    <d v="2024-04-16T17:41:38"/>
    <n v="38"/>
    <s v="Male"/>
    <x v="3"/>
    <n v="270"/>
  </r>
  <r>
    <n v="1173"/>
    <n v="51940"/>
    <d v="2024-04-16T23:32:09"/>
    <n v="25"/>
    <s v="Female"/>
    <x v="3"/>
    <n v="266"/>
  </r>
  <r>
    <n v="1012"/>
    <n v="51941"/>
    <d v="2024-04-17T05:22:40"/>
    <n v="22"/>
    <s v="Female"/>
    <x v="2"/>
    <n v="1977"/>
  </r>
  <r>
    <n v="1128"/>
    <n v="51942"/>
    <d v="2024-04-17T11:13:11"/>
    <n v="43"/>
    <s v="Female"/>
    <x v="3"/>
    <n v="2428"/>
  </r>
  <r>
    <n v="1092"/>
    <n v="51943"/>
    <d v="2024-04-17T17:03:42"/>
    <n v="33"/>
    <s v="Male"/>
    <x v="2"/>
    <n v="1989"/>
  </r>
  <r>
    <n v="1543"/>
    <n v="51944"/>
    <d v="2024-04-17T22:54:13"/>
    <n v="53"/>
    <s v="Female"/>
    <x v="0"/>
    <n v="812"/>
  </r>
  <r>
    <n v="1532"/>
    <n v="51945"/>
    <d v="2024-04-18T04:44:44"/>
    <n v="45"/>
    <s v="Male"/>
    <x v="0"/>
    <n v="2086"/>
  </r>
  <r>
    <n v="1447"/>
    <n v="51946"/>
    <d v="2024-04-18T10:35:15"/>
    <n v="46"/>
    <s v="Female"/>
    <x v="1"/>
    <n v="1822"/>
  </r>
  <r>
    <n v="1390"/>
    <n v="51947"/>
    <d v="2024-04-18T16:25:46"/>
    <n v="64"/>
    <s v="Female"/>
    <x v="2"/>
    <n v="896"/>
  </r>
  <r>
    <n v="1043"/>
    <n v="51948"/>
    <d v="2024-04-18T22:16:17"/>
    <n v="29"/>
    <s v="Female"/>
    <x v="1"/>
    <n v="1437"/>
  </r>
  <r>
    <n v="1254"/>
    <n v="51949"/>
    <d v="2024-04-19T04:06:48"/>
    <n v="54"/>
    <s v="Male"/>
    <x v="1"/>
    <n v="2606"/>
  </r>
  <r>
    <n v="1130"/>
    <n v="51950"/>
    <d v="2024-04-19T09:57:19"/>
    <n v="47"/>
    <s v="Male"/>
    <x v="0"/>
    <n v="448"/>
  </r>
  <r>
    <n v="1060"/>
    <n v="51951"/>
    <d v="2024-04-19T15:47:50"/>
    <n v="40"/>
    <s v="Male"/>
    <x v="1"/>
    <n v="837"/>
  </r>
  <r>
    <n v="1467"/>
    <n v="51952"/>
    <d v="2024-04-19T21:38:21"/>
    <n v="33"/>
    <s v="Male"/>
    <x v="3"/>
    <n v="1149"/>
  </r>
  <r>
    <n v="1287"/>
    <n v="51953"/>
    <d v="2024-04-20T03:28:52"/>
    <n v="31"/>
    <s v="Male"/>
    <x v="1"/>
    <n v="2104"/>
  </r>
  <r>
    <n v="1517"/>
    <n v="51954"/>
    <d v="2024-04-20T09:19:23"/>
    <n v="27"/>
    <s v="Male"/>
    <x v="2"/>
    <n v="3787"/>
  </r>
  <r>
    <n v="1467"/>
    <n v="51955"/>
    <d v="2024-04-20T15:09:54"/>
    <n v="24"/>
    <s v="Female"/>
    <x v="3"/>
    <n v="1311"/>
  </r>
  <r>
    <n v="1345"/>
    <n v="51956"/>
    <d v="2024-04-20T21:00:25"/>
    <n v="62"/>
    <s v="Male"/>
    <x v="0"/>
    <n v="375"/>
  </r>
  <r>
    <n v="1382"/>
    <n v="51957"/>
    <d v="2024-04-21T02:50:56"/>
    <n v="54"/>
    <s v="Female"/>
    <x v="2"/>
    <n v="922"/>
  </r>
  <r>
    <n v="1253"/>
    <n v="51958"/>
    <d v="2024-04-21T08:41:27"/>
    <n v="46"/>
    <s v="Male"/>
    <x v="3"/>
    <n v="4042"/>
  </r>
  <r>
    <n v="1056"/>
    <n v="51959"/>
    <d v="2024-04-21T14:31:58"/>
    <n v="20"/>
    <s v="Male"/>
    <x v="2"/>
    <n v="3874"/>
  </r>
  <r>
    <n v="1463"/>
    <n v="51960"/>
    <d v="2024-04-21T20:22:29"/>
    <n v="32"/>
    <s v="Male"/>
    <x v="3"/>
    <n v="2147"/>
  </r>
  <r>
    <n v="1457"/>
    <n v="51961"/>
    <d v="2024-04-22T02:13:00"/>
    <n v="53"/>
    <s v="Female"/>
    <x v="2"/>
    <n v="902"/>
  </r>
  <r>
    <n v="1083"/>
    <n v="51962"/>
    <d v="2024-04-22T08:03:31"/>
    <n v="64"/>
    <s v="Male"/>
    <x v="2"/>
    <n v="2328"/>
  </r>
  <r>
    <n v="1099"/>
    <n v="51963"/>
    <d v="2024-04-22T13:54:02"/>
    <n v="63"/>
    <s v="Male"/>
    <x v="3"/>
    <n v="1126"/>
  </r>
  <r>
    <n v="1149"/>
    <n v="51964"/>
    <d v="2024-04-22T19:44:33"/>
    <n v="36"/>
    <s v="Female"/>
    <x v="0"/>
    <n v="4433"/>
  </r>
  <r>
    <n v="1329"/>
    <n v="51965"/>
    <d v="2024-04-23T01:35:04"/>
    <n v="30"/>
    <s v="Female"/>
    <x v="0"/>
    <n v="3704"/>
  </r>
  <r>
    <n v="1156"/>
    <n v="51966"/>
    <d v="2024-04-23T07:25:35"/>
    <n v="59"/>
    <s v="Female"/>
    <x v="2"/>
    <n v="2717"/>
  </r>
  <r>
    <n v="1190"/>
    <n v="51967"/>
    <d v="2024-04-23T13:16:06"/>
    <n v="38"/>
    <s v="Female"/>
    <x v="2"/>
    <n v="2597"/>
  </r>
  <r>
    <n v="1494"/>
    <n v="51968"/>
    <d v="2024-04-23T19:06:37"/>
    <n v="54"/>
    <s v="Male"/>
    <x v="0"/>
    <n v="1349"/>
  </r>
  <r>
    <n v="1263"/>
    <n v="51969"/>
    <d v="2024-04-24T00:57:08"/>
    <n v="44"/>
    <s v="Female"/>
    <x v="0"/>
    <n v="3580"/>
  </r>
  <r>
    <n v="1080"/>
    <n v="51970"/>
    <d v="2024-04-24T06:47:39"/>
    <n v="46"/>
    <s v="Male"/>
    <x v="1"/>
    <n v="2078"/>
  </r>
  <r>
    <n v="1400"/>
    <n v="51971"/>
    <d v="2024-04-24T12:38:10"/>
    <n v="37"/>
    <s v="Male"/>
    <x v="0"/>
    <n v="1453"/>
  </r>
  <r>
    <n v="1260"/>
    <n v="51972"/>
    <d v="2024-04-24T18:28:41"/>
    <n v="42"/>
    <s v="Female"/>
    <x v="2"/>
    <n v="1683"/>
  </r>
  <r>
    <n v="1552"/>
    <n v="51973"/>
    <d v="2024-04-25T00:19:12"/>
    <n v="23"/>
    <s v="Male"/>
    <x v="3"/>
    <n v="509"/>
  </r>
  <r>
    <n v="1101"/>
    <n v="51974"/>
    <d v="2024-04-25T06:09:43"/>
    <n v="53"/>
    <s v="Female"/>
    <x v="0"/>
    <n v="4152"/>
  </r>
  <r>
    <n v="1359"/>
    <n v="51975"/>
    <d v="2024-04-25T12:00:14"/>
    <n v="19"/>
    <s v="Male"/>
    <x v="1"/>
    <n v="3249"/>
  </r>
  <r>
    <n v="1380"/>
    <n v="51976"/>
    <d v="2024-04-25T17:50:45"/>
    <n v="39"/>
    <s v="Female"/>
    <x v="1"/>
    <n v="1764"/>
  </r>
  <r>
    <n v="1221"/>
    <n v="51977"/>
    <d v="2024-04-25T23:41:16"/>
    <n v="49"/>
    <s v="Female"/>
    <x v="1"/>
    <n v="1700"/>
  </r>
  <r>
    <n v="1420"/>
    <n v="51978"/>
    <d v="2024-04-26T05:31:47"/>
    <n v="33"/>
    <s v="Female"/>
    <x v="3"/>
    <n v="215"/>
  </r>
  <r>
    <n v="1124"/>
    <n v="51979"/>
    <d v="2024-04-26T11:22:18"/>
    <n v="35"/>
    <s v="Female"/>
    <x v="0"/>
    <n v="805"/>
  </r>
  <r>
    <n v="1422"/>
    <n v="51980"/>
    <d v="2024-04-26T17:12:49"/>
    <n v="22"/>
    <s v="Female"/>
    <x v="0"/>
    <n v="1581"/>
  </r>
  <r>
    <n v="1231"/>
    <n v="51981"/>
    <d v="2024-04-26T23:03:20"/>
    <n v="53"/>
    <s v="Female"/>
    <x v="0"/>
    <n v="3583"/>
  </r>
  <r>
    <n v="1063"/>
    <n v="51982"/>
    <d v="2024-04-27T04:53:51"/>
    <n v="47"/>
    <s v="Male"/>
    <x v="3"/>
    <n v="1094"/>
  </r>
  <r>
    <n v="1485"/>
    <n v="51983"/>
    <d v="2024-04-27T10:44:22"/>
    <n v="62"/>
    <s v="Male"/>
    <x v="3"/>
    <n v="1767"/>
  </r>
  <r>
    <n v="1574"/>
    <n v="51984"/>
    <d v="2024-04-27T16:34:53"/>
    <n v="36"/>
    <s v="Male"/>
    <x v="2"/>
    <n v="613"/>
  </r>
  <r>
    <n v="1483"/>
    <n v="51985"/>
    <d v="2024-04-27T22:25:25"/>
    <n v="40"/>
    <s v="Female"/>
    <x v="1"/>
    <n v="4320"/>
  </r>
  <r>
    <n v="1519"/>
    <n v="51986"/>
    <d v="2024-04-28T04:15:56"/>
    <n v="51"/>
    <s v="Male"/>
    <x v="1"/>
    <n v="2204"/>
  </r>
  <r>
    <n v="1155"/>
    <n v="51987"/>
    <d v="2024-04-28T10:06:27"/>
    <n v="30"/>
    <s v="Female"/>
    <x v="0"/>
    <n v="515"/>
  </r>
  <r>
    <n v="1092"/>
    <n v="51988"/>
    <d v="2024-04-28T15:56:58"/>
    <n v="60"/>
    <s v="Male"/>
    <x v="3"/>
    <n v="4866"/>
  </r>
  <r>
    <n v="1526"/>
    <n v="51989"/>
    <d v="2024-04-28T21:47:29"/>
    <n v="46"/>
    <s v="Male"/>
    <x v="3"/>
    <n v="3255"/>
  </r>
  <r>
    <n v="1455"/>
    <n v="51990"/>
    <d v="2024-04-29T03:38:00"/>
    <n v="53"/>
    <s v="Female"/>
    <x v="0"/>
    <n v="2049"/>
  </r>
  <r>
    <n v="1598"/>
    <n v="51991"/>
    <d v="2024-04-29T09:28:31"/>
    <n v="39"/>
    <s v="Male"/>
    <x v="0"/>
    <n v="2153"/>
  </r>
  <r>
    <n v="1510"/>
    <n v="51992"/>
    <d v="2024-04-29T15:19:02"/>
    <n v="64"/>
    <s v="Male"/>
    <x v="2"/>
    <n v="588"/>
  </r>
  <r>
    <n v="1183"/>
    <n v="51993"/>
    <d v="2024-04-29T21:09:33"/>
    <n v="53"/>
    <s v="Male"/>
    <x v="1"/>
    <n v="2969"/>
  </r>
  <r>
    <n v="1386"/>
    <n v="51994"/>
    <d v="2024-04-30T03:00:04"/>
    <n v="26"/>
    <s v="Female"/>
    <x v="1"/>
    <n v="4739"/>
  </r>
  <r>
    <n v="1574"/>
    <n v="51995"/>
    <d v="2024-04-30T08:50:35"/>
    <n v="56"/>
    <s v="Male"/>
    <x v="1"/>
    <n v="3246"/>
  </r>
  <r>
    <n v="1405"/>
    <n v="51996"/>
    <d v="2024-04-30T14:41:06"/>
    <n v="36"/>
    <s v="Female"/>
    <x v="2"/>
    <n v="2615"/>
  </r>
  <r>
    <n v="1246"/>
    <n v="51997"/>
    <d v="2024-04-30T20:31:37"/>
    <n v="55"/>
    <s v="Male"/>
    <x v="0"/>
    <n v="2589"/>
  </r>
  <r>
    <n v="1591"/>
    <n v="51998"/>
    <d v="2024-05-01T02:22:08"/>
    <n v="23"/>
    <s v="Male"/>
    <x v="0"/>
    <n v="503"/>
  </r>
  <r>
    <n v="1471"/>
    <n v="51999"/>
    <d v="2024-05-01T08:12:39"/>
    <n v="64"/>
    <s v="Male"/>
    <x v="1"/>
    <n v="963"/>
  </r>
  <r>
    <n v="1423"/>
    <n v="52000"/>
    <d v="2024-05-01T14:03:10"/>
    <n v="32"/>
    <s v="Male"/>
    <x v="1"/>
    <n v="2173"/>
  </r>
  <r>
    <n v="1065"/>
    <n v="52001"/>
    <d v="2024-05-01T19:53:41"/>
    <n v="37"/>
    <s v="Female"/>
    <x v="2"/>
    <n v="1015"/>
  </r>
  <r>
    <n v="1013"/>
    <n v="52002"/>
    <d v="2024-05-02T01:44:12"/>
    <n v="26"/>
    <s v="Male"/>
    <x v="3"/>
    <n v="1077"/>
  </r>
  <r>
    <n v="1213"/>
    <n v="52003"/>
    <d v="2024-05-02T07:34:43"/>
    <n v="49"/>
    <s v="Female"/>
    <x v="3"/>
    <n v="4998"/>
  </r>
  <r>
    <n v="1242"/>
    <n v="52004"/>
    <d v="2024-05-02T13:25:14"/>
    <n v="21"/>
    <s v="Female"/>
    <x v="1"/>
    <n v="2526"/>
  </r>
  <r>
    <n v="1493"/>
    <n v="52005"/>
    <d v="2024-05-02T19:15:45"/>
    <n v="35"/>
    <s v="Male"/>
    <x v="2"/>
    <n v="2629"/>
  </r>
  <r>
    <n v="1213"/>
    <n v="52006"/>
    <d v="2024-05-03T01:06:16"/>
    <n v="22"/>
    <s v="Male"/>
    <x v="1"/>
    <n v="2260"/>
  </r>
  <r>
    <n v="1338"/>
    <n v="52007"/>
    <d v="2024-05-03T06:56:47"/>
    <n v="37"/>
    <s v="Female"/>
    <x v="3"/>
    <n v="4598"/>
  </r>
  <r>
    <n v="1173"/>
    <n v="52008"/>
    <d v="2024-05-03T12:47:18"/>
    <n v="40"/>
    <s v="Female"/>
    <x v="1"/>
    <n v="1779"/>
  </r>
  <r>
    <n v="1164"/>
    <n v="52009"/>
    <d v="2024-05-03T18:37:49"/>
    <n v="28"/>
    <s v="Male"/>
    <x v="3"/>
    <n v="4455"/>
  </r>
  <r>
    <n v="1465"/>
    <n v="52010"/>
    <d v="2024-05-04T00:28:20"/>
    <n v="54"/>
    <s v="Male"/>
    <x v="3"/>
    <n v="2401"/>
  </r>
  <r>
    <n v="1497"/>
    <n v="52011"/>
    <d v="2024-05-04T06:18:51"/>
    <n v="39"/>
    <s v="Male"/>
    <x v="3"/>
    <n v="3797"/>
  </r>
  <r>
    <n v="1395"/>
    <n v="52012"/>
    <d v="2024-05-04T12:09:22"/>
    <n v="21"/>
    <s v="Male"/>
    <x v="0"/>
    <n v="1403"/>
  </r>
  <r>
    <n v="1308"/>
    <n v="52013"/>
    <d v="2024-05-04T17:59:53"/>
    <n v="46"/>
    <s v="Male"/>
    <x v="0"/>
    <n v="2624"/>
  </r>
  <r>
    <n v="1183"/>
    <n v="52014"/>
    <d v="2024-05-04T23:50:24"/>
    <n v="61"/>
    <s v="Female"/>
    <x v="1"/>
    <n v="4075"/>
  </r>
  <r>
    <n v="1510"/>
    <n v="52015"/>
    <d v="2024-05-05T05:40:55"/>
    <n v="51"/>
    <s v="Male"/>
    <x v="3"/>
    <n v="3023"/>
  </r>
  <r>
    <n v="1546"/>
    <n v="52016"/>
    <d v="2024-05-05T11:31:26"/>
    <n v="30"/>
    <s v="Male"/>
    <x v="0"/>
    <n v="3485"/>
  </r>
  <r>
    <n v="1564"/>
    <n v="52017"/>
    <d v="2024-05-05T17:21:57"/>
    <n v="59"/>
    <s v="Female"/>
    <x v="1"/>
    <n v="2263"/>
  </r>
  <r>
    <n v="1594"/>
    <n v="52018"/>
    <d v="2024-05-05T23:12:28"/>
    <n v="26"/>
    <s v="Male"/>
    <x v="1"/>
    <n v="2179"/>
  </r>
  <r>
    <n v="1227"/>
    <n v="52019"/>
    <d v="2024-05-06T05:02:59"/>
    <n v="59"/>
    <s v="Male"/>
    <x v="1"/>
    <n v="4548"/>
  </r>
  <r>
    <n v="1436"/>
    <n v="52020"/>
    <d v="2024-05-06T10:53:30"/>
    <n v="48"/>
    <s v="Female"/>
    <x v="1"/>
    <n v="3331"/>
  </r>
  <r>
    <n v="1422"/>
    <n v="52021"/>
    <d v="2024-05-06T16:44:01"/>
    <n v="24"/>
    <s v="Male"/>
    <x v="1"/>
    <n v="3292"/>
  </r>
  <r>
    <n v="1554"/>
    <n v="52022"/>
    <d v="2024-05-06T22:34:32"/>
    <n v="21"/>
    <s v="Female"/>
    <x v="2"/>
    <n v="3864"/>
  </r>
  <r>
    <n v="1021"/>
    <n v="52023"/>
    <d v="2024-05-07T04:25:03"/>
    <n v="36"/>
    <s v="Male"/>
    <x v="3"/>
    <n v="2536"/>
  </r>
  <r>
    <n v="1554"/>
    <n v="52024"/>
    <d v="2024-05-07T10:15:34"/>
    <n v="59"/>
    <s v="Male"/>
    <x v="1"/>
    <n v="3814"/>
  </r>
  <r>
    <n v="1397"/>
    <n v="52025"/>
    <d v="2024-05-07T16:06:05"/>
    <n v="47"/>
    <s v="Male"/>
    <x v="2"/>
    <n v="697"/>
  </r>
  <r>
    <n v="1105"/>
    <n v="52026"/>
    <d v="2024-05-07T21:56:36"/>
    <n v="48"/>
    <s v="Female"/>
    <x v="3"/>
    <n v="4017"/>
  </r>
  <r>
    <n v="1192"/>
    <n v="52027"/>
    <d v="2024-05-08T03:47:07"/>
    <n v="52"/>
    <s v="Female"/>
    <x v="0"/>
    <n v="4843"/>
  </r>
  <r>
    <n v="1017"/>
    <n v="52028"/>
    <d v="2024-05-08T09:37:38"/>
    <n v="38"/>
    <s v="Female"/>
    <x v="1"/>
    <n v="331"/>
  </r>
  <r>
    <n v="1120"/>
    <n v="52029"/>
    <d v="2024-05-08T15:28:09"/>
    <n v="48"/>
    <s v="Female"/>
    <x v="2"/>
    <n v="1057"/>
  </r>
  <r>
    <n v="1393"/>
    <n v="52030"/>
    <d v="2024-05-08T21:18:40"/>
    <n v="36"/>
    <s v="Male"/>
    <x v="0"/>
    <n v="720"/>
  </r>
  <r>
    <n v="1425"/>
    <n v="52031"/>
    <d v="2024-05-09T03:09:11"/>
    <n v="48"/>
    <s v="Female"/>
    <x v="2"/>
    <n v="229"/>
  </r>
  <r>
    <n v="1129"/>
    <n v="52032"/>
    <d v="2024-05-09T08:59:42"/>
    <n v="49"/>
    <s v="Female"/>
    <x v="3"/>
    <n v="3596"/>
  </r>
  <r>
    <n v="1130"/>
    <n v="52033"/>
    <d v="2024-05-09T14:50:13"/>
    <n v="19"/>
    <s v="Female"/>
    <x v="3"/>
    <n v="4804"/>
  </r>
  <r>
    <n v="1572"/>
    <n v="52034"/>
    <d v="2024-05-09T20:40:44"/>
    <n v="27"/>
    <s v="Male"/>
    <x v="0"/>
    <n v="1460"/>
  </r>
  <r>
    <n v="1560"/>
    <n v="52035"/>
    <d v="2024-05-10T02:31:15"/>
    <n v="19"/>
    <s v="Male"/>
    <x v="2"/>
    <n v="1758"/>
  </r>
  <r>
    <n v="1029"/>
    <n v="52036"/>
    <d v="2024-05-10T08:21:46"/>
    <n v="19"/>
    <s v="Female"/>
    <x v="1"/>
    <n v="215"/>
  </r>
  <r>
    <n v="1097"/>
    <n v="52037"/>
    <d v="2024-05-10T14:12:17"/>
    <n v="41"/>
    <s v="Female"/>
    <x v="1"/>
    <n v="3805"/>
  </r>
  <r>
    <n v="1010"/>
    <n v="52038"/>
    <d v="2024-05-10T20:02:48"/>
    <n v="34"/>
    <s v="Male"/>
    <x v="0"/>
    <n v="1807"/>
  </r>
  <r>
    <n v="1242"/>
    <n v="52039"/>
    <d v="2024-05-11T01:53:19"/>
    <n v="49"/>
    <s v="Female"/>
    <x v="0"/>
    <n v="3717"/>
  </r>
  <r>
    <n v="1232"/>
    <n v="52040"/>
    <d v="2024-05-11T07:43:50"/>
    <n v="33"/>
    <s v="Female"/>
    <x v="0"/>
    <n v="2216"/>
  </r>
  <r>
    <n v="1284"/>
    <n v="52041"/>
    <d v="2024-05-11T13:34:21"/>
    <n v="33"/>
    <s v="Female"/>
    <x v="2"/>
    <n v="3774"/>
  </r>
  <r>
    <n v="1200"/>
    <n v="52042"/>
    <d v="2024-05-11T19:24:52"/>
    <n v="63"/>
    <s v="Female"/>
    <x v="1"/>
    <n v="1943"/>
  </r>
  <r>
    <n v="1079"/>
    <n v="52043"/>
    <d v="2024-05-12T01:15:23"/>
    <n v="56"/>
    <s v="Male"/>
    <x v="1"/>
    <n v="3991"/>
  </r>
  <r>
    <n v="1173"/>
    <n v="52044"/>
    <d v="2024-05-12T07:05:54"/>
    <n v="48"/>
    <s v="Male"/>
    <x v="1"/>
    <n v="3834"/>
  </r>
  <r>
    <n v="1467"/>
    <n v="52045"/>
    <d v="2024-05-12T12:56:25"/>
    <n v="60"/>
    <s v="Male"/>
    <x v="0"/>
    <n v="1288"/>
  </r>
  <r>
    <n v="1581"/>
    <n v="52046"/>
    <d v="2024-05-12T18:46:56"/>
    <n v="41"/>
    <s v="Female"/>
    <x v="1"/>
    <n v="1561"/>
  </r>
  <r>
    <n v="1416"/>
    <n v="52047"/>
    <d v="2024-05-13T00:37:27"/>
    <n v="18"/>
    <s v="Female"/>
    <x v="3"/>
    <n v="3572"/>
  </r>
  <r>
    <n v="1449"/>
    <n v="52048"/>
    <d v="2024-05-13T06:27:58"/>
    <n v="28"/>
    <s v="Male"/>
    <x v="0"/>
    <n v="4673"/>
  </r>
  <r>
    <n v="1087"/>
    <n v="52049"/>
    <d v="2024-05-13T12:18:29"/>
    <n v="38"/>
    <s v="Male"/>
    <x v="1"/>
    <n v="675"/>
  </r>
  <r>
    <n v="1101"/>
    <n v="52050"/>
    <d v="2024-05-13T18:09:00"/>
    <n v="21"/>
    <s v="Male"/>
    <x v="2"/>
    <n v="1489"/>
  </r>
  <r>
    <n v="1008"/>
    <n v="52051"/>
    <d v="2024-05-13T23:59:31"/>
    <n v="24"/>
    <s v="Female"/>
    <x v="0"/>
    <n v="528"/>
  </r>
  <r>
    <n v="1200"/>
    <n v="52052"/>
    <d v="2024-05-14T05:50:02"/>
    <n v="43"/>
    <s v="Male"/>
    <x v="3"/>
    <n v="4244"/>
  </r>
  <r>
    <n v="1505"/>
    <n v="52053"/>
    <d v="2024-05-14T11:40:33"/>
    <n v="64"/>
    <s v="Female"/>
    <x v="3"/>
    <n v="2039"/>
  </r>
  <r>
    <n v="1087"/>
    <n v="52054"/>
    <d v="2024-05-14T17:31:04"/>
    <n v="29"/>
    <s v="Female"/>
    <x v="2"/>
    <n v="1386"/>
  </r>
  <r>
    <n v="1043"/>
    <n v="52055"/>
    <d v="2024-05-14T23:21:35"/>
    <n v="48"/>
    <s v="Male"/>
    <x v="2"/>
    <n v="4733"/>
  </r>
  <r>
    <n v="1385"/>
    <n v="52056"/>
    <d v="2024-05-15T05:12:06"/>
    <n v="34"/>
    <s v="Male"/>
    <x v="0"/>
    <n v="3614"/>
  </r>
  <r>
    <n v="1435"/>
    <n v="52057"/>
    <d v="2024-05-15T11:02:37"/>
    <n v="50"/>
    <s v="Female"/>
    <x v="0"/>
    <n v="3736"/>
  </r>
  <r>
    <n v="1408"/>
    <n v="52058"/>
    <d v="2024-05-15T16:53:08"/>
    <n v="28"/>
    <s v="Male"/>
    <x v="3"/>
    <n v="1973"/>
  </r>
  <r>
    <n v="1483"/>
    <n v="52059"/>
    <d v="2024-05-15T22:43:39"/>
    <n v="45"/>
    <s v="Male"/>
    <x v="2"/>
    <n v="2263"/>
  </r>
  <r>
    <n v="1017"/>
    <n v="52060"/>
    <d v="2024-05-16T04:34:10"/>
    <n v="49"/>
    <s v="Female"/>
    <x v="0"/>
    <n v="2044"/>
  </r>
  <r>
    <n v="1148"/>
    <n v="52061"/>
    <d v="2024-05-16T10:24:41"/>
    <n v="18"/>
    <s v="Female"/>
    <x v="3"/>
    <n v="2758"/>
  </r>
  <r>
    <n v="1277"/>
    <n v="52062"/>
    <d v="2024-05-16T16:15:12"/>
    <n v="64"/>
    <s v="Female"/>
    <x v="2"/>
    <n v="1462"/>
  </r>
  <r>
    <n v="1232"/>
    <n v="52063"/>
    <d v="2024-05-16T22:05:43"/>
    <n v="45"/>
    <s v="Female"/>
    <x v="3"/>
    <n v="3491"/>
  </r>
  <r>
    <n v="1366"/>
    <n v="52064"/>
    <d v="2024-05-17T03:56:14"/>
    <n v="59"/>
    <s v="Female"/>
    <x v="1"/>
    <n v="1218"/>
  </r>
  <r>
    <n v="1228"/>
    <n v="52065"/>
    <d v="2024-05-17T09:46:45"/>
    <n v="24"/>
    <s v="Male"/>
    <x v="2"/>
    <n v="1989"/>
  </r>
  <r>
    <n v="1436"/>
    <n v="52066"/>
    <d v="2024-05-17T15:37:16"/>
    <n v="19"/>
    <s v="Female"/>
    <x v="0"/>
    <n v="3724"/>
  </r>
  <r>
    <n v="1399"/>
    <n v="52067"/>
    <d v="2024-05-17T21:27:47"/>
    <n v="59"/>
    <s v="Female"/>
    <x v="0"/>
    <n v="3704"/>
  </r>
  <r>
    <n v="1211"/>
    <n v="52068"/>
    <d v="2024-05-18T03:18:18"/>
    <n v="41"/>
    <s v="Female"/>
    <x v="1"/>
    <n v="1006"/>
  </r>
  <r>
    <n v="1391"/>
    <n v="52069"/>
    <d v="2024-05-18T09:08:49"/>
    <n v="21"/>
    <s v="Male"/>
    <x v="2"/>
    <n v="2866"/>
  </r>
  <r>
    <n v="1499"/>
    <n v="52070"/>
    <d v="2024-05-18T14:59:20"/>
    <n v="61"/>
    <s v="Female"/>
    <x v="3"/>
    <n v="604"/>
  </r>
  <r>
    <n v="1540"/>
    <n v="52071"/>
    <d v="2024-05-18T20:49:51"/>
    <n v="36"/>
    <s v="Female"/>
    <x v="0"/>
    <n v="793"/>
  </r>
  <r>
    <n v="1563"/>
    <n v="52072"/>
    <d v="2024-05-19T02:40:22"/>
    <n v="43"/>
    <s v="Female"/>
    <x v="1"/>
    <n v="4149"/>
  </r>
  <r>
    <n v="1491"/>
    <n v="52073"/>
    <d v="2024-05-19T08:30:53"/>
    <n v="28"/>
    <s v="Male"/>
    <x v="1"/>
    <n v="4307"/>
  </r>
  <r>
    <n v="1442"/>
    <n v="52074"/>
    <d v="2024-05-19T14:21:24"/>
    <n v="57"/>
    <s v="Female"/>
    <x v="2"/>
    <n v="3480"/>
  </r>
  <r>
    <n v="1261"/>
    <n v="52075"/>
    <d v="2024-05-19T20:11:55"/>
    <n v="60"/>
    <s v="Female"/>
    <x v="2"/>
    <n v="2412"/>
  </r>
  <r>
    <n v="1350"/>
    <n v="52076"/>
    <d v="2024-05-20T02:02:26"/>
    <n v="28"/>
    <s v="Female"/>
    <x v="0"/>
    <n v="1742"/>
  </r>
  <r>
    <n v="1352"/>
    <n v="52077"/>
    <d v="2024-05-20T07:52:57"/>
    <n v="62"/>
    <s v="Male"/>
    <x v="1"/>
    <n v="813"/>
  </r>
  <r>
    <n v="1520"/>
    <n v="52078"/>
    <d v="2024-05-20T13:43:28"/>
    <n v="20"/>
    <s v="Male"/>
    <x v="3"/>
    <n v="1068"/>
  </r>
  <r>
    <n v="1320"/>
    <n v="52079"/>
    <d v="2024-05-20T19:33:59"/>
    <n v="29"/>
    <s v="Male"/>
    <x v="1"/>
    <n v="1011"/>
  </r>
  <r>
    <n v="1138"/>
    <n v="52080"/>
    <d v="2024-05-21T01:24:30"/>
    <n v="20"/>
    <s v="Male"/>
    <x v="3"/>
    <n v="2022"/>
  </r>
  <r>
    <n v="1550"/>
    <n v="52081"/>
    <d v="2024-05-21T07:15:02"/>
    <n v="59"/>
    <s v="Female"/>
    <x v="3"/>
    <n v="4377"/>
  </r>
  <r>
    <n v="1368"/>
    <n v="52082"/>
    <d v="2024-05-21T13:05:33"/>
    <n v="44"/>
    <s v="Female"/>
    <x v="0"/>
    <n v="1944"/>
  </r>
  <r>
    <n v="1220"/>
    <n v="52083"/>
    <d v="2024-05-21T18:56:04"/>
    <n v="19"/>
    <s v="Male"/>
    <x v="1"/>
    <n v="2456"/>
  </r>
  <r>
    <n v="1337"/>
    <n v="52084"/>
    <d v="2024-05-22T00:46:35"/>
    <n v="33"/>
    <s v="Male"/>
    <x v="3"/>
    <n v="4242"/>
  </r>
  <r>
    <n v="1223"/>
    <n v="52085"/>
    <d v="2024-05-22T06:37:06"/>
    <n v="19"/>
    <s v="Female"/>
    <x v="2"/>
    <n v="3867"/>
  </r>
  <r>
    <n v="1360"/>
    <n v="52086"/>
    <d v="2024-05-22T12:27:37"/>
    <n v="47"/>
    <s v="Female"/>
    <x v="3"/>
    <n v="721"/>
  </r>
  <r>
    <n v="1329"/>
    <n v="52087"/>
    <d v="2024-05-22T18:18:08"/>
    <n v="37"/>
    <s v="Male"/>
    <x v="2"/>
    <n v="1725"/>
  </r>
  <r>
    <n v="1463"/>
    <n v="52088"/>
    <d v="2024-05-23T00:08:39"/>
    <n v="55"/>
    <s v="Male"/>
    <x v="2"/>
    <n v="1669"/>
  </r>
  <r>
    <n v="1561"/>
    <n v="52089"/>
    <d v="2024-05-23T05:59:10"/>
    <n v="45"/>
    <s v="Male"/>
    <x v="1"/>
    <n v="2875"/>
  </r>
  <r>
    <n v="1382"/>
    <n v="52090"/>
    <d v="2024-05-23T11:49:41"/>
    <n v="42"/>
    <s v="Male"/>
    <x v="2"/>
    <n v="1713"/>
  </r>
  <r>
    <n v="1590"/>
    <n v="52091"/>
    <d v="2024-05-23T17:40:12"/>
    <n v="49"/>
    <s v="Female"/>
    <x v="3"/>
    <n v="1651"/>
  </r>
  <r>
    <n v="1169"/>
    <n v="52092"/>
    <d v="2024-05-23T23:30:43"/>
    <n v="27"/>
    <s v="Male"/>
    <x v="2"/>
    <n v="4854"/>
  </r>
  <r>
    <n v="1217"/>
    <n v="52093"/>
    <d v="2024-05-24T05:21:14"/>
    <n v="59"/>
    <s v="Male"/>
    <x v="1"/>
    <n v="3630"/>
  </r>
  <r>
    <n v="1378"/>
    <n v="52094"/>
    <d v="2024-05-24T11:11:45"/>
    <n v="57"/>
    <s v="Female"/>
    <x v="0"/>
    <n v="3207"/>
  </r>
  <r>
    <n v="1119"/>
    <n v="52095"/>
    <d v="2024-05-24T17:02:16"/>
    <n v="50"/>
    <s v="Female"/>
    <x v="3"/>
    <n v="3324"/>
  </r>
  <r>
    <n v="1190"/>
    <n v="52096"/>
    <d v="2024-05-24T22:52:47"/>
    <n v="30"/>
    <s v="Female"/>
    <x v="3"/>
    <n v="1953"/>
  </r>
  <r>
    <n v="1370"/>
    <n v="52097"/>
    <d v="2024-05-25T04:43:18"/>
    <n v="58"/>
    <s v="Female"/>
    <x v="1"/>
    <n v="1812"/>
  </r>
  <r>
    <n v="1149"/>
    <n v="52098"/>
    <d v="2024-05-25T10:33:49"/>
    <n v="59"/>
    <s v="Female"/>
    <x v="1"/>
    <n v="3475"/>
  </r>
  <r>
    <n v="1488"/>
    <n v="52099"/>
    <d v="2024-05-25T16:24:20"/>
    <n v="64"/>
    <s v="Male"/>
    <x v="1"/>
    <n v="755"/>
  </r>
  <r>
    <n v="1374"/>
    <n v="52100"/>
    <d v="2024-05-25T22:14:51"/>
    <n v="54"/>
    <s v="Male"/>
    <x v="1"/>
    <n v="4451"/>
  </r>
  <r>
    <n v="1160"/>
    <n v="52101"/>
    <d v="2024-05-26T04:05:22"/>
    <n v="33"/>
    <s v="Male"/>
    <x v="3"/>
    <n v="2249"/>
  </r>
  <r>
    <n v="1351"/>
    <n v="52102"/>
    <d v="2024-05-26T09:55:53"/>
    <n v="62"/>
    <s v="Female"/>
    <x v="0"/>
    <n v="1024"/>
  </r>
  <r>
    <n v="1288"/>
    <n v="52103"/>
    <d v="2024-05-26T15:46:24"/>
    <n v="39"/>
    <s v="Male"/>
    <x v="2"/>
    <n v="3049"/>
  </r>
  <r>
    <n v="1288"/>
    <n v="52104"/>
    <d v="2024-05-26T21:36:55"/>
    <n v="37"/>
    <s v="Female"/>
    <x v="2"/>
    <n v="3230"/>
  </r>
  <r>
    <n v="1226"/>
    <n v="52105"/>
    <d v="2024-05-27T03:27:26"/>
    <n v="60"/>
    <s v="Male"/>
    <x v="0"/>
    <n v="1281"/>
  </r>
  <r>
    <n v="1523"/>
    <n v="52106"/>
    <d v="2024-05-27T09:17:57"/>
    <n v="44"/>
    <s v="Male"/>
    <x v="0"/>
    <n v="3525"/>
  </r>
  <r>
    <n v="1522"/>
    <n v="52107"/>
    <d v="2024-05-27T15:08:28"/>
    <n v="58"/>
    <s v="Female"/>
    <x v="0"/>
    <n v="692"/>
  </r>
  <r>
    <n v="1273"/>
    <n v="52108"/>
    <d v="2024-05-27T20:58:59"/>
    <n v="33"/>
    <s v="Female"/>
    <x v="1"/>
    <n v="4964"/>
  </r>
  <r>
    <n v="1402"/>
    <n v="52109"/>
    <d v="2024-05-28T02:49:30"/>
    <n v="51"/>
    <s v="Male"/>
    <x v="3"/>
    <n v="274"/>
  </r>
  <r>
    <n v="1183"/>
    <n v="52110"/>
    <d v="2024-05-28T08:40:01"/>
    <n v="49"/>
    <s v="Male"/>
    <x v="3"/>
    <n v="3191"/>
  </r>
  <r>
    <n v="1488"/>
    <n v="52111"/>
    <d v="2024-05-28T14:30:32"/>
    <n v="43"/>
    <s v="Male"/>
    <x v="3"/>
    <n v="3560"/>
  </r>
  <r>
    <n v="1124"/>
    <n v="52112"/>
    <d v="2024-05-28T20:21:03"/>
    <n v="42"/>
    <s v="Male"/>
    <x v="1"/>
    <n v="570"/>
  </r>
  <r>
    <n v="1414"/>
    <n v="52113"/>
    <d v="2024-05-29T02:11:34"/>
    <n v="19"/>
    <s v="Male"/>
    <x v="3"/>
    <n v="4882"/>
  </r>
  <r>
    <n v="1172"/>
    <n v="52114"/>
    <d v="2024-05-29T08:02:05"/>
    <n v="29"/>
    <s v="Female"/>
    <x v="1"/>
    <n v="528"/>
  </r>
  <r>
    <n v="1288"/>
    <n v="52115"/>
    <d v="2024-05-29T13:52:36"/>
    <n v="57"/>
    <s v="Female"/>
    <x v="3"/>
    <n v="4885"/>
  </r>
  <r>
    <n v="1435"/>
    <n v="52116"/>
    <d v="2024-05-29T19:43:07"/>
    <n v="26"/>
    <s v="Female"/>
    <x v="0"/>
    <n v="1990"/>
  </r>
  <r>
    <n v="1113"/>
    <n v="52117"/>
    <d v="2024-05-30T01:33:38"/>
    <n v="29"/>
    <s v="Female"/>
    <x v="2"/>
    <n v="976"/>
  </r>
  <r>
    <n v="1122"/>
    <n v="52118"/>
    <d v="2024-05-30T07:24:09"/>
    <n v="43"/>
    <s v="Male"/>
    <x v="2"/>
    <n v="2222"/>
  </r>
  <r>
    <n v="1544"/>
    <n v="52119"/>
    <d v="2024-05-30T13:14:40"/>
    <n v="26"/>
    <s v="Male"/>
    <x v="1"/>
    <n v="4874"/>
  </r>
  <r>
    <n v="1222"/>
    <n v="52120"/>
    <d v="2024-05-30T19:05:11"/>
    <n v="27"/>
    <s v="Female"/>
    <x v="3"/>
    <n v="4516"/>
  </r>
  <r>
    <n v="1039"/>
    <n v="52121"/>
    <d v="2024-05-31T00:55:42"/>
    <n v="49"/>
    <s v="Male"/>
    <x v="2"/>
    <n v="1387"/>
  </r>
  <r>
    <n v="1497"/>
    <n v="52122"/>
    <d v="2024-05-31T06:46:13"/>
    <n v="51"/>
    <s v="Female"/>
    <x v="0"/>
    <n v="1703"/>
  </r>
  <r>
    <n v="1233"/>
    <n v="52123"/>
    <d v="2024-05-31T12:36:44"/>
    <n v="37"/>
    <s v="Male"/>
    <x v="0"/>
    <n v="3491"/>
  </r>
  <r>
    <n v="1530"/>
    <n v="52124"/>
    <d v="2024-05-31T18:27:15"/>
    <n v="56"/>
    <s v="Male"/>
    <x v="0"/>
    <n v="3525"/>
  </r>
  <r>
    <n v="1149"/>
    <n v="52125"/>
    <d v="2024-06-01T00:17:46"/>
    <n v="19"/>
    <s v="Male"/>
    <x v="1"/>
    <n v="387"/>
  </r>
  <r>
    <n v="1397"/>
    <n v="52126"/>
    <d v="2024-06-01T06:08:17"/>
    <n v="18"/>
    <s v="Female"/>
    <x v="1"/>
    <n v="1414"/>
  </r>
  <r>
    <n v="1302"/>
    <n v="52127"/>
    <d v="2024-06-01T11:58:48"/>
    <n v="53"/>
    <s v="Female"/>
    <x v="3"/>
    <n v="3486"/>
  </r>
  <r>
    <n v="1360"/>
    <n v="52128"/>
    <d v="2024-06-01T17:49:19"/>
    <n v="41"/>
    <s v="Female"/>
    <x v="0"/>
    <n v="3646"/>
  </r>
  <r>
    <n v="1238"/>
    <n v="52129"/>
    <d v="2024-06-01T23:39:50"/>
    <n v="44"/>
    <s v="Female"/>
    <x v="3"/>
    <n v="1309"/>
  </r>
  <r>
    <n v="1236"/>
    <n v="52130"/>
    <d v="2024-06-02T05:30:21"/>
    <n v="19"/>
    <s v="Male"/>
    <x v="3"/>
    <n v="2721"/>
  </r>
  <r>
    <n v="1203"/>
    <n v="52131"/>
    <d v="2024-06-02T11:20:52"/>
    <n v="48"/>
    <s v="Male"/>
    <x v="0"/>
    <n v="4079"/>
  </r>
  <r>
    <n v="1256"/>
    <n v="52132"/>
    <d v="2024-06-02T17:11:23"/>
    <n v="31"/>
    <s v="Male"/>
    <x v="3"/>
    <n v="730"/>
  </r>
  <r>
    <n v="1598"/>
    <n v="52133"/>
    <d v="2024-06-02T23:01:54"/>
    <n v="19"/>
    <s v="Male"/>
    <x v="2"/>
    <n v="1270"/>
  </r>
  <r>
    <n v="1235"/>
    <n v="52134"/>
    <d v="2024-06-03T04:52:25"/>
    <n v="46"/>
    <s v="Female"/>
    <x v="1"/>
    <n v="3336"/>
  </r>
  <r>
    <n v="1345"/>
    <n v="52135"/>
    <d v="2024-06-03T10:42:56"/>
    <n v="32"/>
    <s v="Male"/>
    <x v="3"/>
    <n v="1162"/>
  </r>
  <r>
    <n v="1534"/>
    <n v="52136"/>
    <d v="2024-06-03T16:33:27"/>
    <n v="29"/>
    <s v="Male"/>
    <x v="0"/>
    <n v="1605"/>
  </r>
  <r>
    <n v="1466"/>
    <n v="52137"/>
    <d v="2024-06-03T22:23:58"/>
    <n v="54"/>
    <s v="Male"/>
    <x v="1"/>
    <n v="3337"/>
  </r>
  <r>
    <n v="1541"/>
    <n v="52138"/>
    <d v="2024-06-04T04:14:29"/>
    <n v="45"/>
    <s v="Female"/>
    <x v="1"/>
    <n v="716"/>
  </r>
  <r>
    <n v="1213"/>
    <n v="52139"/>
    <d v="2024-06-04T10:05:00"/>
    <n v="37"/>
    <s v="Female"/>
    <x v="3"/>
    <n v="3364"/>
  </r>
  <r>
    <n v="1463"/>
    <n v="52140"/>
    <d v="2024-06-04T15:55:31"/>
    <n v="56"/>
    <s v="Female"/>
    <x v="2"/>
    <n v="1691"/>
  </r>
  <r>
    <n v="1436"/>
    <n v="52141"/>
    <d v="2024-06-04T21:46:02"/>
    <n v="41"/>
    <s v="Male"/>
    <x v="3"/>
    <n v="3889"/>
  </r>
  <r>
    <n v="1283"/>
    <n v="52142"/>
    <d v="2024-06-05T03:36:33"/>
    <n v="38"/>
    <s v="Female"/>
    <x v="2"/>
    <n v="4428"/>
  </r>
  <r>
    <n v="1562"/>
    <n v="52143"/>
    <d v="2024-06-05T09:27:04"/>
    <n v="27"/>
    <s v="Male"/>
    <x v="1"/>
    <n v="4609"/>
  </r>
  <r>
    <n v="1463"/>
    <n v="52144"/>
    <d v="2024-06-05T15:17:35"/>
    <n v="63"/>
    <s v="Male"/>
    <x v="3"/>
    <n v="790"/>
  </r>
  <r>
    <n v="1407"/>
    <n v="52145"/>
    <d v="2024-06-05T21:08:06"/>
    <n v="31"/>
    <s v="Male"/>
    <x v="0"/>
    <n v="1743"/>
  </r>
  <r>
    <n v="1088"/>
    <n v="52146"/>
    <d v="2024-06-06T02:58:37"/>
    <n v="54"/>
    <s v="Female"/>
    <x v="3"/>
    <n v="3256"/>
  </r>
  <r>
    <n v="1044"/>
    <n v="52147"/>
    <d v="2024-06-06T08:49:08"/>
    <n v="35"/>
    <s v="Female"/>
    <x v="2"/>
    <n v="2406"/>
  </r>
  <r>
    <n v="1461"/>
    <n v="52148"/>
    <d v="2024-06-06T14:39:39"/>
    <n v="41"/>
    <s v="Male"/>
    <x v="2"/>
    <n v="3539"/>
  </r>
  <r>
    <n v="1278"/>
    <n v="52149"/>
    <d v="2024-06-06T20:30:10"/>
    <n v="31"/>
    <s v="Male"/>
    <x v="3"/>
    <n v="2908"/>
  </r>
  <r>
    <n v="1421"/>
    <n v="52150"/>
    <d v="2024-06-07T02:20:41"/>
    <n v="51"/>
    <s v="Female"/>
    <x v="2"/>
    <n v="4229"/>
  </r>
  <r>
    <n v="1353"/>
    <n v="52151"/>
    <d v="2024-06-07T08:11:12"/>
    <n v="29"/>
    <s v="Female"/>
    <x v="1"/>
    <n v="947"/>
  </r>
  <r>
    <n v="1515"/>
    <n v="52152"/>
    <d v="2024-06-07T14:01:43"/>
    <n v="39"/>
    <s v="Female"/>
    <x v="3"/>
    <n v="1000"/>
  </r>
  <r>
    <n v="1019"/>
    <n v="52153"/>
    <d v="2024-06-07T19:52:14"/>
    <n v="23"/>
    <s v="Male"/>
    <x v="2"/>
    <n v="1697"/>
  </r>
  <r>
    <n v="1023"/>
    <n v="52154"/>
    <d v="2024-06-08T01:42:45"/>
    <n v="53"/>
    <s v="Male"/>
    <x v="3"/>
    <n v="1579"/>
  </r>
  <r>
    <n v="1413"/>
    <n v="52155"/>
    <d v="2024-06-08T07:33:16"/>
    <n v="62"/>
    <s v="Male"/>
    <x v="3"/>
    <n v="879"/>
  </r>
  <r>
    <n v="1030"/>
    <n v="52156"/>
    <d v="2024-06-08T13:23:47"/>
    <n v="53"/>
    <s v="Female"/>
    <x v="0"/>
    <n v="3970"/>
  </r>
  <r>
    <n v="1108"/>
    <n v="52157"/>
    <d v="2024-06-08T19:14:18"/>
    <n v="39"/>
    <s v="Female"/>
    <x v="3"/>
    <n v="3542"/>
  </r>
  <r>
    <n v="1367"/>
    <n v="52158"/>
    <d v="2024-06-09T01:04:49"/>
    <n v="31"/>
    <s v="Female"/>
    <x v="0"/>
    <n v="1096"/>
  </r>
  <r>
    <n v="1281"/>
    <n v="52159"/>
    <d v="2024-06-09T06:55:20"/>
    <n v="33"/>
    <s v="Male"/>
    <x v="2"/>
    <n v="1746"/>
  </r>
  <r>
    <n v="1128"/>
    <n v="52160"/>
    <d v="2024-06-09T12:45:51"/>
    <n v="53"/>
    <s v="Male"/>
    <x v="0"/>
    <n v="3326"/>
  </r>
  <r>
    <n v="1229"/>
    <n v="52161"/>
    <d v="2024-06-09T18:36:22"/>
    <n v="42"/>
    <s v="Female"/>
    <x v="0"/>
    <n v="883"/>
  </r>
  <r>
    <n v="1111"/>
    <n v="52162"/>
    <d v="2024-06-10T00:26:53"/>
    <n v="49"/>
    <s v="Male"/>
    <x v="0"/>
    <n v="1495"/>
  </r>
  <r>
    <n v="1136"/>
    <n v="52163"/>
    <d v="2024-06-10T06:17:24"/>
    <n v="50"/>
    <s v="Female"/>
    <x v="1"/>
    <n v="1585"/>
  </r>
  <r>
    <n v="1362"/>
    <n v="52164"/>
    <d v="2024-06-10T12:07:55"/>
    <n v="62"/>
    <s v="Male"/>
    <x v="0"/>
    <n v="1142"/>
  </r>
  <r>
    <n v="1186"/>
    <n v="52165"/>
    <d v="2024-06-10T17:58:26"/>
    <n v="53"/>
    <s v="Female"/>
    <x v="3"/>
    <n v="3480"/>
  </r>
  <r>
    <n v="1584"/>
    <n v="52166"/>
    <d v="2024-06-10T23:48:57"/>
    <n v="37"/>
    <s v="Male"/>
    <x v="0"/>
    <n v="1233"/>
  </r>
  <r>
    <n v="1129"/>
    <n v="52167"/>
    <d v="2024-06-11T05:39:28"/>
    <n v="35"/>
    <s v="Male"/>
    <x v="3"/>
    <n v="2986"/>
  </r>
  <r>
    <n v="1261"/>
    <n v="52168"/>
    <d v="2024-06-11T11:29:59"/>
    <n v="55"/>
    <s v="Female"/>
    <x v="0"/>
    <n v="2433"/>
  </r>
  <r>
    <n v="1515"/>
    <n v="52169"/>
    <d v="2024-06-11T17:20:30"/>
    <n v="20"/>
    <s v="Female"/>
    <x v="1"/>
    <n v="3845"/>
  </r>
  <r>
    <n v="1449"/>
    <n v="52170"/>
    <d v="2024-06-11T23:11:01"/>
    <n v="40"/>
    <s v="Female"/>
    <x v="2"/>
    <n v="1820"/>
  </r>
  <r>
    <n v="1104"/>
    <n v="52171"/>
    <d v="2024-06-12T05:01:32"/>
    <n v="49"/>
    <s v="Female"/>
    <x v="0"/>
    <n v="3735"/>
  </r>
  <r>
    <n v="1483"/>
    <n v="52172"/>
    <d v="2024-06-12T10:52:03"/>
    <n v="62"/>
    <s v="Female"/>
    <x v="0"/>
    <n v="3405"/>
  </r>
  <r>
    <n v="1224"/>
    <n v="52173"/>
    <d v="2024-06-12T16:42:34"/>
    <n v="33"/>
    <s v="Male"/>
    <x v="1"/>
    <n v="3082"/>
  </r>
  <r>
    <n v="1491"/>
    <n v="52174"/>
    <d v="2024-06-12T22:33:05"/>
    <n v="22"/>
    <s v="Female"/>
    <x v="0"/>
    <n v="370"/>
  </r>
  <r>
    <n v="1473"/>
    <n v="52175"/>
    <d v="2024-06-13T04:23:36"/>
    <n v="21"/>
    <s v="Female"/>
    <x v="3"/>
    <n v="1753"/>
  </r>
  <r>
    <n v="1010"/>
    <n v="52176"/>
    <d v="2024-06-13T10:14:07"/>
    <n v="38"/>
    <s v="Female"/>
    <x v="0"/>
    <n v="4097"/>
  </r>
  <r>
    <n v="1405"/>
    <n v="52177"/>
    <d v="2024-06-13T16:04:38"/>
    <n v="57"/>
    <s v="Male"/>
    <x v="0"/>
    <n v="1795"/>
  </r>
  <r>
    <n v="1302"/>
    <n v="52178"/>
    <d v="2024-06-13T21:55:10"/>
    <n v="31"/>
    <s v="Female"/>
    <x v="2"/>
    <n v="1823"/>
  </r>
  <r>
    <n v="1231"/>
    <n v="52179"/>
    <d v="2024-06-14T03:45:41"/>
    <n v="56"/>
    <s v="Female"/>
    <x v="2"/>
    <n v="4322"/>
  </r>
  <r>
    <n v="1066"/>
    <n v="52180"/>
    <d v="2024-06-14T09:36:12"/>
    <n v="48"/>
    <s v="Female"/>
    <x v="0"/>
    <n v="1291"/>
  </r>
  <r>
    <n v="1112"/>
    <n v="52181"/>
    <d v="2024-06-14T15:26:43"/>
    <n v="31"/>
    <s v="Male"/>
    <x v="1"/>
    <n v="3037"/>
  </r>
  <r>
    <n v="1013"/>
    <n v="52182"/>
    <d v="2024-06-14T21:17:14"/>
    <n v="23"/>
    <s v="Male"/>
    <x v="2"/>
    <n v="607"/>
  </r>
  <r>
    <n v="1393"/>
    <n v="52183"/>
    <d v="2024-06-15T03:07:45"/>
    <n v="29"/>
    <s v="Female"/>
    <x v="0"/>
    <n v="4369"/>
  </r>
  <r>
    <n v="1500"/>
    <n v="52184"/>
    <d v="2024-06-15T08:58:16"/>
    <n v="33"/>
    <s v="Male"/>
    <x v="2"/>
    <n v="879"/>
  </r>
  <r>
    <n v="1598"/>
    <n v="52185"/>
    <d v="2024-06-15T14:48:47"/>
    <n v="34"/>
    <s v="Female"/>
    <x v="0"/>
    <n v="436"/>
  </r>
  <r>
    <n v="1234"/>
    <n v="52186"/>
    <d v="2024-06-15T20:39:18"/>
    <n v="62"/>
    <s v="Male"/>
    <x v="2"/>
    <n v="2974"/>
  </r>
  <r>
    <n v="1314"/>
    <n v="52187"/>
    <d v="2024-06-16T02:29:49"/>
    <n v="40"/>
    <s v="Female"/>
    <x v="2"/>
    <n v="3637"/>
  </r>
  <r>
    <n v="1566"/>
    <n v="52188"/>
    <d v="2024-06-16T08:20:20"/>
    <n v="31"/>
    <s v="Male"/>
    <x v="3"/>
    <n v="3557"/>
  </r>
  <r>
    <n v="1012"/>
    <n v="52189"/>
    <d v="2024-06-16T14:10:51"/>
    <n v="24"/>
    <s v="Female"/>
    <x v="0"/>
    <n v="3077"/>
  </r>
  <r>
    <n v="1209"/>
    <n v="52190"/>
    <d v="2024-06-16T20:01:22"/>
    <n v="63"/>
    <s v="Female"/>
    <x v="0"/>
    <n v="2623"/>
  </r>
  <r>
    <n v="1014"/>
    <n v="52191"/>
    <d v="2024-06-17T01:51:53"/>
    <n v="49"/>
    <s v="Male"/>
    <x v="0"/>
    <n v="4914"/>
  </r>
  <r>
    <n v="1418"/>
    <n v="52192"/>
    <d v="2024-06-17T07:42:24"/>
    <n v="32"/>
    <s v="Female"/>
    <x v="0"/>
    <n v="3347"/>
  </r>
  <r>
    <n v="1437"/>
    <n v="52193"/>
    <d v="2024-06-17T13:32:55"/>
    <n v="61"/>
    <s v="Female"/>
    <x v="2"/>
    <n v="1232"/>
  </r>
  <r>
    <n v="1377"/>
    <n v="52194"/>
    <d v="2024-06-17T19:23:26"/>
    <n v="34"/>
    <s v="Female"/>
    <x v="3"/>
    <n v="3054"/>
  </r>
  <r>
    <n v="1020"/>
    <n v="52195"/>
    <d v="2024-06-18T01:13:57"/>
    <n v="58"/>
    <s v="Female"/>
    <x v="3"/>
    <n v="3140"/>
  </r>
  <r>
    <n v="1587"/>
    <n v="52196"/>
    <d v="2024-06-18T07:04:28"/>
    <n v="64"/>
    <s v="Male"/>
    <x v="1"/>
    <n v="3901"/>
  </r>
  <r>
    <n v="1070"/>
    <n v="52197"/>
    <d v="2024-06-18T12:54:59"/>
    <n v="61"/>
    <s v="Female"/>
    <x v="0"/>
    <n v="4270"/>
  </r>
  <r>
    <n v="1211"/>
    <n v="52198"/>
    <d v="2024-06-18T18:45:30"/>
    <n v="51"/>
    <s v="Male"/>
    <x v="1"/>
    <n v="3332"/>
  </r>
  <r>
    <n v="1101"/>
    <n v="52199"/>
    <d v="2024-06-19T00:36:01"/>
    <n v="22"/>
    <s v="Male"/>
    <x v="2"/>
    <n v="3660"/>
  </r>
  <r>
    <n v="1132"/>
    <n v="52200"/>
    <d v="2024-06-19T06:26:32"/>
    <n v="62"/>
    <s v="Male"/>
    <x v="1"/>
    <n v="2123"/>
  </r>
  <r>
    <n v="1381"/>
    <n v="52201"/>
    <d v="2024-06-19T12:17:03"/>
    <n v="44"/>
    <s v="Male"/>
    <x v="0"/>
    <n v="833"/>
  </r>
  <r>
    <n v="1132"/>
    <n v="52202"/>
    <d v="2024-06-19T18:07:34"/>
    <n v="40"/>
    <s v="Female"/>
    <x v="3"/>
    <n v="4303"/>
  </r>
  <r>
    <n v="1020"/>
    <n v="52203"/>
    <d v="2024-06-19T23:58:05"/>
    <n v="57"/>
    <s v="Female"/>
    <x v="3"/>
    <n v="1592"/>
  </r>
  <r>
    <n v="1536"/>
    <n v="52204"/>
    <d v="2024-06-20T05:48:36"/>
    <n v="31"/>
    <s v="Male"/>
    <x v="0"/>
    <n v="3646"/>
  </r>
  <r>
    <n v="1227"/>
    <n v="52205"/>
    <d v="2024-06-20T11:39:07"/>
    <n v="32"/>
    <s v="Female"/>
    <x v="2"/>
    <n v="3298"/>
  </r>
  <r>
    <n v="1154"/>
    <n v="52206"/>
    <d v="2024-06-20T17:29:38"/>
    <n v="60"/>
    <s v="Male"/>
    <x v="0"/>
    <n v="261"/>
  </r>
  <r>
    <n v="1469"/>
    <n v="52207"/>
    <d v="2024-06-20T23:20:09"/>
    <n v="50"/>
    <s v="Female"/>
    <x v="2"/>
    <n v="2669"/>
  </r>
  <r>
    <n v="1405"/>
    <n v="52208"/>
    <d v="2024-06-21T05:10:40"/>
    <n v="48"/>
    <s v="Female"/>
    <x v="3"/>
    <n v="2017"/>
  </r>
  <r>
    <n v="1202"/>
    <n v="52209"/>
    <d v="2024-06-21T11:01:11"/>
    <n v="52"/>
    <s v="Female"/>
    <x v="2"/>
    <n v="832"/>
  </r>
  <r>
    <n v="1038"/>
    <n v="52210"/>
    <d v="2024-06-21T16:51:42"/>
    <n v="34"/>
    <s v="Male"/>
    <x v="0"/>
    <n v="2798"/>
  </r>
  <r>
    <n v="1188"/>
    <n v="52211"/>
    <d v="2024-06-21T22:42:13"/>
    <n v="45"/>
    <s v="Male"/>
    <x v="0"/>
    <n v="3651"/>
  </r>
  <r>
    <n v="1057"/>
    <n v="52212"/>
    <d v="2024-06-22T04:32:44"/>
    <n v="36"/>
    <s v="Female"/>
    <x v="0"/>
    <n v="1500"/>
  </r>
  <r>
    <n v="1020"/>
    <n v="52213"/>
    <d v="2024-06-22T10:23:15"/>
    <n v="63"/>
    <s v="Male"/>
    <x v="2"/>
    <n v="2853"/>
  </r>
  <r>
    <n v="1273"/>
    <n v="52214"/>
    <d v="2024-06-22T16:13:46"/>
    <n v="40"/>
    <s v="Male"/>
    <x v="2"/>
    <n v="1654"/>
  </r>
  <r>
    <n v="1119"/>
    <n v="52215"/>
    <d v="2024-06-22T22:04:17"/>
    <n v="49"/>
    <s v="Female"/>
    <x v="2"/>
    <n v="1338"/>
  </r>
  <r>
    <n v="1583"/>
    <n v="52216"/>
    <d v="2024-06-23T03:54:48"/>
    <n v="57"/>
    <s v="Male"/>
    <x v="3"/>
    <n v="3392"/>
  </r>
  <r>
    <n v="1516"/>
    <n v="52217"/>
    <d v="2024-06-23T09:45:19"/>
    <n v="30"/>
    <s v="Female"/>
    <x v="1"/>
    <n v="4820"/>
  </r>
  <r>
    <n v="1221"/>
    <n v="52218"/>
    <d v="2024-06-23T15:35:50"/>
    <n v="37"/>
    <s v="Female"/>
    <x v="1"/>
    <n v="2410"/>
  </r>
  <r>
    <n v="1526"/>
    <n v="52219"/>
    <d v="2024-06-23T21:26:21"/>
    <n v="52"/>
    <s v="Female"/>
    <x v="0"/>
    <n v="3959"/>
  </r>
  <r>
    <n v="1515"/>
    <n v="52220"/>
    <d v="2024-06-24T03:16:52"/>
    <n v="22"/>
    <s v="Male"/>
    <x v="3"/>
    <n v="3229"/>
  </r>
  <r>
    <n v="1336"/>
    <n v="52221"/>
    <d v="2024-06-24T09:07:23"/>
    <n v="26"/>
    <s v="Female"/>
    <x v="2"/>
    <n v="1560"/>
  </r>
  <r>
    <n v="1055"/>
    <n v="52222"/>
    <d v="2024-06-24T14:57:54"/>
    <n v="46"/>
    <s v="Female"/>
    <x v="0"/>
    <n v="2626"/>
  </r>
  <r>
    <n v="1500"/>
    <n v="52223"/>
    <d v="2024-06-24T20:48:25"/>
    <n v="23"/>
    <s v="Male"/>
    <x v="3"/>
    <n v="4468"/>
  </r>
  <r>
    <n v="1536"/>
    <n v="52224"/>
    <d v="2024-06-25T02:38:56"/>
    <n v="42"/>
    <s v="Male"/>
    <x v="0"/>
    <n v="263"/>
  </r>
  <r>
    <n v="1162"/>
    <n v="52225"/>
    <d v="2024-06-25T08:29:27"/>
    <n v="48"/>
    <s v="Male"/>
    <x v="3"/>
    <n v="1545"/>
  </r>
  <r>
    <n v="1594"/>
    <n v="52226"/>
    <d v="2024-06-25T14:19:58"/>
    <n v="39"/>
    <s v="Male"/>
    <x v="3"/>
    <n v="1174"/>
  </r>
  <r>
    <n v="1159"/>
    <n v="52227"/>
    <d v="2024-06-25T20:10:29"/>
    <n v="19"/>
    <s v="Female"/>
    <x v="1"/>
    <n v="4361"/>
  </r>
  <r>
    <n v="1188"/>
    <n v="52228"/>
    <d v="2024-06-26T02:01:00"/>
    <n v="62"/>
    <s v="Male"/>
    <x v="0"/>
    <n v="3828"/>
  </r>
  <r>
    <n v="1060"/>
    <n v="52229"/>
    <d v="2024-06-26T07:51:31"/>
    <n v="22"/>
    <s v="Male"/>
    <x v="2"/>
    <n v="1822"/>
  </r>
  <r>
    <n v="1319"/>
    <n v="52230"/>
    <d v="2024-06-26T13:42:02"/>
    <n v="44"/>
    <s v="Male"/>
    <x v="1"/>
    <n v="657"/>
  </r>
  <r>
    <n v="1211"/>
    <n v="52231"/>
    <d v="2024-06-26T19:32:33"/>
    <n v="42"/>
    <s v="Male"/>
    <x v="1"/>
    <n v="3530"/>
  </r>
  <r>
    <n v="1406"/>
    <n v="52232"/>
    <d v="2024-06-27T01:23:04"/>
    <n v="25"/>
    <s v="Female"/>
    <x v="2"/>
    <n v="1940"/>
  </r>
  <r>
    <n v="1109"/>
    <n v="52233"/>
    <d v="2024-06-27T07:13:35"/>
    <n v="18"/>
    <s v="Male"/>
    <x v="3"/>
    <n v="3226"/>
  </r>
  <r>
    <n v="1076"/>
    <n v="52234"/>
    <d v="2024-06-27T13:04:06"/>
    <n v="37"/>
    <s v="Female"/>
    <x v="2"/>
    <n v="2154"/>
  </r>
  <r>
    <n v="1542"/>
    <n v="52235"/>
    <d v="2024-06-27T18:54:37"/>
    <n v="61"/>
    <s v="Male"/>
    <x v="0"/>
    <n v="479"/>
  </r>
  <r>
    <n v="1314"/>
    <n v="52236"/>
    <d v="2024-06-28T00:45:08"/>
    <n v="40"/>
    <s v="Female"/>
    <x v="2"/>
    <n v="2591"/>
  </r>
  <r>
    <n v="1117"/>
    <n v="52237"/>
    <d v="2024-06-28T06:35:39"/>
    <n v="49"/>
    <s v="Female"/>
    <x v="3"/>
    <n v="1240"/>
  </r>
  <r>
    <n v="1019"/>
    <n v="52238"/>
    <d v="2024-06-28T12:26:10"/>
    <n v="28"/>
    <s v="Male"/>
    <x v="2"/>
    <n v="1161"/>
  </r>
  <r>
    <n v="1432"/>
    <n v="52239"/>
    <d v="2024-06-28T18:16:41"/>
    <n v="56"/>
    <s v="Female"/>
    <x v="3"/>
    <n v="4045"/>
  </r>
  <r>
    <n v="1350"/>
    <n v="52240"/>
    <d v="2024-06-29T00:07:12"/>
    <n v="64"/>
    <s v="Male"/>
    <x v="3"/>
    <n v="1417"/>
  </r>
  <r>
    <n v="1183"/>
    <n v="52241"/>
    <d v="2024-06-29T05:57:43"/>
    <n v="41"/>
    <s v="Female"/>
    <x v="0"/>
    <n v="3420"/>
  </r>
  <r>
    <n v="1113"/>
    <n v="52242"/>
    <d v="2024-06-29T11:48:14"/>
    <n v="28"/>
    <s v="Female"/>
    <x v="2"/>
    <n v="574"/>
  </r>
  <r>
    <n v="1183"/>
    <n v="52243"/>
    <d v="2024-06-29T17:38:45"/>
    <n v="46"/>
    <s v="Female"/>
    <x v="2"/>
    <n v="4330"/>
  </r>
  <r>
    <n v="1481"/>
    <n v="52244"/>
    <d v="2024-06-29T23:29:16"/>
    <n v="43"/>
    <s v="Male"/>
    <x v="0"/>
    <n v="1592"/>
  </r>
  <r>
    <n v="1146"/>
    <n v="52245"/>
    <d v="2024-06-30T05:19:47"/>
    <n v="33"/>
    <s v="Female"/>
    <x v="3"/>
    <n v="2276"/>
  </r>
  <r>
    <n v="1113"/>
    <n v="52246"/>
    <d v="2024-06-30T11:10:18"/>
    <n v="52"/>
    <s v="Male"/>
    <x v="2"/>
    <n v="974"/>
  </r>
  <r>
    <n v="1476"/>
    <n v="52247"/>
    <d v="2024-06-30T17:00:49"/>
    <n v="37"/>
    <s v="Female"/>
    <x v="0"/>
    <n v="4516"/>
  </r>
  <r>
    <n v="1303"/>
    <n v="52248"/>
    <d v="2024-06-30T22:51:20"/>
    <n v="63"/>
    <s v="Female"/>
    <x v="3"/>
    <n v="3624"/>
  </r>
  <r>
    <n v="1118"/>
    <n v="52249"/>
    <d v="2024-07-01T04:41:51"/>
    <n v="20"/>
    <s v="Female"/>
    <x v="0"/>
    <n v="2323"/>
  </r>
  <r>
    <n v="1161"/>
    <n v="52250"/>
    <d v="2024-07-01T10:32:22"/>
    <n v="18"/>
    <s v="Female"/>
    <x v="2"/>
    <n v="4789"/>
  </r>
  <r>
    <n v="1401"/>
    <n v="52251"/>
    <d v="2024-07-01T16:22:53"/>
    <n v="64"/>
    <s v="Female"/>
    <x v="0"/>
    <n v="3793"/>
  </r>
  <r>
    <n v="1198"/>
    <n v="52252"/>
    <d v="2024-07-01T22:13:24"/>
    <n v="18"/>
    <s v="Female"/>
    <x v="1"/>
    <n v="479"/>
  </r>
  <r>
    <n v="1260"/>
    <n v="52253"/>
    <d v="2024-07-02T04:03:55"/>
    <n v="34"/>
    <s v="Male"/>
    <x v="3"/>
    <n v="3011"/>
  </r>
  <r>
    <n v="1047"/>
    <n v="52254"/>
    <d v="2024-07-02T09:54:26"/>
    <n v="19"/>
    <s v="Male"/>
    <x v="1"/>
    <n v="2542"/>
  </r>
  <r>
    <n v="1399"/>
    <n v="52255"/>
    <d v="2024-07-02T15:44:57"/>
    <n v="46"/>
    <s v="Male"/>
    <x v="1"/>
    <n v="1674"/>
  </r>
  <r>
    <n v="1559"/>
    <n v="52256"/>
    <d v="2024-07-02T21:35:28"/>
    <n v="37"/>
    <s v="Female"/>
    <x v="3"/>
    <n v="2057"/>
  </r>
  <r>
    <n v="1078"/>
    <n v="52257"/>
    <d v="2024-07-03T03:25:59"/>
    <n v="23"/>
    <s v="Male"/>
    <x v="3"/>
    <n v="3089"/>
  </r>
  <r>
    <n v="1124"/>
    <n v="52258"/>
    <d v="2024-07-03T09:16:30"/>
    <n v="25"/>
    <s v="Female"/>
    <x v="0"/>
    <n v="1259"/>
  </r>
  <r>
    <n v="1075"/>
    <n v="52259"/>
    <d v="2024-07-03T15:07:01"/>
    <n v="46"/>
    <s v="Male"/>
    <x v="3"/>
    <n v="2122"/>
  </r>
  <r>
    <n v="1137"/>
    <n v="52260"/>
    <d v="2024-07-03T20:57:32"/>
    <n v="50"/>
    <s v="Male"/>
    <x v="1"/>
    <n v="3999"/>
  </r>
  <r>
    <n v="1400"/>
    <n v="52261"/>
    <d v="2024-07-04T02:48:03"/>
    <n v="20"/>
    <s v="Female"/>
    <x v="1"/>
    <n v="4792"/>
  </r>
  <r>
    <n v="1505"/>
    <n v="52262"/>
    <d v="2024-07-04T08:38:34"/>
    <n v="52"/>
    <s v="Female"/>
    <x v="2"/>
    <n v="2673"/>
  </r>
  <r>
    <n v="1500"/>
    <n v="52263"/>
    <d v="2024-07-04T14:29:05"/>
    <n v="22"/>
    <s v="Male"/>
    <x v="3"/>
    <n v="4339"/>
  </r>
  <r>
    <n v="1573"/>
    <n v="52264"/>
    <d v="2024-07-04T20:19:36"/>
    <n v="44"/>
    <s v="Male"/>
    <x v="1"/>
    <n v="2051"/>
  </r>
  <r>
    <n v="1138"/>
    <n v="52265"/>
    <d v="2024-07-05T02:10:07"/>
    <n v="61"/>
    <s v="Male"/>
    <x v="2"/>
    <n v="3741"/>
  </r>
  <r>
    <n v="1050"/>
    <n v="52266"/>
    <d v="2024-07-05T08:00:38"/>
    <n v="29"/>
    <s v="Male"/>
    <x v="2"/>
    <n v="4749"/>
  </r>
  <r>
    <n v="1254"/>
    <n v="52267"/>
    <d v="2024-07-05T13:51:09"/>
    <n v="37"/>
    <s v="Female"/>
    <x v="0"/>
    <n v="794"/>
  </r>
  <r>
    <n v="1563"/>
    <n v="52268"/>
    <d v="2024-07-05T19:41:40"/>
    <n v="62"/>
    <s v="Male"/>
    <x v="1"/>
    <n v="706"/>
  </r>
  <r>
    <n v="1426"/>
    <n v="52269"/>
    <d v="2024-07-06T01:32:11"/>
    <n v="37"/>
    <s v="Female"/>
    <x v="0"/>
    <n v="220"/>
  </r>
  <r>
    <n v="1547"/>
    <n v="52270"/>
    <d v="2024-07-06T07:22:42"/>
    <n v="26"/>
    <s v="Female"/>
    <x v="1"/>
    <n v="1599"/>
  </r>
  <r>
    <n v="1302"/>
    <n v="52271"/>
    <d v="2024-07-06T13:13:13"/>
    <n v="56"/>
    <s v="Male"/>
    <x v="0"/>
    <n v="3401"/>
  </r>
  <r>
    <n v="1581"/>
    <n v="52272"/>
    <d v="2024-07-06T19:03:44"/>
    <n v="21"/>
    <s v="Female"/>
    <x v="0"/>
    <n v="2661"/>
  </r>
  <r>
    <n v="1349"/>
    <n v="52273"/>
    <d v="2024-07-07T00:54:15"/>
    <n v="36"/>
    <s v="Male"/>
    <x v="3"/>
    <n v="3878"/>
  </r>
  <r>
    <n v="1049"/>
    <n v="52274"/>
    <d v="2024-07-07T06:44:46"/>
    <n v="55"/>
    <s v="Female"/>
    <x v="0"/>
    <n v="536"/>
  </r>
  <r>
    <n v="1074"/>
    <n v="52275"/>
    <d v="2024-07-07T12:35:18"/>
    <n v="44"/>
    <s v="Female"/>
    <x v="3"/>
    <n v="1867"/>
  </r>
  <r>
    <n v="1261"/>
    <n v="52276"/>
    <d v="2024-07-07T18:25:49"/>
    <n v="62"/>
    <s v="Male"/>
    <x v="2"/>
    <n v="3776"/>
  </r>
  <r>
    <n v="1356"/>
    <n v="52277"/>
    <d v="2024-07-08T00:16:20"/>
    <n v="60"/>
    <s v="Female"/>
    <x v="1"/>
    <n v="1109"/>
  </r>
  <r>
    <n v="1582"/>
    <n v="52278"/>
    <d v="2024-07-08T06:06:51"/>
    <n v="30"/>
    <s v="Female"/>
    <x v="2"/>
    <n v="475"/>
  </r>
  <r>
    <n v="1260"/>
    <n v="52279"/>
    <d v="2024-07-08T11:57:22"/>
    <n v="30"/>
    <s v="Male"/>
    <x v="1"/>
    <n v="1091"/>
  </r>
  <r>
    <n v="1295"/>
    <n v="52280"/>
    <d v="2024-07-08T17:47:53"/>
    <n v="39"/>
    <s v="Female"/>
    <x v="2"/>
    <n v="212"/>
  </r>
  <r>
    <n v="1313"/>
    <n v="52281"/>
    <d v="2024-07-08T23:38:24"/>
    <n v="45"/>
    <s v="Female"/>
    <x v="1"/>
    <n v="4257"/>
  </r>
  <r>
    <n v="1182"/>
    <n v="52282"/>
    <d v="2024-07-09T05:28:55"/>
    <n v="64"/>
    <s v="Male"/>
    <x v="0"/>
    <n v="3225"/>
  </r>
  <r>
    <n v="1364"/>
    <n v="52283"/>
    <d v="2024-07-09T11:19:26"/>
    <n v="62"/>
    <s v="Male"/>
    <x v="1"/>
    <n v="1173"/>
  </r>
  <r>
    <n v="1188"/>
    <n v="52284"/>
    <d v="2024-07-09T17:09:57"/>
    <n v="39"/>
    <s v="Female"/>
    <x v="1"/>
    <n v="4470"/>
  </r>
  <r>
    <n v="1569"/>
    <n v="52285"/>
    <d v="2024-07-09T23:00:28"/>
    <n v="60"/>
    <s v="Female"/>
    <x v="2"/>
    <n v="4170"/>
  </r>
  <r>
    <n v="1543"/>
    <n v="52286"/>
    <d v="2024-07-10T04:50:59"/>
    <n v="36"/>
    <s v="Female"/>
    <x v="2"/>
    <n v="1608"/>
  </r>
  <r>
    <n v="1596"/>
    <n v="52287"/>
    <d v="2024-07-10T10:41:30"/>
    <n v="25"/>
    <s v="Male"/>
    <x v="2"/>
    <n v="2143"/>
  </r>
  <r>
    <n v="1548"/>
    <n v="52288"/>
    <d v="2024-07-10T16:32:01"/>
    <n v="25"/>
    <s v="Female"/>
    <x v="3"/>
    <n v="2488"/>
  </r>
  <r>
    <n v="1408"/>
    <n v="52289"/>
    <d v="2024-07-10T22:22:32"/>
    <n v="59"/>
    <s v="Female"/>
    <x v="3"/>
    <n v="746"/>
  </r>
  <r>
    <n v="1414"/>
    <n v="52290"/>
    <d v="2024-07-11T04:13:03"/>
    <n v="43"/>
    <s v="Female"/>
    <x v="1"/>
    <n v="1418"/>
  </r>
  <r>
    <n v="1342"/>
    <n v="52291"/>
    <d v="2024-07-11T10:03:34"/>
    <n v="43"/>
    <s v="Female"/>
    <x v="1"/>
    <n v="1620"/>
  </r>
  <r>
    <n v="1220"/>
    <n v="52292"/>
    <d v="2024-07-11T15:54:05"/>
    <n v="40"/>
    <s v="Female"/>
    <x v="0"/>
    <n v="1654"/>
  </r>
  <r>
    <n v="1163"/>
    <n v="52293"/>
    <d v="2024-07-11T21:44:36"/>
    <n v="60"/>
    <s v="Female"/>
    <x v="0"/>
    <n v="3577"/>
  </r>
  <r>
    <n v="1220"/>
    <n v="52294"/>
    <d v="2024-07-12T03:35:07"/>
    <n v="30"/>
    <s v="Male"/>
    <x v="1"/>
    <n v="2972"/>
  </r>
  <r>
    <n v="1270"/>
    <n v="52295"/>
    <d v="2024-07-12T09:25:38"/>
    <n v="45"/>
    <s v="Male"/>
    <x v="3"/>
    <n v="4298"/>
  </r>
  <r>
    <n v="1400"/>
    <n v="52296"/>
    <d v="2024-07-12T15:16:09"/>
    <n v="26"/>
    <s v="Female"/>
    <x v="1"/>
    <n v="2938"/>
  </r>
  <r>
    <n v="1182"/>
    <n v="52297"/>
    <d v="2024-07-12T21:06:40"/>
    <n v="37"/>
    <s v="Female"/>
    <x v="0"/>
    <n v="3947"/>
  </r>
  <r>
    <n v="1205"/>
    <n v="52298"/>
    <d v="2024-07-13T02:57:11"/>
    <n v="36"/>
    <s v="Male"/>
    <x v="3"/>
    <n v="2042"/>
  </r>
  <r>
    <n v="1582"/>
    <n v="52299"/>
    <d v="2024-07-13T08:47:42"/>
    <n v="56"/>
    <s v="Male"/>
    <x v="3"/>
    <n v="946"/>
  </r>
  <r>
    <n v="1556"/>
    <n v="52300"/>
    <d v="2024-07-13T14:38:13"/>
    <n v="29"/>
    <s v="Male"/>
    <x v="0"/>
    <n v="3016"/>
  </r>
  <r>
    <n v="1228"/>
    <n v="52301"/>
    <d v="2024-07-13T20:28:44"/>
    <n v="32"/>
    <s v="Female"/>
    <x v="1"/>
    <n v="1071"/>
  </r>
  <r>
    <n v="1596"/>
    <n v="52302"/>
    <d v="2024-07-14T02:19:15"/>
    <n v="48"/>
    <s v="Female"/>
    <x v="2"/>
    <n v="694"/>
  </r>
  <r>
    <n v="1250"/>
    <n v="52303"/>
    <d v="2024-07-14T08:09:46"/>
    <n v="31"/>
    <s v="Female"/>
    <x v="1"/>
    <n v="3644"/>
  </r>
  <r>
    <n v="1441"/>
    <n v="52304"/>
    <d v="2024-07-14T14:00:17"/>
    <n v="28"/>
    <s v="Female"/>
    <x v="1"/>
    <n v="4923"/>
  </r>
  <r>
    <n v="1533"/>
    <n v="52305"/>
    <d v="2024-07-14T19:50:48"/>
    <n v="43"/>
    <s v="Male"/>
    <x v="0"/>
    <n v="1275"/>
  </r>
  <r>
    <n v="1196"/>
    <n v="52306"/>
    <d v="2024-07-15T01:41:19"/>
    <n v="59"/>
    <s v="Male"/>
    <x v="3"/>
    <n v="4194"/>
  </r>
  <r>
    <n v="1519"/>
    <n v="52307"/>
    <d v="2024-07-15T07:31:50"/>
    <n v="44"/>
    <s v="Male"/>
    <x v="0"/>
    <n v="4437"/>
  </r>
  <r>
    <n v="1070"/>
    <n v="52308"/>
    <d v="2024-07-15T13:22:21"/>
    <n v="28"/>
    <s v="Male"/>
    <x v="1"/>
    <n v="245"/>
  </r>
  <r>
    <n v="1399"/>
    <n v="52309"/>
    <d v="2024-07-15T19:12:52"/>
    <n v="55"/>
    <s v="Female"/>
    <x v="2"/>
    <n v="3256"/>
  </r>
  <r>
    <n v="1203"/>
    <n v="52310"/>
    <d v="2024-07-16T01:03:23"/>
    <n v="51"/>
    <s v="Female"/>
    <x v="2"/>
    <n v="2257"/>
  </r>
  <r>
    <n v="1148"/>
    <n v="52311"/>
    <d v="2024-07-16T06:53:54"/>
    <n v="60"/>
    <s v="Male"/>
    <x v="2"/>
    <n v="863"/>
  </r>
  <r>
    <n v="1472"/>
    <n v="52312"/>
    <d v="2024-07-16T12:44:25"/>
    <n v="36"/>
    <s v="Male"/>
    <x v="0"/>
    <n v="4868"/>
  </r>
  <r>
    <n v="1199"/>
    <n v="52313"/>
    <d v="2024-07-16T18:34:56"/>
    <n v="23"/>
    <s v="Male"/>
    <x v="3"/>
    <n v="2229"/>
  </r>
  <r>
    <n v="1426"/>
    <n v="52314"/>
    <d v="2024-07-17T00:25:27"/>
    <n v="63"/>
    <s v="Male"/>
    <x v="0"/>
    <n v="2896"/>
  </r>
  <r>
    <n v="1492"/>
    <n v="52315"/>
    <d v="2024-07-17T06:15:58"/>
    <n v="55"/>
    <s v="Male"/>
    <x v="2"/>
    <n v="839"/>
  </r>
  <r>
    <n v="1142"/>
    <n v="52316"/>
    <d v="2024-07-17T12:06:29"/>
    <n v="59"/>
    <s v="Female"/>
    <x v="1"/>
    <n v="2863"/>
  </r>
  <r>
    <n v="1313"/>
    <n v="52317"/>
    <d v="2024-07-17T17:57:00"/>
    <n v="45"/>
    <s v="Female"/>
    <x v="3"/>
    <n v="2945"/>
  </r>
  <r>
    <n v="1165"/>
    <n v="52318"/>
    <d v="2024-07-17T23:47:31"/>
    <n v="18"/>
    <s v="Male"/>
    <x v="0"/>
    <n v="4602"/>
  </r>
  <r>
    <n v="1314"/>
    <n v="52319"/>
    <d v="2024-07-18T05:38:02"/>
    <n v="52"/>
    <s v="Male"/>
    <x v="0"/>
    <n v="2795"/>
  </r>
  <r>
    <n v="1021"/>
    <n v="52320"/>
    <d v="2024-07-18T11:28:33"/>
    <n v="57"/>
    <s v="Male"/>
    <x v="3"/>
    <n v="3627"/>
  </r>
  <r>
    <n v="1082"/>
    <n v="52321"/>
    <d v="2024-07-18T17:19:04"/>
    <n v="25"/>
    <s v="Female"/>
    <x v="3"/>
    <n v="594"/>
  </r>
  <r>
    <n v="1581"/>
    <n v="52322"/>
    <d v="2024-07-18T23:09:35"/>
    <n v="64"/>
    <s v="Female"/>
    <x v="1"/>
    <n v="3797"/>
  </r>
  <r>
    <n v="1131"/>
    <n v="52323"/>
    <d v="2024-07-19T05:00:06"/>
    <n v="24"/>
    <s v="Female"/>
    <x v="3"/>
    <n v="2532"/>
  </r>
  <r>
    <n v="1599"/>
    <n v="52324"/>
    <d v="2024-07-19T10:50:37"/>
    <n v="28"/>
    <s v="Male"/>
    <x v="1"/>
    <n v="529"/>
  </r>
  <r>
    <n v="1305"/>
    <n v="52325"/>
    <d v="2024-07-19T16:41:08"/>
    <n v="56"/>
    <s v="Female"/>
    <x v="2"/>
    <n v="2297"/>
  </r>
  <r>
    <n v="1371"/>
    <n v="52326"/>
    <d v="2024-07-19T22:31:39"/>
    <n v="21"/>
    <s v="Male"/>
    <x v="2"/>
    <n v="972"/>
  </r>
  <r>
    <n v="1384"/>
    <n v="52327"/>
    <d v="2024-07-20T04:22:10"/>
    <n v="42"/>
    <s v="Female"/>
    <x v="0"/>
    <n v="1845"/>
  </r>
  <r>
    <n v="1445"/>
    <n v="52328"/>
    <d v="2024-07-20T10:12:41"/>
    <n v="29"/>
    <s v="Female"/>
    <x v="2"/>
    <n v="1932"/>
  </r>
  <r>
    <n v="1425"/>
    <n v="52329"/>
    <d v="2024-07-20T16:03:12"/>
    <n v="43"/>
    <s v="Female"/>
    <x v="2"/>
    <n v="4673"/>
  </r>
  <r>
    <n v="1161"/>
    <n v="52330"/>
    <d v="2024-07-20T21:53:43"/>
    <n v="55"/>
    <s v="Male"/>
    <x v="1"/>
    <n v="1987"/>
  </r>
  <r>
    <n v="1178"/>
    <n v="52331"/>
    <d v="2024-07-21T03:44:14"/>
    <n v="63"/>
    <s v="Male"/>
    <x v="0"/>
    <n v="1823"/>
  </r>
  <r>
    <n v="1490"/>
    <n v="52332"/>
    <d v="2024-07-21T09:34:45"/>
    <n v="29"/>
    <s v="Female"/>
    <x v="3"/>
    <n v="1199"/>
  </r>
  <r>
    <n v="1327"/>
    <n v="52333"/>
    <d v="2024-07-21T15:25:16"/>
    <n v="60"/>
    <s v="Male"/>
    <x v="0"/>
    <n v="2048"/>
  </r>
  <r>
    <n v="1598"/>
    <n v="52334"/>
    <d v="2024-07-21T21:15:47"/>
    <n v="54"/>
    <s v="Male"/>
    <x v="2"/>
    <n v="1761"/>
  </r>
  <r>
    <n v="1289"/>
    <n v="52335"/>
    <d v="2024-07-22T03:06:18"/>
    <n v="63"/>
    <s v="Male"/>
    <x v="3"/>
    <n v="973"/>
  </r>
  <r>
    <n v="1593"/>
    <n v="52336"/>
    <d v="2024-07-22T08:56:49"/>
    <n v="41"/>
    <s v="Male"/>
    <x v="0"/>
    <n v="2003"/>
  </r>
  <r>
    <n v="1573"/>
    <n v="52337"/>
    <d v="2024-07-22T14:47:20"/>
    <n v="33"/>
    <s v="Male"/>
    <x v="0"/>
    <n v="1298"/>
  </r>
  <r>
    <n v="1573"/>
    <n v="52338"/>
    <d v="2024-07-22T20:37:51"/>
    <n v="30"/>
    <s v="Male"/>
    <x v="0"/>
    <n v="2250"/>
  </r>
  <r>
    <n v="1354"/>
    <n v="52339"/>
    <d v="2024-07-23T02:28:22"/>
    <n v="42"/>
    <s v="Male"/>
    <x v="0"/>
    <n v="1798"/>
  </r>
  <r>
    <n v="1028"/>
    <n v="52340"/>
    <d v="2024-07-23T08:18:53"/>
    <n v="21"/>
    <s v="Female"/>
    <x v="1"/>
    <n v="947"/>
  </r>
  <r>
    <n v="1043"/>
    <n v="52341"/>
    <d v="2024-07-23T14:09:24"/>
    <n v="28"/>
    <s v="Male"/>
    <x v="0"/>
    <n v="4173"/>
  </r>
  <r>
    <n v="1423"/>
    <n v="52342"/>
    <d v="2024-07-23T19:59:55"/>
    <n v="49"/>
    <s v="Male"/>
    <x v="2"/>
    <n v="2522"/>
  </r>
  <r>
    <n v="1598"/>
    <n v="52343"/>
    <d v="2024-07-24T01:50:26"/>
    <n v="24"/>
    <s v="Female"/>
    <x v="2"/>
    <n v="1753"/>
  </r>
  <r>
    <n v="1177"/>
    <n v="52344"/>
    <d v="2024-07-24T07:40:57"/>
    <n v="63"/>
    <s v="Female"/>
    <x v="1"/>
    <n v="1815"/>
  </r>
  <r>
    <n v="1529"/>
    <n v="52345"/>
    <d v="2024-07-24T13:31:28"/>
    <n v="28"/>
    <s v="Female"/>
    <x v="3"/>
    <n v="3954"/>
  </r>
  <r>
    <n v="1494"/>
    <n v="52346"/>
    <d v="2024-07-24T19:21:59"/>
    <n v="45"/>
    <s v="Female"/>
    <x v="3"/>
    <n v="4624"/>
  </r>
  <r>
    <n v="1198"/>
    <n v="52347"/>
    <d v="2024-07-25T01:12:30"/>
    <n v="58"/>
    <s v="Male"/>
    <x v="2"/>
    <n v="2502"/>
  </r>
  <r>
    <n v="1577"/>
    <n v="52348"/>
    <d v="2024-07-25T07:03:01"/>
    <n v="40"/>
    <s v="Female"/>
    <x v="2"/>
    <n v="4421"/>
  </r>
  <r>
    <n v="1517"/>
    <n v="52349"/>
    <d v="2024-07-25T12:53:32"/>
    <n v="62"/>
    <s v="Female"/>
    <x v="1"/>
    <n v="3855"/>
  </r>
  <r>
    <n v="1514"/>
    <n v="52350"/>
    <d v="2024-07-25T18:44:03"/>
    <n v="40"/>
    <s v="Male"/>
    <x v="3"/>
    <n v="3595"/>
  </r>
  <r>
    <n v="1022"/>
    <n v="52351"/>
    <d v="2024-07-26T00:34:34"/>
    <n v="45"/>
    <s v="Male"/>
    <x v="3"/>
    <n v="416"/>
  </r>
  <r>
    <n v="1112"/>
    <n v="52352"/>
    <d v="2024-07-26T06:25:05"/>
    <n v="60"/>
    <s v="Male"/>
    <x v="0"/>
    <n v="3516"/>
  </r>
  <r>
    <n v="1057"/>
    <n v="52353"/>
    <d v="2024-07-26T12:15:36"/>
    <n v="64"/>
    <s v="Female"/>
    <x v="0"/>
    <n v="1559"/>
  </r>
  <r>
    <n v="1066"/>
    <n v="52354"/>
    <d v="2024-07-26T18:06:07"/>
    <n v="43"/>
    <s v="Male"/>
    <x v="0"/>
    <n v="3974"/>
  </r>
  <r>
    <n v="1098"/>
    <n v="52355"/>
    <d v="2024-07-26T23:56:38"/>
    <n v="42"/>
    <s v="Female"/>
    <x v="1"/>
    <n v="4477"/>
  </r>
  <r>
    <n v="1144"/>
    <n v="52356"/>
    <d v="2024-07-27T05:47:09"/>
    <n v="46"/>
    <s v="Male"/>
    <x v="2"/>
    <n v="4629"/>
  </r>
  <r>
    <n v="1435"/>
    <n v="52357"/>
    <d v="2024-07-27T11:37:40"/>
    <n v="36"/>
    <s v="Male"/>
    <x v="1"/>
    <n v="4806"/>
  </r>
  <r>
    <n v="1086"/>
    <n v="52358"/>
    <d v="2024-07-27T17:28:11"/>
    <n v="50"/>
    <s v="Female"/>
    <x v="3"/>
    <n v="4678"/>
  </r>
  <r>
    <n v="1588"/>
    <n v="52359"/>
    <d v="2024-07-27T23:18:42"/>
    <n v="53"/>
    <s v="Male"/>
    <x v="2"/>
    <n v="2096"/>
  </r>
  <r>
    <n v="1344"/>
    <n v="52360"/>
    <d v="2024-07-28T05:09:13"/>
    <n v="31"/>
    <s v="Male"/>
    <x v="0"/>
    <n v="4627"/>
  </r>
  <r>
    <n v="1294"/>
    <n v="52361"/>
    <d v="2024-07-28T10:59:44"/>
    <n v="31"/>
    <s v="Male"/>
    <x v="1"/>
    <n v="1099"/>
  </r>
  <r>
    <n v="1571"/>
    <n v="52362"/>
    <d v="2024-07-28T16:50:15"/>
    <n v="52"/>
    <s v="Male"/>
    <x v="1"/>
    <n v="841"/>
  </r>
  <r>
    <n v="1243"/>
    <n v="52363"/>
    <d v="2024-07-28T22:40:46"/>
    <n v="47"/>
    <s v="Male"/>
    <x v="0"/>
    <n v="4929"/>
  </r>
  <r>
    <n v="1561"/>
    <n v="52364"/>
    <d v="2024-07-29T04:31:17"/>
    <n v="45"/>
    <s v="Female"/>
    <x v="1"/>
    <n v="3827"/>
  </r>
  <r>
    <n v="1032"/>
    <n v="52365"/>
    <d v="2024-07-29T10:21:48"/>
    <n v="34"/>
    <s v="Female"/>
    <x v="0"/>
    <n v="395"/>
  </r>
  <r>
    <n v="1391"/>
    <n v="52366"/>
    <d v="2024-07-29T16:12:19"/>
    <n v="20"/>
    <s v="Male"/>
    <x v="3"/>
    <n v="2093"/>
  </r>
  <r>
    <n v="1277"/>
    <n v="52367"/>
    <d v="2024-07-29T22:02:50"/>
    <n v="33"/>
    <s v="Female"/>
    <x v="2"/>
    <n v="3475"/>
  </r>
  <r>
    <n v="1532"/>
    <n v="52368"/>
    <d v="2024-07-30T03:53:21"/>
    <n v="63"/>
    <s v="Female"/>
    <x v="3"/>
    <n v="4250"/>
  </r>
  <r>
    <n v="1154"/>
    <n v="52369"/>
    <d v="2024-07-30T09:43:52"/>
    <n v="47"/>
    <s v="Female"/>
    <x v="3"/>
    <n v="4753"/>
  </r>
  <r>
    <n v="1383"/>
    <n v="52370"/>
    <d v="2024-07-30T15:34:23"/>
    <n v="46"/>
    <s v="Male"/>
    <x v="0"/>
    <n v="2504"/>
  </r>
  <r>
    <n v="1068"/>
    <n v="52371"/>
    <d v="2024-07-30T21:24:54"/>
    <n v="62"/>
    <s v="Male"/>
    <x v="1"/>
    <n v="3800"/>
  </r>
  <r>
    <n v="1214"/>
    <n v="52372"/>
    <d v="2024-07-31T03:15:26"/>
    <n v="32"/>
    <s v="Male"/>
    <x v="3"/>
    <n v="3543"/>
  </r>
  <r>
    <n v="1376"/>
    <n v="52373"/>
    <d v="2024-07-31T09:05:57"/>
    <n v="63"/>
    <s v="Female"/>
    <x v="3"/>
    <n v="2256"/>
  </r>
  <r>
    <n v="1213"/>
    <n v="52374"/>
    <d v="2024-07-31T14:56:28"/>
    <n v="42"/>
    <s v="Female"/>
    <x v="3"/>
    <n v="3008"/>
  </r>
  <r>
    <n v="1079"/>
    <n v="52375"/>
    <d v="2024-07-31T20:46:59"/>
    <n v="55"/>
    <s v="Male"/>
    <x v="1"/>
    <n v="1424"/>
  </r>
  <r>
    <n v="1381"/>
    <n v="52376"/>
    <d v="2024-08-01T02:37:30"/>
    <n v="59"/>
    <s v="Male"/>
    <x v="1"/>
    <n v="1086"/>
  </r>
  <r>
    <n v="1058"/>
    <n v="52377"/>
    <d v="2024-08-01T08:28:01"/>
    <n v="64"/>
    <s v="Female"/>
    <x v="0"/>
    <n v="592"/>
  </r>
  <r>
    <n v="1026"/>
    <n v="52378"/>
    <d v="2024-08-01T14:18:32"/>
    <n v="55"/>
    <s v="Female"/>
    <x v="3"/>
    <n v="1875"/>
  </r>
  <r>
    <n v="1447"/>
    <n v="52379"/>
    <d v="2024-08-01T20:09:03"/>
    <n v="40"/>
    <s v="Male"/>
    <x v="2"/>
    <n v="3390"/>
  </r>
  <r>
    <n v="1066"/>
    <n v="52380"/>
    <d v="2024-08-02T01:59:34"/>
    <n v="42"/>
    <s v="Female"/>
    <x v="1"/>
    <n v="2646"/>
  </r>
  <r>
    <n v="1254"/>
    <n v="52381"/>
    <d v="2024-08-02T07:50:05"/>
    <n v="59"/>
    <s v="Female"/>
    <x v="0"/>
    <n v="4105"/>
  </r>
  <r>
    <n v="1044"/>
    <n v="52382"/>
    <d v="2024-08-02T13:40:36"/>
    <n v="24"/>
    <s v="Female"/>
    <x v="3"/>
    <n v="3538"/>
  </r>
  <r>
    <n v="1097"/>
    <n v="52383"/>
    <d v="2024-08-02T19:31:07"/>
    <n v="39"/>
    <s v="Female"/>
    <x v="2"/>
    <n v="3791"/>
  </r>
  <r>
    <n v="1554"/>
    <n v="52384"/>
    <d v="2024-08-03T01:21:38"/>
    <n v="34"/>
    <s v="Female"/>
    <x v="1"/>
    <n v="3966"/>
  </r>
  <r>
    <n v="1227"/>
    <n v="52385"/>
    <d v="2024-08-03T07:12:09"/>
    <n v="35"/>
    <s v="Female"/>
    <x v="2"/>
    <n v="2727"/>
  </r>
  <r>
    <n v="1436"/>
    <n v="52386"/>
    <d v="2024-08-03T13:02:40"/>
    <n v="58"/>
    <s v="Female"/>
    <x v="1"/>
    <n v="2381"/>
  </r>
  <r>
    <n v="1379"/>
    <n v="52387"/>
    <d v="2024-08-03T18:53:11"/>
    <n v="27"/>
    <s v="Male"/>
    <x v="0"/>
    <n v="3964"/>
  </r>
  <r>
    <n v="1178"/>
    <n v="52388"/>
    <d v="2024-08-04T00:43:42"/>
    <n v="27"/>
    <s v="Male"/>
    <x v="2"/>
    <n v="554"/>
  </r>
  <r>
    <n v="1427"/>
    <n v="52389"/>
    <d v="2024-08-04T06:34:13"/>
    <n v="24"/>
    <s v="Female"/>
    <x v="3"/>
    <n v="2831"/>
  </r>
  <r>
    <n v="1307"/>
    <n v="52390"/>
    <d v="2024-08-04T12:24:44"/>
    <n v="55"/>
    <s v="Female"/>
    <x v="3"/>
    <n v="1721"/>
  </r>
  <r>
    <n v="1504"/>
    <n v="52391"/>
    <d v="2024-08-04T18:15:15"/>
    <n v="44"/>
    <s v="Female"/>
    <x v="1"/>
    <n v="2872"/>
  </r>
  <r>
    <n v="1268"/>
    <n v="52392"/>
    <d v="2024-08-05T00:05:46"/>
    <n v="50"/>
    <s v="Male"/>
    <x v="3"/>
    <n v="3378"/>
  </r>
  <r>
    <n v="1586"/>
    <n v="52393"/>
    <d v="2024-08-05T05:56:17"/>
    <n v="18"/>
    <s v="Male"/>
    <x v="2"/>
    <n v="2537"/>
  </r>
  <r>
    <n v="1008"/>
    <n v="52394"/>
    <d v="2024-08-05T11:46:48"/>
    <n v="61"/>
    <s v="Female"/>
    <x v="0"/>
    <n v="828"/>
  </r>
  <r>
    <n v="1508"/>
    <n v="52395"/>
    <d v="2024-08-05T17:37:19"/>
    <n v="51"/>
    <s v="Male"/>
    <x v="1"/>
    <n v="2879"/>
  </r>
  <r>
    <n v="1476"/>
    <n v="52396"/>
    <d v="2024-08-05T23:27:50"/>
    <n v="21"/>
    <s v="Female"/>
    <x v="2"/>
    <n v="4622"/>
  </r>
  <r>
    <n v="1297"/>
    <n v="52397"/>
    <d v="2024-08-06T05:18:21"/>
    <n v="34"/>
    <s v="Female"/>
    <x v="1"/>
    <n v="1638"/>
  </r>
  <r>
    <n v="1164"/>
    <n v="52398"/>
    <d v="2024-08-06T11:08:52"/>
    <n v="21"/>
    <s v="Female"/>
    <x v="0"/>
    <n v="1621"/>
  </r>
  <r>
    <n v="1485"/>
    <n v="52399"/>
    <d v="2024-08-06T16:59:23"/>
    <n v="60"/>
    <s v="Female"/>
    <x v="1"/>
    <n v="1326"/>
  </r>
  <r>
    <n v="1597"/>
    <n v="52400"/>
    <d v="2024-08-06T22:49:54"/>
    <n v="43"/>
    <s v="Female"/>
    <x v="3"/>
    <n v="2883"/>
  </r>
  <r>
    <n v="1072"/>
    <n v="52401"/>
    <d v="2024-08-07T04:40:25"/>
    <n v="21"/>
    <s v="Female"/>
    <x v="3"/>
    <n v="1980"/>
  </r>
  <r>
    <n v="1567"/>
    <n v="52402"/>
    <d v="2024-08-07T10:30:56"/>
    <n v="18"/>
    <s v="Female"/>
    <x v="1"/>
    <n v="1731"/>
  </r>
  <r>
    <n v="1559"/>
    <n v="52403"/>
    <d v="2024-08-07T16:21:27"/>
    <n v="24"/>
    <s v="Male"/>
    <x v="0"/>
    <n v="2114"/>
  </r>
  <r>
    <n v="1238"/>
    <n v="52404"/>
    <d v="2024-08-07T22:11:58"/>
    <n v="47"/>
    <s v="Female"/>
    <x v="0"/>
    <n v="1432"/>
  </r>
  <r>
    <n v="1104"/>
    <n v="52405"/>
    <d v="2024-08-08T04:02:29"/>
    <n v="26"/>
    <s v="Male"/>
    <x v="3"/>
    <n v="2156"/>
  </r>
  <r>
    <n v="1210"/>
    <n v="52406"/>
    <d v="2024-08-08T09:53:00"/>
    <n v="52"/>
    <s v="Female"/>
    <x v="0"/>
    <n v="592"/>
  </r>
  <r>
    <n v="1554"/>
    <n v="52407"/>
    <d v="2024-08-08T15:43:31"/>
    <n v="25"/>
    <s v="Female"/>
    <x v="1"/>
    <n v="1025"/>
  </r>
  <r>
    <n v="1468"/>
    <n v="52408"/>
    <d v="2024-08-08T21:34:02"/>
    <n v="41"/>
    <s v="Male"/>
    <x v="2"/>
    <n v="3163"/>
  </r>
  <r>
    <n v="1454"/>
    <n v="52409"/>
    <d v="2024-08-09T03:24:33"/>
    <n v="36"/>
    <s v="Male"/>
    <x v="1"/>
    <n v="2595"/>
  </r>
  <r>
    <n v="1268"/>
    <n v="52410"/>
    <d v="2024-08-09T09:15:04"/>
    <n v="53"/>
    <s v="Female"/>
    <x v="3"/>
    <n v="4345"/>
  </r>
  <r>
    <n v="1386"/>
    <n v="52411"/>
    <d v="2024-08-09T15:05:35"/>
    <n v="60"/>
    <s v="Male"/>
    <x v="3"/>
    <n v="1992"/>
  </r>
  <r>
    <n v="1387"/>
    <n v="52412"/>
    <d v="2024-08-09T20:56:06"/>
    <n v="44"/>
    <s v="Female"/>
    <x v="3"/>
    <n v="3264"/>
  </r>
  <r>
    <n v="1259"/>
    <n v="52413"/>
    <d v="2024-08-10T02:46:37"/>
    <n v="49"/>
    <s v="Female"/>
    <x v="0"/>
    <n v="1563"/>
  </r>
  <r>
    <n v="1283"/>
    <n v="52414"/>
    <d v="2024-08-10T08:37:08"/>
    <n v="31"/>
    <s v="Male"/>
    <x v="1"/>
    <n v="2548"/>
  </r>
  <r>
    <n v="1040"/>
    <n v="52415"/>
    <d v="2024-08-10T14:27:39"/>
    <n v="35"/>
    <s v="Male"/>
    <x v="2"/>
    <n v="3751"/>
  </r>
  <r>
    <n v="1486"/>
    <n v="52416"/>
    <d v="2024-08-10T20:18:10"/>
    <n v="45"/>
    <s v="Male"/>
    <x v="1"/>
    <n v="3828"/>
  </r>
  <r>
    <n v="1220"/>
    <n v="52417"/>
    <d v="2024-08-11T02:08:41"/>
    <n v="46"/>
    <s v="Male"/>
    <x v="2"/>
    <n v="3536"/>
  </r>
  <r>
    <n v="1129"/>
    <n v="52418"/>
    <d v="2024-08-11T07:59:12"/>
    <n v="33"/>
    <s v="Female"/>
    <x v="1"/>
    <n v="1765"/>
  </r>
  <r>
    <n v="1520"/>
    <n v="52419"/>
    <d v="2024-08-11T13:49:43"/>
    <n v="52"/>
    <s v="Male"/>
    <x v="3"/>
    <n v="3867"/>
  </r>
  <r>
    <n v="1260"/>
    <n v="52420"/>
    <d v="2024-08-11T19:40:14"/>
    <n v="64"/>
    <s v="Male"/>
    <x v="2"/>
    <n v="2413"/>
  </r>
  <r>
    <n v="1366"/>
    <n v="52421"/>
    <d v="2024-08-12T01:30:45"/>
    <n v="48"/>
    <s v="Male"/>
    <x v="1"/>
    <n v="4296"/>
  </r>
  <r>
    <n v="1544"/>
    <n v="52422"/>
    <d v="2024-08-12T07:21:16"/>
    <n v="21"/>
    <s v="Male"/>
    <x v="0"/>
    <n v="1219"/>
  </r>
  <r>
    <n v="1524"/>
    <n v="52423"/>
    <d v="2024-08-12T13:11:47"/>
    <n v="54"/>
    <s v="Male"/>
    <x v="0"/>
    <n v="1484"/>
  </r>
  <r>
    <n v="1016"/>
    <n v="52424"/>
    <d v="2024-08-12T19:02:18"/>
    <n v="34"/>
    <s v="Female"/>
    <x v="1"/>
    <n v="262"/>
  </r>
  <r>
    <n v="1129"/>
    <n v="52425"/>
    <d v="2024-08-13T00:52:49"/>
    <n v="56"/>
    <s v="Female"/>
    <x v="3"/>
    <n v="2730"/>
  </r>
  <r>
    <n v="1575"/>
    <n v="52426"/>
    <d v="2024-08-13T06:43:20"/>
    <n v="63"/>
    <s v="Male"/>
    <x v="2"/>
    <n v="3592"/>
  </r>
  <r>
    <n v="1109"/>
    <n v="52427"/>
    <d v="2024-08-13T12:33:51"/>
    <n v="43"/>
    <s v="Male"/>
    <x v="1"/>
    <n v="3472"/>
  </r>
  <r>
    <n v="1533"/>
    <n v="52428"/>
    <d v="2024-08-13T18:24:22"/>
    <n v="56"/>
    <s v="Female"/>
    <x v="0"/>
    <n v="2469"/>
  </r>
  <r>
    <n v="1269"/>
    <n v="52429"/>
    <d v="2024-08-14T00:14:53"/>
    <n v="58"/>
    <s v="Male"/>
    <x v="2"/>
    <n v="4447"/>
  </r>
  <r>
    <n v="1162"/>
    <n v="52430"/>
    <d v="2024-08-14T06:05:24"/>
    <n v="21"/>
    <s v="Female"/>
    <x v="0"/>
    <n v="843"/>
  </r>
  <r>
    <n v="1260"/>
    <n v="52431"/>
    <d v="2024-08-14T11:55:55"/>
    <n v="47"/>
    <s v="Female"/>
    <x v="0"/>
    <n v="4921"/>
  </r>
  <r>
    <n v="1102"/>
    <n v="52432"/>
    <d v="2024-08-14T17:46:26"/>
    <n v="47"/>
    <s v="Male"/>
    <x v="1"/>
    <n v="416"/>
  </r>
  <r>
    <n v="1506"/>
    <n v="52433"/>
    <d v="2024-08-14T23:36:57"/>
    <n v="39"/>
    <s v="Female"/>
    <x v="0"/>
    <n v="395"/>
  </r>
  <r>
    <n v="1571"/>
    <n v="52434"/>
    <d v="2024-08-15T05:27:28"/>
    <n v="28"/>
    <s v="Male"/>
    <x v="2"/>
    <n v="4064"/>
  </r>
  <r>
    <n v="1247"/>
    <n v="52435"/>
    <d v="2024-08-15T11:17:59"/>
    <n v="19"/>
    <s v="Male"/>
    <x v="3"/>
    <n v="3473"/>
  </r>
  <r>
    <n v="1537"/>
    <n v="52436"/>
    <d v="2024-08-15T17:08:30"/>
    <n v="61"/>
    <s v="Female"/>
    <x v="1"/>
    <n v="2894"/>
  </r>
  <r>
    <n v="1131"/>
    <n v="52437"/>
    <d v="2024-08-15T22:59:01"/>
    <n v="29"/>
    <s v="Female"/>
    <x v="2"/>
    <n v="3412"/>
  </r>
  <r>
    <n v="1353"/>
    <n v="52438"/>
    <d v="2024-08-16T04:49:32"/>
    <n v="47"/>
    <s v="Male"/>
    <x v="1"/>
    <n v="2955"/>
  </r>
  <r>
    <n v="1196"/>
    <n v="52439"/>
    <d v="2024-08-16T10:40:03"/>
    <n v="53"/>
    <s v="Female"/>
    <x v="0"/>
    <n v="1721"/>
  </r>
  <r>
    <n v="1382"/>
    <n v="52440"/>
    <d v="2024-08-16T16:30:34"/>
    <n v="35"/>
    <s v="Male"/>
    <x v="0"/>
    <n v="1280"/>
  </r>
  <r>
    <n v="1227"/>
    <n v="52441"/>
    <d v="2024-08-16T22:21:05"/>
    <n v="43"/>
    <s v="Female"/>
    <x v="2"/>
    <n v="921"/>
  </r>
  <r>
    <n v="1476"/>
    <n v="52442"/>
    <d v="2024-08-17T04:11:36"/>
    <n v="24"/>
    <s v="Female"/>
    <x v="2"/>
    <n v="1762"/>
  </r>
  <r>
    <n v="1477"/>
    <n v="52443"/>
    <d v="2024-08-17T10:02:07"/>
    <n v="18"/>
    <s v="Male"/>
    <x v="3"/>
    <n v="839"/>
  </r>
  <r>
    <n v="1265"/>
    <n v="52444"/>
    <d v="2024-08-17T15:52:38"/>
    <n v="43"/>
    <s v="Male"/>
    <x v="2"/>
    <n v="4460"/>
  </r>
  <r>
    <n v="1372"/>
    <n v="52445"/>
    <d v="2024-08-17T21:43:09"/>
    <n v="40"/>
    <s v="Male"/>
    <x v="2"/>
    <n v="4510"/>
  </r>
  <r>
    <n v="1486"/>
    <n v="52446"/>
    <d v="2024-08-18T03:33:40"/>
    <n v="43"/>
    <s v="Female"/>
    <x v="1"/>
    <n v="3987"/>
  </r>
  <r>
    <n v="1434"/>
    <n v="52447"/>
    <d v="2024-08-18T09:24:11"/>
    <n v="62"/>
    <s v="Male"/>
    <x v="0"/>
    <n v="3936"/>
  </r>
  <r>
    <n v="1211"/>
    <n v="52448"/>
    <d v="2024-08-18T15:14:42"/>
    <n v="23"/>
    <s v="Male"/>
    <x v="2"/>
    <n v="289"/>
  </r>
  <r>
    <n v="1572"/>
    <n v="52449"/>
    <d v="2024-08-18T21:05:13"/>
    <n v="23"/>
    <s v="Female"/>
    <x v="3"/>
    <n v="3121"/>
  </r>
  <r>
    <n v="1377"/>
    <n v="52450"/>
    <d v="2024-08-19T02:55:44"/>
    <n v="61"/>
    <s v="Female"/>
    <x v="2"/>
    <n v="1451"/>
  </r>
  <r>
    <n v="1395"/>
    <n v="52451"/>
    <d v="2024-08-19T08:46:15"/>
    <n v="25"/>
    <s v="Male"/>
    <x v="0"/>
    <n v="1302"/>
  </r>
  <r>
    <n v="1450"/>
    <n v="52452"/>
    <d v="2024-08-19T14:36:46"/>
    <n v="41"/>
    <s v="Male"/>
    <x v="2"/>
    <n v="4903"/>
  </r>
  <r>
    <n v="1364"/>
    <n v="52453"/>
    <d v="2024-08-19T20:27:17"/>
    <n v="39"/>
    <s v="Male"/>
    <x v="1"/>
    <n v="548"/>
  </r>
  <r>
    <n v="1457"/>
    <n v="52454"/>
    <d v="2024-08-20T02:17:48"/>
    <n v="36"/>
    <s v="Male"/>
    <x v="0"/>
    <n v="4113"/>
  </r>
  <r>
    <n v="1226"/>
    <n v="52455"/>
    <d v="2024-08-20T08:08:19"/>
    <n v="54"/>
    <s v="Female"/>
    <x v="2"/>
    <n v="4252"/>
  </r>
  <r>
    <n v="1131"/>
    <n v="52456"/>
    <d v="2024-08-20T13:58:50"/>
    <n v="35"/>
    <s v="Female"/>
    <x v="1"/>
    <n v="3141"/>
  </r>
  <r>
    <n v="1588"/>
    <n v="52457"/>
    <d v="2024-08-20T19:49:21"/>
    <n v="48"/>
    <s v="Male"/>
    <x v="0"/>
    <n v="445"/>
  </r>
  <r>
    <n v="1476"/>
    <n v="52458"/>
    <d v="2024-08-21T01:39:52"/>
    <n v="54"/>
    <s v="Male"/>
    <x v="2"/>
    <n v="471"/>
  </r>
  <r>
    <n v="1277"/>
    <n v="52459"/>
    <d v="2024-08-21T07:30:23"/>
    <n v="47"/>
    <s v="Male"/>
    <x v="1"/>
    <n v="2230"/>
  </r>
  <r>
    <n v="1156"/>
    <n v="52460"/>
    <d v="2024-08-21T13:20:54"/>
    <n v="59"/>
    <s v="Female"/>
    <x v="3"/>
    <n v="4698"/>
  </r>
  <r>
    <n v="1218"/>
    <n v="52461"/>
    <d v="2024-08-21T19:11:25"/>
    <n v="50"/>
    <s v="Male"/>
    <x v="1"/>
    <n v="3387"/>
  </r>
  <r>
    <n v="1190"/>
    <n v="52462"/>
    <d v="2024-08-22T01:01:56"/>
    <n v="27"/>
    <s v="Male"/>
    <x v="3"/>
    <n v="3706"/>
  </r>
  <r>
    <n v="1417"/>
    <n v="52463"/>
    <d v="2024-08-22T06:52:27"/>
    <n v="54"/>
    <s v="Female"/>
    <x v="2"/>
    <n v="1665"/>
  </r>
  <r>
    <n v="1546"/>
    <n v="52464"/>
    <d v="2024-08-22T12:42:58"/>
    <n v="29"/>
    <s v="Female"/>
    <x v="1"/>
    <n v="1395"/>
  </r>
  <r>
    <n v="1041"/>
    <n v="52465"/>
    <d v="2024-08-22T18:33:29"/>
    <n v="47"/>
    <s v="Male"/>
    <x v="3"/>
    <n v="3287"/>
  </r>
  <r>
    <n v="1307"/>
    <n v="52466"/>
    <d v="2024-08-23T00:24:00"/>
    <n v="44"/>
    <s v="Male"/>
    <x v="0"/>
    <n v="3208"/>
  </r>
  <r>
    <n v="1338"/>
    <n v="52467"/>
    <d v="2024-08-23T06:14:31"/>
    <n v="56"/>
    <s v="Female"/>
    <x v="1"/>
    <n v="4023"/>
  </r>
  <r>
    <n v="1314"/>
    <n v="52468"/>
    <d v="2024-08-23T12:05:03"/>
    <n v="26"/>
    <s v="Male"/>
    <x v="2"/>
    <n v="1814"/>
  </r>
  <r>
    <n v="1075"/>
    <n v="52469"/>
    <d v="2024-08-23T17:55:34"/>
    <n v="38"/>
    <s v="Male"/>
    <x v="0"/>
    <n v="1326"/>
  </r>
  <r>
    <n v="1279"/>
    <n v="52470"/>
    <d v="2024-08-23T23:46:05"/>
    <n v="29"/>
    <s v="Female"/>
    <x v="3"/>
    <n v="4579"/>
  </r>
  <r>
    <n v="1176"/>
    <n v="52471"/>
    <d v="2024-08-24T05:36:36"/>
    <n v="46"/>
    <s v="Female"/>
    <x v="1"/>
    <n v="716"/>
  </r>
  <r>
    <n v="1273"/>
    <n v="52472"/>
    <d v="2024-08-24T11:27:07"/>
    <n v="50"/>
    <s v="Female"/>
    <x v="1"/>
    <n v="2865"/>
  </r>
  <r>
    <n v="1289"/>
    <n v="52473"/>
    <d v="2024-08-24T17:17:38"/>
    <n v="60"/>
    <s v="Male"/>
    <x v="2"/>
    <n v="1501"/>
  </r>
  <r>
    <n v="1272"/>
    <n v="52474"/>
    <d v="2024-08-24T23:08:09"/>
    <n v="32"/>
    <s v="Female"/>
    <x v="0"/>
    <n v="811"/>
  </r>
  <r>
    <n v="1066"/>
    <n v="52475"/>
    <d v="2024-08-25T04:58:40"/>
    <n v="19"/>
    <s v="Female"/>
    <x v="1"/>
    <n v="949"/>
  </r>
  <r>
    <n v="1483"/>
    <n v="52476"/>
    <d v="2024-08-25T10:49:11"/>
    <n v="56"/>
    <s v="Male"/>
    <x v="1"/>
    <n v="2056"/>
  </r>
  <r>
    <n v="1248"/>
    <n v="52477"/>
    <d v="2024-08-25T16:39:42"/>
    <n v="61"/>
    <s v="Male"/>
    <x v="0"/>
    <n v="599"/>
  </r>
  <r>
    <n v="1156"/>
    <n v="52478"/>
    <d v="2024-08-25T22:30:13"/>
    <n v="35"/>
    <s v="Female"/>
    <x v="1"/>
    <n v="1726"/>
  </r>
  <r>
    <n v="1047"/>
    <n v="52479"/>
    <d v="2024-08-26T04:20:44"/>
    <n v="20"/>
    <s v="Female"/>
    <x v="0"/>
    <n v="2224"/>
  </r>
  <r>
    <n v="1454"/>
    <n v="52480"/>
    <d v="2024-08-26T10:11:15"/>
    <n v="24"/>
    <s v="Male"/>
    <x v="0"/>
    <n v="519"/>
  </r>
  <r>
    <n v="1201"/>
    <n v="52481"/>
    <d v="2024-08-26T16:01:46"/>
    <n v="60"/>
    <s v="Male"/>
    <x v="0"/>
    <n v="535"/>
  </r>
  <r>
    <n v="1124"/>
    <n v="52482"/>
    <d v="2024-08-26T21:52:17"/>
    <n v="35"/>
    <s v="Female"/>
    <x v="2"/>
    <n v="2298"/>
  </r>
  <r>
    <n v="1001"/>
    <n v="52483"/>
    <d v="2024-08-27T03:42:48"/>
    <n v="61"/>
    <s v="Female"/>
    <x v="0"/>
    <n v="373"/>
  </r>
  <r>
    <n v="1191"/>
    <n v="52484"/>
    <d v="2024-08-27T09:33:19"/>
    <n v="55"/>
    <s v="Male"/>
    <x v="0"/>
    <n v="4219"/>
  </r>
  <r>
    <n v="1579"/>
    <n v="52485"/>
    <d v="2024-08-27T15:23:50"/>
    <n v="54"/>
    <s v="Female"/>
    <x v="3"/>
    <n v="1841"/>
  </r>
  <r>
    <n v="1516"/>
    <n v="52486"/>
    <d v="2024-08-27T21:14:21"/>
    <n v="50"/>
    <s v="Male"/>
    <x v="3"/>
    <n v="700"/>
  </r>
  <r>
    <n v="1442"/>
    <n v="52487"/>
    <d v="2024-08-28T03:04:52"/>
    <n v="61"/>
    <s v="Female"/>
    <x v="2"/>
    <n v="3846"/>
  </r>
  <r>
    <n v="1143"/>
    <n v="52488"/>
    <d v="2024-08-28T08:55:23"/>
    <n v="48"/>
    <s v="Male"/>
    <x v="0"/>
    <n v="2563"/>
  </r>
  <r>
    <n v="1191"/>
    <n v="52489"/>
    <d v="2024-08-28T14:45:54"/>
    <n v="28"/>
    <s v="Male"/>
    <x v="3"/>
    <n v="2056"/>
  </r>
  <r>
    <n v="1533"/>
    <n v="52490"/>
    <d v="2024-08-28T20:36:25"/>
    <n v="21"/>
    <s v="Female"/>
    <x v="3"/>
    <n v="3352"/>
  </r>
  <r>
    <n v="1227"/>
    <n v="52491"/>
    <d v="2024-08-29T02:26:56"/>
    <n v="35"/>
    <s v="Female"/>
    <x v="1"/>
    <n v="2096"/>
  </r>
  <r>
    <n v="1313"/>
    <n v="52492"/>
    <d v="2024-08-29T08:17:27"/>
    <n v="21"/>
    <s v="Male"/>
    <x v="0"/>
    <n v="1918"/>
  </r>
  <r>
    <n v="1302"/>
    <n v="52493"/>
    <d v="2024-08-29T14:07:58"/>
    <n v="51"/>
    <s v="Female"/>
    <x v="3"/>
    <n v="1978"/>
  </r>
  <r>
    <n v="1460"/>
    <n v="52494"/>
    <d v="2024-08-29T19:58:29"/>
    <n v="46"/>
    <s v="Female"/>
    <x v="2"/>
    <n v="4992"/>
  </r>
  <r>
    <n v="1401"/>
    <n v="52495"/>
    <d v="2024-08-30T01:49:00"/>
    <n v="41"/>
    <s v="Female"/>
    <x v="1"/>
    <n v="3257"/>
  </r>
  <r>
    <n v="1551"/>
    <n v="52496"/>
    <d v="2024-08-30T07:39:31"/>
    <n v="39"/>
    <s v="Male"/>
    <x v="1"/>
    <n v="2913"/>
  </r>
  <r>
    <n v="1393"/>
    <n v="52497"/>
    <d v="2024-08-30T13:30:02"/>
    <n v="19"/>
    <s v="Female"/>
    <x v="0"/>
    <n v="4028"/>
  </r>
  <r>
    <n v="1207"/>
    <n v="52498"/>
    <d v="2024-08-30T19:20:33"/>
    <n v="61"/>
    <s v="Female"/>
    <x v="0"/>
    <n v="4947"/>
  </r>
  <r>
    <n v="1210"/>
    <n v="52499"/>
    <d v="2024-08-31T01:11:04"/>
    <n v="23"/>
    <s v="Male"/>
    <x v="1"/>
    <n v="1294"/>
  </r>
  <r>
    <n v="1115"/>
    <n v="52500"/>
    <d v="2024-08-31T07:01:35"/>
    <n v="59"/>
    <s v="Female"/>
    <x v="2"/>
    <n v="245"/>
  </r>
  <r>
    <n v="1251"/>
    <n v="52501"/>
    <d v="2024-08-31T12:52:06"/>
    <n v="42"/>
    <s v="Female"/>
    <x v="0"/>
    <n v="1645"/>
  </r>
  <r>
    <n v="1219"/>
    <n v="52502"/>
    <d v="2024-08-31T18:42:37"/>
    <n v="38"/>
    <s v="Male"/>
    <x v="0"/>
    <n v="2396"/>
  </r>
  <r>
    <n v="1407"/>
    <n v="52503"/>
    <d v="2024-09-01T00:33:08"/>
    <n v="33"/>
    <s v="Male"/>
    <x v="1"/>
    <n v="3401"/>
  </r>
  <r>
    <n v="1443"/>
    <n v="52504"/>
    <d v="2024-09-01T06:23:39"/>
    <n v="48"/>
    <s v="Female"/>
    <x v="1"/>
    <n v="655"/>
  </r>
  <r>
    <n v="1354"/>
    <n v="52505"/>
    <d v="2024-09-01T12:14:10"/>
    <n v="31"/>
    <s v="Female"/>
    <x v="0"/>
    <n v="1862"/>
  </r>
  <r>
    <n v="1558"/>
    <n v="52506"/>
    <d v="2024-09-01T18:04:41"/>
    <n v="56"/>
    <s v="Male"/>
    <x v="3"/>
    <n v="3124"/>
  </r>
  <r>
    <n v="1550"/>
    <n v="52507"/>
    <d v="2024-09-01T23:55:12"/>
    <n v="45"/>
    <s v="Male"/>
    <x v="0"/>
    <n v="1165"/>
  </r>
  <r>
    <n v="1142"/>
    <n v="52508"/>
    <d v="2024-09-02T05:45:43"/>
    <n v="49"/>
    <s v="Female"/>
    <x v="3"/>
    <n v="1728"/>
  </r>
  <r>
    <n v="1501"/>
    <n v="52509"/>
    <d v="2024-09-02T11:36:14"/>
    <n v="45"/>
    <s v="Female"/>
    <x v="1"/>
    <n v="3176"/>
  </r>
  <r>
    <n v="1547"/>
    <n v="52510"/>
    <d v="2024-09-02T17:26:45"/>
    <n v="26"/>
    <s v="Female"/>
    <x v="3"/>
    <n v="3271"/>
  </r>
  <r>
    <n v="1542"/>
    <n v="52511"/>
    <d v="2024-09-02T23:17:16"/>
    <n v="62"/>
    <s v="Male"/>
    <x v="2"/>
    <n v="2721"/>
  </r>
  <r>
    <n v="1507"/>
    <n v="52512"/>
    <d v="2024-09-03T05:07:47"/>
    <n v="39"/>
    <s v="Female"/>
    <x v="1"/>
    <n v="1326"/>
  </r>
  <r>
    <n v="1596"/>
    <n v="52513"/>
    <d v="2024-09-03T10:58:18"/>
    <n v="49"/>
    <s v="Male"/>
    <x v="0"/>
    <n v="3604"/>
  </r>
  <r>
    <n v="1281"/>
    <n v="52514"/>
    <d v="2024-09-03T16:48:49"/>
    <n v="22"/>
    <s v="Male"/>
    <x v="0"/>
    <n v="4692"/>
  </r>
  <r>
    <n v="1424"/>
    <n v="52515"/>
    <d v="2024-09-03T22:39:20"/>
    <n v="40"/>
    <s v="Male"/>
    <x v="1"/>
    <n v="2543"/>
  </r>
  <r>
    <n v="1270"/>
    <n v="52516"/>
    <d v="2024-09-04T04:29:51"/>
    <n v="22"/>
    <s v="Female"/>
    <x v="1"/>
    <n v="306"/>
  </r>
  <r>
    <n v="1154"/>
    <n v="52517"/>
    <d v="2024-09-04T10:20:22"/>
    <n v="59"/>
    <s v="Female"/>
    <x v="2"/>
    <n v="2777"/>
  </r>
  <r>
    <n v="1083"/>
    <n v="52518"/>
    <d v="2024-09-04T16:10:53"/>
    <n v="49"/>
    <s v="Female"/>
    <x v="1"/>
    <n v="3354"/>
  </r>
  <r>
    <n v="1426"/>
    <n v="52519"/>
    <d v="2024-09-04T22:01:24"/>
    <n v="27"/>
    <s v="Male"/>
    <x v="0"/>
    <n v="4583"/>
  </r>
  <r>
    <n v="1275"/>
    <n v="52520"/>
    <d v="2024-09-05T03:51:55"/>
    <n v="56"/>
    <s v="Female"/>
    <x v="2"/>
    <n v="4253"/>
  </r>
  <r>
    <n v="1284"/>
    <n v="52521"/>
    <d v="2024-09-05T09:42:26"/>
    <n v="32"/>
    <s v="Male"/>
    <x v="0"/>
    <n v="414"/>
  </r>
  <r>
    <n v="1173"/>
    <n v="52522"/>
    <d v="2024-09-05T15:32:57"/>
    <n v="24"/>
    <s v="Male"/>
    <x v="3"/>
    <n v="4639"/>
  </r>
  <r>
    <n v="1327"/>
    <n v="52523"/>
    <d v="2024-09-05T21:23:28"/>
    <n v="46"/>
    <s v="Male"/>
    <x v="1"/>
    <n v="4489"/>
  </r>
  <r>
    <n v="1063"/>
    <n v="52524"/>
    <d v="2024-09-06T03:13:59"/>
    <n v="64"/>
    <s v="Male"/>
    <x v="3"/>
    <n v="4453"/>
  </r>
  <r>
    <n v="1073"/>
    <n v="52525"/>
    <d v="2024-09-06T09:04:30"/>
    <n v="20"/>
    <s v="Male"/>
    <x v="0"/>
    <n v="664"/>
  </r>
  <r>
    <n v="1375"/>
    <n v="52526"/>
    <d v="2024-09-06T14:55:01"/>
    <n v="36"/>
    <s v="Male"/>
    <x v="3"/>
    <n v="2572"/>
  </r>
  <r>
    <n v="1508"/>
    <n v="52527"/>
    <d v="2024-09-06T20:45:32"/>
    <n v="27"/>
    <s v="Female"/>
    <x v="3"/>
    <n v="791"/>
  </r>
  <r>
    <n v="1398"/>
    <n v="52528"/>
    <d v="2024-09-07T02:36:03"/>
    <n v="45"/>
    <s v="Male"/>
    <x v="0"/>
    <n v="2388"/>
  </r>
  <r>
    <n v="1120"/>
    <n v="52529"/>
    <d v="2024-09-07T08:26:34"/>
    <n v="46"/>
    <s v="Female"/>
    <x v="0"/>
    <n v="1083"/>
  </r>
  <r>
    <n v="1437"/>
    <n v="52530"/>
    <d v="2024-09-07T14:17:05"/>
    <n v="32"/>
    <s v="Male"/>
    <x v="1"/>
    <n v="4358"/>
  </r>
  <r>
    <n v="1465"/>
    <n v="52531"/>
    <d v="2024-09-07T20:07:36"/>
    <n v="52"/>
    <s v="Female"/>
    <x v="3"/>
    <n v="503"/>
  </r>
  <r>
    <n v="1286"/>
    <n v="52532"/>
    <d v="2024-09-08T01:58:07"/>
    <n v="23"/>
    <s v="Female"/>
    <x v="2"/>
    <n v="4691"/>
  </r>
  <r>
    <n v="1265"/>
    <n v="52533"/>
    <d v="2024-09-08T07:48:38"/>
    <n v="29"/>
    <s v="Female"/>
    <x v="2"/>
    <n v="533"/>
  </r>
  <r>
    <n v="1320"/>
    <n v="52534"/>
    <d v="2024-09-08T13:39:09"/>
    <n v="64"/>
    <s v="Female"/>
    <x v="0"/>
    <n v="3033"/>
  </r>
  <r>
    <n v="1376"/>
    <n v="52535"/>
    <d v="2024-09-08T19:29:40"/>
    <n v="55"/>
    <s v="Male"/>
    <x v="0"/>
    <n v="4706"/>
  </r>
  <r>
    <n v="1089"/>
    <n v="52536"/>
    <d v="2024-09-09T01:20:11"/>
    <n v="30"/>
    <s v="Male"/>
    <x v="3"/>
    <n v="2531"/>
  </r>
  <r>
    <n v="1203"/>
    <n v="52537"/>
    <d v="2024-09-09T07:10:42"/>
    <n v="46"/>
    <s v="Male"/>
    <x v="0"/>
    <n v="4761"/>
  </r>
  <r>
    <n v="1334"/>
    <n v="52538"/>
    <d v="2024-09-09T13:01:13"/>
    <n v="36"/>
    <s v="Male"/>
    <x v="2"/>
    <n v="279"/>
  </r>
  <r>
    <n v="1222"/>
    <n v="52539"/>
    <d v="2024-09-09T18:51:44"/>
    <n v="20"/>
    <s v="Female"/>
    <x v="1"/>
    <n v="3963"/>
  </r>
  <r>
    <n v="1041"/>
    <n v="52540"/>
    <d v="2024-09-10T00:42:15"/>
    <n v="25"/>
    <s v="Female"/>
    <x v="1"/>
    <n v="3031"/>
  </r>
  <r>
    <n v="1068"/>
    <n v="52541"/>
    <d v="2024-09-10T06:32:46"/>
    <n v="25"/>
    <s v="Female"/>
    <x v="3"/>
    <n v="2177"/>
  </r>
  <r>
    <n v="1514"/>
    <n v="52542"/>
    <d v="2024-09-10T12:23:17"/>
    <n v="37"/>
    <s v="Male"/>
    <x v="1"/>
    <n v="932"/>
  </r>
  <r>
    <n v="1598"/>
    <n v="52543"/>
    <d v="2024-09-10T18:13:48"/>
    <n v="64"/>
    <s v="Female"/>
    <x v="0"/>
    <n v="4176"/>
  </r>
  <r>
    <n v="1127"/>
    <n v="52544"/>
    <d v="2024-09-11T00:04:19"/>
    <n v="21"/>
    <s v="Male"/>
    <x v="0"/>
    <n v="2017"/>
  </r>
  <r>
    <n v="1255"/>
    <n v="52545"/>
    <d v="2024-09-11T05:54:50"/>
    <n v="38"/>
    <s v="Female"/>
    <x v="0"/>
    <n v="1584"/>
  </r>
  <r>
    <n v="1016"/>
    <n v="52546"/>
    <d v="2024-09-11T11:45:21"/>
    <n v="20"/>
    <s v="Female"/>
    <x v="0"/>
    <n v="2324"/>
  </r>
  <r>
    <n v="1477"/>
    <n v="52547"/>
    <d v="2024-09-11T17:35:52"/>
    <n v="62"/>
    <s v="Female"/>
    <x v="3"/>
    <n v="1398"/>
  </r>
  <r>
    <n v="1062"/>
    <n v="52548"/>
    <d v="2024-09-11T23:26:23"/>
    <n v="25"/>
    <s v="Female"/>
    <x v="1"/>
    <n v="2492"/>
  </r>
  <r>
    <n v="1432"/>
    <n v="52549"/>
    <d v="2024-09-12T05:16:54"/>
    <n v="40"/>
    <s v="Female"/>
    <x v="2"/>
    <n v="4417"/>
  </r>
  <r>
    <n v="1268"/>
    <n v="52550"/>
    <d v="2024-09-12T11:07:25"/>
    <n v="33"/>
    <s v="Male"/>
    <x v="1"/>
    <n v="384"/>
  </r>
  <r>
    <n v="1035"/>
    <n v="52551"/>
    <d v="2024-09-12T16:57:56"/>
    <n v="30"/>
    <s v="Female"/>
    <x v="0"/>
    <n v="4327"/>
  </r>
  <r>
    <n v="1576"/>
    <n v="52552"/>
    <d v="2024-09-12T22:48:27"/>
    <n v="20"/>
    <s v="Male"/>
    <x v="2"/>
    <n v="1197"/>
  </r>
  <r>
    <n v="1494"/>
    <n v="52553"/>
    <d v="2024-09-13T04:38:58"/>
    <n v="26"/>
    <s v="Male"/>
    <x v="3"/>
    <n v="2186"/>
  </r>
  <r>
    <n v="1562"/>
    <n v="52554"/>
    <d v="2024-09-13T10:29:29"/>
    <n v="31"/>
    <s v="Male"/>
    <x v="0"/>
    <n v="3009"/>
  </r>
  <r>
    <n v="1469"/>
    <n v="52555"/>
    <d v="2024-09-13T16:20:00"/>
    <n v="30"/>
    <s v="Male"/>
    <x v="0"/>
    <n v="4864"/>
  </r>
  <r>
    <n v="1325"/>
    <n v="52556"/>
    <d v="2024-09-13T22:10:31"/>
    <n v="24"/>
    <s v="Male"/>
    <x v="2"/>
    <n v="2557"/>
  </r>
  <r>
    <n v="1304"/>
    <n v="52557"/>
    <d v="2024-09-14T04:01:02"/>
    <n v="32"/>
    <s v="Male"/>
    <x v="3"/>
    <n v="1879"/>
  </r>
  <r>
    <n v="1276"/>
    <n v="52558"/>
    <d v="2024-09-14T09:51:33"/>
    <n v="24"/>
    <s v="Male"/>
    <x v="2"/>
    <n v="3239"/>
  </r>
  <r>
    <n v="1201"/>
    <n v="52559"/>
    <d v="2024-09-14T15:42:04"/>
    <n v="55"/>
    <s v="Male"/>
    <x v="3"/>
    <n v="2711"/>
  </r>
  <r>
    <n v="1445"/>
    <n v="52560"/>
    <d v="2024-09-14T21:32:35"/>
    <n v="51"/>
    <s v="Female"/>
    <x v="0"/>
    <n v="3727"/>
  </r>
  <r>
    <n v="1324"/>
    <n v="52561"/>
    <d v="2024-09-15T03:23:06"/>
    <n v="58"/>
    <s v="Female"/>
    <x v="1"/>
    <n v="3226"/>
  </r>
  <r>
    <n v="1035"/>
    <n v="52562"/>
    <d v="2024-09-15T09:13:37"/>
    <n v="39"/>
    <s v="Male"/>
    <x v="0"/>
    <n v="2945"/>
  </r>
  <r>
    <n v="1482"/>
    <n v="52563"/>
    <d v="2024-09-15T15:04:08"/>
    <n v="41"/>
    <s v="Male"/>
    <x v="1"/>
    <n v="4373"/>
  </r>
  <r>
    <n v="1480"/>
    <n v="52564"/>
    <d v="2024-09-15T20:54:39"/>
    <n v="54"/>
    <s v="Male"/>
    <x v="1"/>
    <n v="2781"/>
  </r>
  <r>
    <n v="1065"/>
    <n v="52565"/>
    <d v="2024-09-16T02:45:11"/>
    <n v="61"/>
    <s v="Female"/>
    <x v="3"/>
    <n v="4403"/>
  </r>
  <r>
    <n v="1008"/>
    <n v="52566"/>
    <d v="2024-09-16T08:35:42"/>
    <n v="18"/>
    <s v="Female"/>
    <x v="2"/>
    <n v="3011"/>
  </r>
  <r>
    <n v="1301"/>
    <n v="52567"/>
    <d v="2024-09-16T14:26:13"/>
    <n v="27"/>
    <s v="Male"/>
    <x v="3"/>
    <n v="4290"/>
  </r>
  <r>
    <n v="1343"/>
    <n v="52568"/>
    <d v="2024-09-16T20:16:44"/>
    <n v="60"/>
    <s v="Male"/>
    <x v="0"/>
    <n v="569"/>
  </r>
  <r>
    <n v="1431"/>
    <n v="52569"/>
    <d v="2024-09-17T02:07:15"/>
    <n v="33"/>
    <s v="Female"/>
    <x v="2"/>
    <n v="3943"/>
  </r>
  <r>
    <n v="1424"/>
    <n v="52570"/>
    <d v="2024-09-17T07:57:46"/>
    <n v="63"/>
    <s v="Female"/>
    <x v="1"/>
    <n v="2204"/>
  </r>
  <r>
    <n v="1332"/>
    <n v="52571"/>
    <d v="2024-09-17T13:48:17"/>
    <n v="25"/>
    <s v="Male"/>
    <x v="1"/>
    <n v="1903"/>
  </r>
  <r>
    <n v="1438"/>
    <n v="52572"/>
    <d v="2024-09-17T19:38:48"/>
    <n v="42"/>
    <s v="Male"/>
    <x v="0"/>
    <n v="3524"/>
  </r>
  <r>
    <n v="1588"/>
    <n v="52573"/>
    <d v="2024-09-18T01:29:19"/>
    <n v="29"/>
    <s v="Male"/>
    <x v="2"/>
    <n v="640"/>
  </r>
  <r>
    <n v="1174"/>
    <n v="52574"/>
    <d v="2024-09-18T07:19:50"/>
    <n v="42"/>
    <s v="Male"/>
    <x v="0"/>
    <n v="3457"/>
  </r>
  <r>
    <n v="1559"/>
    <n v="52575"/>
    <d v="2024-09-18T13:10:21"/>
    <n v="34"/>
    <s v="Female"/>
    <x v="0"/>
    <n v="3106"/>
  </r>
  <r>
    <n v="1527"/>
    <n v="52576"/>
    <d v="2024-09-18T19:00:52"/>
    <n v="43"/>
    <s v="Female"/>
    <x v="3"/>
    <n v="426"/>
  </r>
  <r>
    <n v="1026"/>
    <n v="52577"/>
    <d v="2024-09-19T00:51:23"/>
    <n v="63"/>
    <s v="Male"/>
    <x v="0"/>
    <n v="2601"/>
  </r>
  <r>
    <n v="1406"/>
    <n v="52578"/>
    <d v="2024-09-19T06:41:54"/>
    <n v="31"/>
    <s v="Male"/>
    <x v="2"/>
    <n v="4918"/>
  </r>
  <r>
    <n v="1232"/>
    <n v="52579"/>
    <d v="2024-09-19T12:32:25"/>
    <n v="58"/>
    <s v="Male"/>
    <x v="0"/>
    <n v="1224"/>
  </r>
  <r>
    <n v="1533"/>
    <n v="52580"/>
    <d v="2024-09-19T18:22:56"/>
    <n v="53"/>
    <s v="Female"/>
    <x v="2"/>
    <n v="3691"/>
  </r>
  <r>
    <n v="1550"/>
    <n v="52581"/>
    <d v="2024-09-20T00:13:27"/>
    <n v="40"/>
    <s v="Male"/>
    <x v="1"/>
    <n v="4456"/>
  </r>
  <r>
    <n v="1505"/>
    <n v="52582"/>
    <d v="2024-09-20T06:03:58"/>
    <n v="60"/>
    <s v="Male"/>
    <x v="0"/>
    <n v="1070"/>
  </r>
  <r>
    <n v="1179"/>
    <n v="52583"/>
    <d v="2024-09-20T11:54:29"/>
    <n v="23"/>
    <s v="Male"/>
    <x v="2"/>
    <n v="3399"/>
  </r>
  <r>
    <n v="1132"/>
    <n v="52584"/>
    <d v="2024-09-20T17:45:00"/>
    <n v="64"/>
    <s v="Female"/>
    <x v="1"/>
    <n v="1945"/>
  </r>
  <r>
    <n v="1455"/>
    <n v="52585"/>
    <d v="2024-09-20T23:35:31"/>
    <n v="22"/>
    <s v="Male"/>
    <x v="2"/>
    <n v="643"/>
  </r>
  <r>
    <n v="1348"/>
    <n v="52586"/>
    <d v="2024-09-21T05:26:02"/>
    <n v="60"/>
    <s v="Female"/>
    <x v="1"/>
    <n v="4758"/>
  </r>
  <r>
    <n v="1540"/>
    <n v="52587"/>
    <d v="2024-09-21T11:16:33"/>
    <n v="42"/>
    <s v="Male"/>
    <x v="3"/>
    <n v="672"/>
  </r>
  <r>
    <n v="1406"/>
    <n v="52588"/>
    <d v="2024-09-21T17:07:04"/>
    <n v="35"/>
    <s v="Male"/>
    <x v="0"/>
    <n v="279"/>
  </r>
  <r>
    <n v="1076"/>
    <n v="52589"/>
    <d v="2024-09-21T22:57:35"/>
    <n v="30"/>
    <s v="Male"/>
    <x v="0"/>
    <n v="439"/>
  </r>
  <r>
    <n v="1579"/>
    <n v="52590"/>
    <d v="2024-09-22T04:48:06"/>
    <n v="60"/>
    <s v="Female"/>
    <x v="1"/>
    <n v="4852"/>
  </r>
  <r>
    <n v="1492"/>
    <n v="52591"/>
    <d v="2024-09-22T10:38:37"/>
    <n v="31"/>
    <s v="Male"/>
    <x v="3"/>
    <n v="789"/>
  </r>
  <r>
    <n v="1194"/>
    <n v="52592"/>
    <d v="2024-09-22T16:29:08"/>
    <n v="45"/>
    <s v="Male"/>
    <x v="2"/>
    <n v="1560"/>
  </r>
  <r>
    <n v="1162"/>
    <n v="52593"/>
    <d v="2024-09-22T22:19:39"/>
    <n v="35"/>
    <s v="Female"/>
    <x v="3"/>
    <n v="2084"/>
  </r>
  <r>
    <n v="1347"/>
    <n v="52594"/>
    <d v="2024-09-23T04:10:10"/>
    <n v="45"/>
    <s v="Female"/>
    <x v="2"/>
    <n v="2516"/>
  </r>
  <r>
    <n v="1361"/>
    <n v="52595"/>
    <d v="2024-09-23T10:00:41"/>
    <n v="44"/>
    <s v="Female"/>
    <x v="2"/>
    <n v="4630"/>
  </r>
  <r>
    <n v="1584"/>
    <n v="52596"/>
    <d v="2024-09-23T15:51:12"/>
    <n v="49"/>
    <s v="Male"/>
    <x v="0"/>
    <n v="511"/>
  </r>
  <r>
    <n v="1087"/>
    <n v="52597"/>
    <d v="2024-09-23T21:41:43"/>
    <n v="64"/>
    <s v="Female"/>
    <x v="1"/>
    <n v="1276"/>
  </r>
  <r>
    <n v="1262"/>
    <n v="52598"/>
    <d v="2024-09-24T03:32:14"/>
    <n v="26"/>
    <s v="Male"/>
    <x v="0"/>
    <n v="233"/>
  </r>
  <r>
    <n v="1214"/>
    <n v="52599"/>
    <d v="2024-09-24T09:22:45"/>
    <n v="57"/>
    <s v="Female"/>
    <x v="0"/>
    <n v="2041"/>
  </r>
  <r>
    <n v="1573"/>
    <n v="52600"/>
    <d v="2024-09-24T15:13:16"/>
    <n v="49"/>
    <s v="Female"/>
    <x v="0"/>
    <n v="4681"/>
  </r>
  <r>
    <n v="1262"/>
    <n v="52601"/>
    <d v="2024-09-24T21:03:47"/>
    <n v="37"/>
    <s v="Female"/>
    <x v="2"/>
    <n v="448"/>
  </r>
  <r>
    <n v="1283"/>
    <n v="52602"/>
    <d v="2024-09-25T02:54:18"/>
    <n v="45"/>
    <s v="Male"/>
    <x v="0"/>
    <n v="1334"/>
  </r>
  <r>
    <n v="1467"/>
    <n v="52603"/>
    <d v="2024-09-25T08:44:49"/>
    <n v="50"/>
    <s v="Male"/>
    <x v="2"/>
    <n v="575"/>
  </r>
  <r>
    <n v="1380"/>
    <n v="52604"/>
    <d v="2024-09-25T14:35:20"/>
    <n v="21"/>
    <s v="Male"/>
    <x v="1"/>
    <n v="923"/>
  </r>
  <r>
    <n v="1362"/>
    <n v="52605"/>
    <d v="2024-09-25T20:25:51"/>
    <n v="63"/>
    <s v="Male"/>
    <x v="2"/>
    <n v="2113"/>
  </r>
  <r>
    <n v="1449"/>
    <n v="52606"/>
    <d v="2024-09-26T02:16:22"/>
    <n v="51"/>
    <s v="Male"/>
    <x v="2"/>
    <n v="4497"/>
  </r>
  <r>
    <n v="1441"/>
    <n v="52607"/>
    <d v="2024-09-26T08:06:53"/>
    <n v="20"/>
    <s v="Male"/>
    <x v="3"/>
    <n v="2692"/>
  </r>
  <r>
    <n v="1093"/>
    <n v="52608"/>
    <d v="2024-09-26T13:57:24"/>
    <n v="43"/>
    <s v="Male"/>
    <x v="0"/>
    <n v="2142"/>
  </r>
  <r>
    <n v="1424"/>
    <n v="52609"/>
    <d v="2024-09-26T19:47:55"/>
    <n v="25"/>
    <s v="Male"/>
    <x v="0"/>
    <n v="4204"/>
  </r>
  <r>
    <n v="1142"/>
    <n v="52610"/>
    <d v="2024-09-27T01:38:26"/>
    <n v="23"/>
    <s v="Male"/>
    <x v="0"/>
    <n v="2544"/>
  </r>
  <r>
    <n v="1291"/>
    <n v="52611"/>
    <d v="2024-09-27T07:28:57"/>
    <n v="33"/>
    <s v="Female"/>
    <x v="0"/>
    <n v="1531"/>
  </r>
  <r>
    <n v="1432"/>
    <n v="52612"/>
    <d v="2024-09-27T13:19:28"/>
    <n v="41"/>
    <s v="Female"/>
    <x v="3"/>
    <n v="4788"/>
  </r>
  <r>
    <n v="1049"/>
    <n v="52613"/>
    <d v="2024-09-27T19:09:59"/>
    <n v="56"/>
    <s v="Male"/>
    <x v="3"/>
    <n v="537"/>
  </r>
  <r>
    <n v="1302"/>
    <n v="52614"/>
    <d v="2024-09-28T01:00:30"/>
    <n v="47"/>
    <s v="Male"/>
    <x v="3"/>
    <n v="2065"/>
  </r>
  <r>
    <n v="1190"/>
    <n v="52615"/>
    <d v="2024-09-28T06:51:01"/>
    <n v="62"/>
    <s v="Male"/>
    <x v="3"/>
    <n v="3337"/>
  </r>
  <r>
    <n v="1136"/>
    <n v="52616"/>
    <d v="2024-09-28T12:41:32"/>
    <n v="30"/>
    <s v="Male"/>
    <x v="0"/>
    <n v="991"/>
  </r>
  <r>
    <n v="1555"/>
    <n v="52617"/>
    <d v="2024-09-28T18:32:03"/>
    <n v="22"/>
    <s v="Female"/>
    <x v="2"/>
    <n v="3811"/>
  </r>
  <r>
    <n v="1404"/>
    <n v="52618"/>
    <d v="2024-09-29T00:22:34"/>
    <n v="42"/>
    <s v="Female"/>
    <x v="1"/>
    <n v="3900"/>
  </r>
  <r>
    <n v="1341"/>
    <n v="52619"/>
    <d v="2024-09-29T06:13:05"/>
    <n v="37"/>
    <s v="Male"/>
    <x v="3"/>
    <n v="1716"/>
  </r>
  <r>
    <n v="1318"/>
    <n v="52620"/>
    <d v="2024-09-29T12:03:36"/>
    <n v="35"/>
    <s v="Female"/>
    <x v="2"/>
    <n v="4153"/>
  </r>
  <r>
    <n v="1363"/>
    <n v="52621"/>
    <d v="2024-09-29T17:54:07"/>
    <n v="64"/>
    <s v="Female"/>
    <x v="3"/>
    <n v="4108"/>
  </r>
  <r>
    <n v="1382"/>
    <n v="52622"/>
    <d v="2024-09-29T23:44:38"/>
    <n v="35"/>
    <s v="Male"/>
    <x v="0"/>
    <n v="2873"/>
  </r>
  <r>
    <n v="1233"/>
    <n v="52623"/>
    <d v="2024-09-30T05:35:09"/>
    <n v="19"/>
    <s v="Male"/>
    <x v="0"/>
    <n v="2322"/>
  </r>
  <r>
    <n v="1344"/>
    <n v="52624"/>
    <d v="2024-09-30T11:25:40"/>
    <n v="27"/>
    <s v="Male"/>
    <x v="2"/>
    <n v="3985"/>
  </r>
  <r>
    <n v="1549"/>
    <n v="52625"/>
    <d v="2024-09-30T17:16:11"/>
    <n v="62"/>
    <s v="Male"/>
    <x v="2"/>
    <n v="258"/>
  </r>
  <r>
    <n v="1553"/>
    <n v="52626"/>
    <d v="2024-09-30T23:06:42"/>
    <n v="64"/>
    <s v="Female"/>
    <x v="2"/>
    <n v="2633"/>
  </r>
  <r>
    <n v="1529"/>
    <n v="52627"/>
    <d v="2024-10-01T04:57:13"/>
    <n v="29"/>
    <s v="Male"/>
    <x v="0"/>
    <n v="2262"/>
  </r>
  <r>
    <n v="1571"/>
    <n v="52628"/>
    <d v="2024-10-01T10:47:44"/>
    <n v="64"/>
    <s v="Female"/>
    <x v="0"/>
    <n v="1454"/>
  </r>
  <r>
    <n v="1183"/>
    <n v="52629"/>
    <d v="2024-10-01T16:38:15"/>
    <n v="30"/>
    <s v="Male"/>
    <x v="1"/>
    <n v="3888"/>
  </r>
  <r>
    <n v="1041"/>
    <n v="52630"/>
    <d v="2024-10-01T22:28:46"/>
    <n v="64"/>
    <s v="Female"/>
    <x v="2"/>
    <n v="3948"/>
  </r>
  <r>
    <n v="1551"/>
    <n v="52631"/>
    <d v="2024-10-02T04:19:17"/>
    <n v="28"/>
    <s v="Male"/>
    <x v="1"/>
    <n v="4330"/>
  </r>
  <r>
    <n v="1397"/>
    <n v="52632"/>
    <d v="2024-10-02T10:09:48"/>
    <n v="36"/>
    <s v="Male"/>
    <x v="3"/>
    <n v="4457"/>
  </r>
  <r>
    <n v="1494"/>
    <n v="52633"/>
    <d v="2024-10-02T16:00:19"/>
    <n v="52"/>
    <s v="Female"/>
    <x v="1"/>
    <n v="3229"/>
  </r>
  <r>
    <n v="1333"/>
    <n v="52634"/>
    <d v="2024-10-02T21:50:50"/>
    <n v="56"/>
    <s v="Female"/>
    <x v="3"/>
    <n v="3046"/>
  </r>
  <r>
    <n v="1127"/>
    <n v="52635"/>
    <d v="2024-10-03T03:41:21"/>
    <n v="43"/>
    <s v="Female"/>
    <x v="3"/>
    <n v="670"/>
  </r>
  <r>
    <n v="1558"/>
    <n v="52636"/>
    <d v="2024-10-03T09:31:52"/>
    <n v="63"/>
    <s v="Male"/>
    <x v="1"/>
    <n v="4235"/>
  </r>
  <r>
    <n v="1557"/>
    <n v="52637"/>
    <d v="2024-10-03T15:22:23"/>
    <n v="31"/>
    <s v="Female"/>
    <x v="2"/>
    <n v="3099"/>
  </r>
  <r>
    <n v="1001"/>
    <n v="52638"/>
    <d v="2024-10-03T21:12:54"/>
    <n v="62"/>
    <s v="Female"/>
    <x v="3"/>
    <n v="1646"/>
  </r>
  <r>
    <n v="1168"/>
    <n v="52639"/>
    <d v="2024-10-04T03:03:25"/>
    <n v="61"/>
    <s v="Female"/>
    <x v="2"/>
    <n v="4643"/>
  </r>
  <r>
    <n v="1019"/>
    <n v="52640"/>
    <d v="2024-10-04T08:53:56"/>
    <n v="41"/>
    <s v="Female"/>
    <x v="0"/>
    <n v="4989"/>
  </r>
  <r>
    <n v="1332"/>
    <n v="52641"/>
    <d v="2024-10-04T14:44:27"/>
    <n v="58"/>
    <s v="Female"/>
    <x v="3"/>
    <n v="1112"/>
  </r>
  <r>
    <n v="1584"/>
    <n v="52642"/>
    <d v="2024-10-04T20:34:58"/>
    <n v="18"/>
    <s v="Female"/>
    <x v="0"/>
    <n v="4442"/>
  </r>
  <r>
    <n v="1456"/>
    <n v="52643"/>
    <d v="2024-10-05T02:25:29"/>
    <n v="60"/>
    <s v="Female"/>
    <x v="1"/>
    <n v="1911"/>
  </r>
  <r>
    <n v="1109"/>
    <n v="52644"/>
    <d v="2024-10-05T08:16:00"/>
    <n v="39"/>
    <s v="Female"/>
    <x v="2"/>
    <n v="874"/>
  </r>
  <r>
    <n v="1268"/>
    <n v="52645"/>
    <d v="2024-10-05T14:06:31"/>
    <n v="40"/>
    <s v="Female"/>
    <x v="1"/>
    <n v="1639"/>
  </r>
  <r>
    <n v="1445"/>
    <n v="52646"/>
    <d v="2024-10-05T19:57:02"/>
    <n v="36"/>
    <s v="Male"/>
    <x v="3"/>
    <n v="2934"/>
  </r>
  <r>
    <n v="1240"/>
    <n v="52647"/>
    <d v="2024-10-06T01:47:33"/>
    <n v="35"/>
    <s v="Male"/>
    <x v="0"/>
    <n v="3830"/>
  </r>
  <r>
    <n v="1301"/>
    <n v="52648"/>
    <d v="2024-10-06T07:38:04"/>
    <n v="29"/>
    <s v="Female"/>
    <x v="3"/>
    <n v="885"/>
  </r>
  <r>
    <n v="1103"/>
    <n v="52649"/>
    <d v="2024-10-06T13:28:35"/>
    <n v="45"/>
    <s v="Male"/>
    <x v="1"/>
    <n v="1326"/>
  </r>
  <r>
    <n v="1250"/>
    <n v="52650"/>
    <d v="2024-10-06T19:19:06"/>
    <n v="45"/>
    <s v="Male"/>
    <x v="2"/>
    <n v="4416"/>
  </r>
  <r>
    <n v="1453"/>
    <n v="52651"/>
    <d v="2024-10-07T01:09:37"/>
    <n v="50"/>
    <s v="Female"/>
    <x v="2"/>
    <n v="2666"/>
  </r>
  <r>
    <n v="1520"/>
    <n v="52652"/>
    <d v="2024-10-07T07:00:08"/>
    <n v="36"/>
    <s v="Female"/>
    <x v="3"/>
    <n v="2597"/>
  </r>
  <r>
    <n v="1153"/>
    <n v="52653"/>
    <d v="2024-10-07T12:50:39"/>
    <n v="45"/>
    <s v="Female"/>
    <x v="3"/>
    <n v="4337"/>
  </r>
  <r>
    <n v="1174"/>
    <n v="52654"/>
    <d v="2024-10-07T18:41:10"/>
    <n v="54"/>
    <s v="Female"/>
    <x v="0"/>
    <n v="3638"/>
  </r>
  <r>
    <n v="1343"/>
    <n v="52655"/>
    <d v="2024-10-08T00:31:41"/>
    <n v="43"/>
    <s v="Female"/>
    <x v="1"/>
    <n v="4324"/>
  </r>
  <r>
    <n v="1431"/>
    <n v="52656"/>
    <d v="2024-10-08T06:22:12"/>
    <n v="52"/>
    <s v="Female"/>
    <x v="3"/>
    <n v="1165"/>
  </r>
  <r>
    <n v="1324"/>
    <n v="52657"/>
    <d v="2024-10-08T12:12:43"/>
    <n v="51"/>
    <s v="Male"/>
    <x v="0"/>
    <n v="1119"/>
  </r>
  <r>
    <n v="1420"/>
    <n v="52658"/>
    <d v="2024-10-08T18:03:14"/>
    <n v="52"/>
    <s v="Female"/>
    <x v="3"/>
    <n v="3072"/>
  </r>
  <r>
    <n v="1594"/>
    <n v="52659"/>
    <d v="2024-10-08T23:53:45"/>
    <n v="57"/>
    <s v="Male"/>
    <x v="2"/>
    <n v="1708"/>
  </r>
  <r>
    <n v="1485"/>
    <n v="52660"/>
    <d v="2024-10-09T05:44:16"/>
    <n v="33"/>
    <s v="Female"/>
    <x v="0"/>
    <n v="1412"/>
  </r>
  <r>
    <n v="1412"/>
    <n v="52661"/>
    <d v="2024-10-09T11:34:47"/>
    <n v="55"/>
    <s v="Female"/>
    <x v="0"/>
    <n v="1071"/>
  </r>
  <r>
    <n v="1084"/>
    <n v="52662"/>
    <d v="2024-10-09T17:25:19"/>
    <n v="30"/>
    <s v="Male"/>
    <x v="3"/>
    <n v="4590"/>
  </r>
  <r>
    <n v="1113"/>
    <n v="52663"/>
    <d v="2024-10-09T23:15:50"/>
    <n v="40"/>
    <s v="Female"/>
    <x v="1"/>
    <n v="3454"/>
  </r>
  <r>
    <n v="1332"/>
    <n v="52664"/>
    <d v="2024-10-10T05:06:21"/>
    <n v="39"/>
    <s v="Female"/>
    <x v="2"/>
    <n v="1063"/>
  </r>
  <r>
    <n v="1378"/>
    <n v="52665"/>
    <d v="2024-10-10T10:56:52"/>
    <n v="33"/>
    <s v="Male"/>
    <x v="1"/>
    <n v="4153"/>
  </r>
  <r>
    <n v="1041"/>
    <n v="52666"/>
    <d v="2024-10-10T16:47:23"/>
    <n v="45"/>
    <s v="Female"/>
    <x v="0"/>
    <n v="3308"/>
  </r>
  <r>
    <n v="1105"/>
    <n v="52667"/>
    <d v="2024-10-10T22:37:54"/>
    <n v="52"/>
    <s v="Male"/>
    <x v="1"/>
    <n v="3255"/>
  </r>
  <r>
    <n v="1202"/>
    <n v="52668"/>
    <d v="2024-10-11T04:28:25"/>
    <n v="62"/>
    <s v="Female"/>
    <x v="0"/>
    <n v="4194"/>
  </r>
  <r>
    <n v="1450"/>
    <n v="52669"/>
    <d v="2024-10-11T10:18:56"/>
    <n v="63"/>
    <s v="Female"/>
    <x v="1"/>
    <n v="2882"/>
  </r>
  <r>
    <n v="1266"/>
    <n v="52670"/>
    <d v="2024-10-11T16:09:27"/>
    <n v="25"/>
    <s v="Male"/>
    <x v="3"/>
    <n v="4890"/>
  </r>
  <r>
    <n v="1210"/>
    <n v="52671"/>
    <d v="2024-10-11T21:59:58"/>
    <n v="61"/>
    <s v="Female"/>
    <x v="1"/>
    <n v="813"/>
  </r>
  <r>
    <n v="1563"/>
    <n v="52672"/>
    <d v="2024-10-12T03:50:29"/>
    <n v="39"/>
    <s v="Male"/>
    <x v="0"/>
    <n v="2072"/>
  </r>
  <r>
    <n v="1118"/>
    <n v="52673"/>
    <d v="2024-10-12T09:41:00"/>
    <n v="38"/>
    <s v="Male"/>
    <x v="2"/>
    <n v="3354"/>
  </r>
  <r>
    <n v="1377"/>
    <n v="52674"/>
    <d v="2024-10-12T15:31:31"/>
    <n v="43"/>
    <s v="Male"/>
    <x v="2"/>
    <n v="4760"/>
  </r>
  <r>
    <n v="1551"/>
    <n v="52675"/>
    <d v="2024-10-12T21:22:02"/>
    <n v="57"/>
    <s v="Female"/>
    <x v="2"/>
    <n v="3573"/>
  </r>
  <r>
    <n v="1540"/>
    <n v="52676"/>
    <d v="2024-10-13T03:12:33"/>
    <n v="38"/>
    <s v="Female"/>
    <x v="0"/>
    <n v="3391"/>
  </r>
  <r>
    <n v="1084"/>
    <n v="52677"/>
    <d v="2024-10-13T09:03:04"/>
    <n v="42"/>
    <s v="Male"/>
    <x v="1"/>
    <n v="767"/>
  </r>
  <r>
    <n v="1454"/>
    <n v="52678"/>
    <d v="2024-10-13T14:53:35"/>
    <n v="58"/>
    <s v="Female"/>
    <x v="2"/>
    <n v="4333"/>
  </r>
  <r>
    <n v="1514"/>
    <n v="52679"/>
    <d v="2024-10-13T20:44:06"/>
    <n v="18"/>
    <s v="Female"/>
    <x v="2"/>
    <n v="444"/>
  </r>
  <r>
    <n v="1387"/>
    <n v="52680"/>
    <d v="2024-10-14T02:34:37"/>
    <n v="23"/>
    <s v="Female"/>
    <x v="2"/>
    <n v="220"/>
  </r>
  <r>
    <n v="1350"/>
    <n v="52681"/>
    <d v="2024-10-14T08:25:08"/>
    <n v="40"/>
    <s v="Male"/>
    <x v="3"/>
    <n v="593"/>
  </r>
  <r>
    <n v="1296"/>
    <n v="52682"/>
    <d v="2024-10-14T14:15:39"/>
    <n v="40"/>
    <s v="Female"/>
    <x v="0"/>
    <n v="4014"/>
  </r>
  <r>
    <n v="1258"/>
    <n v="52683"/>
    <d v="2024-10-14T20:06:10"/>
    <n v="60"/>
    <s v="Male"/>
    <x v="0"/>
    <n v="2255"/>
  </r>
  <r>
    <n v="1081"/>
    <n v="52684"/>
    <d v="2024-10-15T01:56:41"/>
    <n v="60"/>
    <s v="Female"/>
    <x v="0"/>
    <n v="3715"/>
  </r>
  <r>
    <n v="1268"/>
    <n v="52685"/>
    <d v="2024-10-15T07:47:12"/>
    <n v="40"/>
    <s v="Female"/>
    <x v="0"/>
    <n v="2575"/>
  </r>
  <r>
    <n v="1419"/>
    <n v="52686"/>
    <d v="2024-10-15T13:37:43"/>
    <n v="49"/>
    <s v="Male"/>
    <x v="0"/>
    <n v="2110"/>
  </r>
  <r>
    <n v="1235"/>
    <n v="52687"/>
    <d v="2024-10-15T19:28:14"/>
    <n v="47"/>
    <s v="Female"/>
    <x v="3"/>
    <n v="489"/>
  </r>
  <r>
    <n v="1311"/>
    <n v="52688"/>
    <d v="2024-10-16T01:18:45"/>
    <n v="30"/>
    <s v="Male"/>
    <x v="1"/>
    <n v="2758"/>
  </r>
  <r>
    <n v="1357"/>
    <n v="52689"/>
    <d v="2024-10-16T07:09:16"/>
    <n v="60"/>
    <s v="Female"/>
    <x v="3"/>
    <n v="560"/>
  </r>
  <r>
    <n v="1213"/>
    <n v="52690"/>
    <d v="2024-10-16T12:59:47"/>
    <n v="35"/>
    <s v="Male"/>
    <x v="2"/>
    <n v="1822"/>
  </r>
  <r>
    <n v="1574"/>
    <n v="52691"/>
    <d v="2024-10-16T18:50:18"/>
    <n v="40"/>
    <s v="Female"/>
    <x v="3"/>
    <n v="4514"/>
  </r>
  <r>
    <n v="1049"/>
    <n v="52692"/>
    <d v="2024-10-17T00:40:49"/>
    <n v="32"/>
    <s v="Female"/>
    <x v="0"/>
    <n v="4294"/>
  </r>
  <r>
    <n v="1127"/>
    <n v="52693"/>
    <d v="2024-10-17T06:31:20"/>
    <n v="50"/>
    <s v="Female"/>
    <x v="3"/>
    <n v="2653"/>
  </r>
  <r>
    <n v="1223"/>
    <n v="52694"/>
    <d v="2024-10-17T12:21:51"/>
    <n v="38"/>
    <s v="Male"/>
    <x v="0"/>
    <n v="2215"/>
  </r>
  <r>
    <n v="1279"/>
    <n v="52695"/>
    <d v="2024-10-17T18:12:22"/>
    <n v="56"/>
    <s v="Male"/>
    <x v="3"/>
    <n v="2240"/>
  </r>
  <r>
    <n v="1408"/>
    <n v="52696"/>
    <d v="2024-10-18T00:02:53"/>
    <n v="40"/>
    <s v="Male"/>
    <x v="0"/>
    <n v="2244"/>
  </r>
  <r>
    <n v="1505"/>
    <n v="52697"/>
    <d v="2024-10-18T05:53:24"/>
    <n v="44"/>
    <s v="Female"/>
    <x v="2"/>
    <n v="3000"/>
  </r>
  <r>
    <n v="1294"/>
    <n v="52698"/>
    <d v="2024-10-18T11:43:55"/>
    <n v="62"/>
    <s v="Male"/>
    <x v="0"/>
    <n v="3170"/>
  </r>
  <r>
    <n v="1277"/>
    <n v="52699"/>
    <d v="2024-10-18T17:34:26"/>
    <n v="61"/>
    <s v="Male"/>
    <x v="3"/>
    <n v="1031"/>
  </r>
  <r>
    <n v="1438"/>
    <n v="52700"/>
    <d v="2024-10-18T23:24:57"/>
    <n v="35"/>
    <s v="Male"/>
    <x v="2"/>
    <n v="1993"/>
  </r>
  <r>
    <n v="1107"/>
    <n v="52701"/>
    <d v="2024-10-19T05:15:28"/>
    <n v="41"/>
    <s v="Male"/>
    <x v="3"/>
    <n v="3892"/>
  </r>
  <r>
    <n v="1420"/>
    <n v="52702"/>
    <d v="2024-10-19T11:05:59"/>
    <n v="64"/>
    <s v="Male"/>
    <x v="2"/>
    <n v="1991"/>
  </r>
  <r>
    <n v="1429"/>
    <n v="52703"/>
    <d v="2024-10-19T16:56:30"/>
    <n v="57"/>
    <s v="Male"/>
    <x v="1"/>
    <n v="3041"/>
  </r>
  <r>
    <n v="1375"/>
    <n v="52704"/>
    <d v="2024-10-19T22:47:01"/>
    <n v="59"/>
    <s v="Male"/>
    <x v="1"/>
    <n v="4890"/>
  </r>
  <r>
    <n v="1073"/>
    <n v="52705"/>
    <d v="2024-10-20T04:37:32"/>
    <n v="24"/>
    <s v="Male"/>
    <x v="1"/>
    <n v="2354"/>
  </r>
  <r>
    <n v="1030"/>
    <n v="52706"/>
    <d v="2024-10-20T10:28:03"/>
    <n v="37"/>
    <s v="Male"/>
    <x v="3"/>
    <n v="780"/>
  </r>
  <r>
    <n v="1188"/>
    <n v="52707"/>
    <d v="2024-10-20T16:18:34"/>
    <n v="44"/>
    <s v="Male"/>
    <x v="3"/>
    <n v="3053"/>
  </r>
  <r>
    <n v="1364"/>
    <n v="52708"/>
    <d v="2024-10-20T22:09:05"/>
    <n v="23"/>
    <s v="Female"/>
    <x v="2"/>
    <n v="2436"/>
  </r>
  <r>
    <n v="1451"/>
    <n v="52709"/>
    <d v="2024-10-21T03:59:36"/>
    <n v="44"/>
    <s v="Female"/>
    <x v="2"/>
    <n v="4376"/>
  </r>
  <r>
    <n v="1195"/>
    <n v="52710"/>
    <d v="2024-10-21T09:50:07"/>
    <n v="26"/>
    <s v="Male"/>
    <x v="2"/>
    <n v="2355"/>
  </r>
  <r>
    <n v="1156"/>
    <n v="52711"/>
    <d v="2024-10-21T15:40:38"/>
    <n v="62"/>
    <s v="Female"/>
    <x v="2"/>
    <n v="1544"/>
  </r>
  <r>
    <n v="1172"/>
    <n v="52712"/>
    <d v="2024-10-21T21:31:09"/>
    <n v="48"/>
    <s v="Female"/>
    <x v="0"/>
    <n v="545"/>
  </r>
  <r>
    <n v="1041"/>
    <n v="52713"/>
    <d v="2024-10-22T03:21:40"/>
    <n v="38"/>
    <s v="Male"/>
    <x v="1"/>
    <n v="2086"/>
  </r>
  <r>
    <n v="1063"/>
    <n v="52714"/>
    <d v="2024-10-22T09:12:11"/>
    <n v="43"/>
    <s v="Male"/>
    <x v="0"/>
    <n v="754"/>
  </r>
  <r>
    <n v="1023"/>
    <n v="52715"/>
    <d v="2024-10-22T15:02:42"/>
    <n v="57"/>
    <s v="Male"/>
    <x v="0"/>
    <n v="3970"/>
  </r>
  <r>
    <n v="1360"/>
    <n v="52716"/>
    <d v="2024-10-22T20:53:13"/>
    <n v="62"/>
    <s v="Female"/>
    <x v="0"/>
    <n v="4597"/>
  </r>
  <r>
    <n v="1075"/>
    <n v="52717"/>
    <d v="2024-10-23T02:43:44"/>
    <n v="30"/>
    <s v="Male"/>
    <x v="0"/>
    <n v="399"/>
  </r>
  <r>
    <n v="1560"/>
    <n v="52718"/>
    <d v="2024-10-23T08:34:15"/>
    <n v="40"/>
    <s v="Female"/>
    <x v="1"/>
    <n v="3140"/>
  </r>
  <r>
    <n v="1118"/>
    <n v="52719"/>
    <d v="2024-10-23T14:24:46"/>
    <n v="37"/>
    <s v="Male"/>
    <x v="0"/>
    <n v="3690"/>
  </r>
  <r>
    <n v="1380"/>
    <n v="52720"/>
    <d v="2024-10-23T20:15:17"/>
    <n v="54"/>
    <s v="Female"/>
    <x v="2"/>
    <n v="506"/>
  </r>
  <r>
    <n v="1290"/>
    <n v="52721"/>
    <d v="2024-10-24T02:05:48"/>
    <n v="45"/>
    <s v="Female"/>
    <x v="3"/>
    <n v="3275"/>
  </r>
  <r>
    <n v="1440"/>
    <n v="52722"/>
    <d v="2024-10-24T07:56:19"/>
    <n v="34"/>
    <s v="Male"/>
    <x v="2"/>
    <n v="1856"/>
  </r>
  <r>
    <n v="1007"/>
    <n v="52723"/>
    <d v="2024-10-24T13:46:50"/>
    <n v="45"/>
    <s v="Male"/>
    <x v="3"/>
    <n v="2892"/>
  </r>
  <r>
    <n v="1196"/>
    <n v="52724"/>
    <d v="2024-10-24T19:37:21"/>
    <n v="58"/>
    <s v="Female"/>
    <x v="2"/>
    <n v="1964"/>
  </r>
  <r>
    <n v="1421"/>
    <n v="52725"/>
    <d v="2024-10-25T01:27:52"/>
    <n v="19"/>
    <s v="Female"/>
    <x v="2"/>
    <n v="475"/>
  </r>
  <r>
    <n v="1568"/>
    <n v="52726"/>
    <d v="2024-10-25T07:18:23"/>
    <n v="42"/>
    <s v="Male"/>
    <x v="3"/>
    <n v="3561"/>
  </r>
  <r>
    <n v="1193"/>
    <n v="52727"/>
    <d v="2024-10-25T13:08:54"/>
    <n v="58"/>
    <s v="Male"/>
    <x v="1"/>
    <n v="1601"/>
  </r>
  <r>
    <n v="1559"/>
    <n v="52728"/>
    <d v="2024-10-25T18:59:25"/>
    <n v="23"/>
    <s v="Female"/>
    <x v="0"/>
    <n v="4933"/>
  </r>
  <r>
    <n v="1148"/>
    <n v="52729"/>
    <d v="2024-10-26T00:49:56"/>
    <n v="28"/>
    <s v="Male"/>
    <x v="2"/>
    <n v="1975"/>
  </r>
  <r>
    <n v="1202"/>
    <n v="52730"/>
    <d v="2024-10-26T06:40:27"/>
    <n v="55"/>
    <s v="Female"/>
    <x v="1"/>
    <n v="3581"/>
  </r>
  <r>
    <n v="1444"/>
    <n v="52731"/>
    <d v="2024-10-26T12:30:58"/>
    <n v="23"/>
    <s v="Male"/>
    <x v="0"/>
    <n v="4250"/>
  </r>
  <r>
    <n v="1419"/>
    <n v="52732"/>
    <d v="2024-10-26T18:21:29"/>
    <n v="62"/>
    <s v="Male"/>
    <x v="1"/>
    <n v="3660"/>
  </r>
  <r>
    <n v="1427"/>
    <n v="52733"/>
    <d v="2024-10-27T00:12:00"/>
    <n v="28"/>
    <s v="Male"/>
    <x v="1"/>
    <n v="2080"/>
  </r>
  <r>
    <n v="1479"/>
    <n v="52734"/>
    <d v="2024-10-27T06:02:31"/>
    <n v="31"/>
    <s v="Female"/>
    <x v="0"/>
    <n v="4035"/>
  </r>
  <r>
    <n v="1475"/>
    <n v="52735"/>
    <d v="2024-10-27T11:53:02"/>
    <n v="19"/>
    <s v="Male"/>
    <x v="2"/>
    <n v="4478"/>
  </r>
  <r>
    <n v="1126"/>
    <n v="52736"/>
    <d v="2024-10-27T17:43:33"/>
    <n v="57"/>
    <s v="Female"/>
    <x v="1"/>
    <n v="2044"/>
  </r>
  <r>
    <n v="1395"/>
    <n v="52737"/>
    <d v="2024-10-27T23:34:04"/>
    <n v="20"/>
    <s v="Male"/>
    <x v="2"/>
    <n v="3577"/>
  </r>
  <r>
    <n v="1576"/>
    <n v="52738"/>
    <d v="2024-10-28T05:24:35"/>
    <n v="52"/>
    <s v="Female"/>
    <x v="2"/>
    <n v="271"/>
  </r>
  <r>
    <n v="1325"/>
    <n v="52739"/>
    <d v="2024-10-28T11:15:06"/>
    <n v="50"/>
    <s v="Female"/>
    <x v="2"/>
    <n v="1876"/>
  </r>
  <r>
    <n v="1392"/>
    <n v="52740"/>
    <d v="2024-10-28T17:05:37"/>
    <n v="41"/>
    <s v="Male"/>
    <x v="0"/>
    <n v="1495"/>
  </r>
  <r>
    <n v="1440"/>
    <n v="52741"/>
    <d v="2024-10-28T22:56:08"/>
    <n v="36"/>
    <s v="Female"/>
    <x v="3"/>
    <n v="1243"/>
  </r>
  <r>
    <n v="1204"/>
    <n v="52742"/>
    <d v="2024-10-29T04:46:39"/>
    <n v="35"/>
    <s v="Female"/>
    <x v="2"/>
    <n v="2825"/>
  </r>
  <r>
    <n v="1486"/>
    <n v="52743"/>
    <d v="2024-10-29T10:37:10"/>
    <n v="41"/>
    <s v="Female"/>
    <x v="3"/>
    <n v="3242"/>
  </r>
  <r>
    <n v="1031"/>
    <n v="52744"/>
    <d v="2024-10-29T16:27:41"/>
    <n v="62"/>
    <s v="Female"/>
    <x v="3"/>
    <n v="1014"/>
  </r>
  <r>
    <n v="1388"/>
    <n v="52745"/>
    <d v="2024-10-29T22:18:12"/>
    <n v="52"/>
    <s v="Male"/>
    <x v="1"/>
    <n v="2394"/>
  </r>
  <r>
    <n v="1434"/>
    <n v="52746"/>
    <d v="2024-10-30T04:08:43"/>
    <n v="18"/>
    <s v="Male"/>
    <x v="2"/>
    <n v="3700"/>
  </r>
  <r>
    <n v="1376"/>
    <n v="52747"/>
    <d v="2024-10-30T09:59:14"/>
    <n v="53"/>
    <s v="Male"/>
    <x v="2"/>
    <n v="509"/>
  </r>
  <r>
    <n v="1344"/>
    <n v="52748"/>
    <d v="2024-10-30T15:49:45"/>
    <n v="42"/>
    <s v="Female"/>
    <x v="2"/>
    <n v="2261"/>
  </r>
  <r>
    <n v="1443"/>
    <n v="52749"/>
    <d v="2024-10-30T21:40:16"/>
    <n v="62"/>
    <s v="Female"/>
    <x v="3"/>
    <n v="4427"/>
  </r>
  <r>
    <n v="1579"/>
    <n v="52750"/>
    <d v="2024-10-31T03:30:47"/>
    <n v="60"/>
    <s v="Male"/>
    <x v="0"/>
    <n v="2077"/>
  </r>
  <r>
    <n v="1075"/>
    <n v="52751"/>
    <d v="2024-10-31T09:21:18"/>
    <n v="51"/>
    <s v="Male"/>
    <x v="3"/>
    <n v="3002"/>
  </r>
  <r>
    <n v="1557"/>
    <n v="52752"/>
    <d v="2024-10-31T15:11:49"/>
    <n v="42"/>
    <s v="Female"/>
    <x v="2"/>
    <n v="2686"/>
  </r>
  <r>
    <n v="1155"/>
    <n v="52753"/>
    <d v="2024-10-31T21:02:20"/>
    <n v="33"/>
    <s v="Male"/>
    <x v="2"/>
    <n v="3945"/>
  </r>
  <r>
    <n v="1430"/>
    <n v="52754"/>
    <d v="2024-11-01T02:52:51"/>
    <n v="51"/>
    <s v="Male"/>
    <x v="2"/>
    <n v="994"/>
  </r>
  <r>
    <n v="1363"/>
    <n v="52755"/>
    <d v="2024-11-01T08:43:22"/>
    <n v="46"/>
    <s v="Female"/>
    <x v="3"/>
    <n v="4214"/>
  </r>
  <r>
    <n v="1448"/>
    <n v="52756"/>
    <d v="2024-11-01T14:33:53"/>
    <n v="36"/>
    <s v="Male"/>
    <x v="2"/>
    <n v="4553"/>
  </r>
  <r>
    <n v="1234"/>
    <n v="52757"/>
    <d v="2024-11-01T20:24:24"/>
    <n v="40"/>
    <s v="Female"/>
    <x v="1"/>
    <n v="3607"/>
  </r>
  <r>
    <n v="1563"/>
    <n v="52758"/>
    <d v="2024-11-02T02:14:55"/>
    <n v="36"/>
    <s v="Male"/>
    <x v="2"/>
    <n v="2656"/>
  </r>
  <r>
    <n v="1262"/>
    <n v="52759"/>
    <d v="2024-11-02T08:05:27"/>
    <n v="42"/>
    <s v="Female"/>
    <x v="0"/>
    <n v="2051"/>
  </r>
  <r>
    <n v="1125"/>
    <n v="52760"/>
    <d v="2024-11-02T13:55:58"/>
    <n v="33"/>
    <s v="Female"/>
    <x v="1"/>
    <n v="1174"/>
  </r>
  <r>
    <n v="1245"/>
    <n v="52761"/>
    <d v="2024-11-02T19:46:29"/>
    <n v="26"/>
    <s v="Female"/>
    <x v="2"/>
    <n v="1247"/>
  </r>
  <r>
    <n v="1542"/>
    <n v="52762"/>
    <d v="2024-11-03T01:37:00"/>
    <n v="18"/>
    <s v="Female"/>
    <x v="1"/>
    <n v="4566"/>
  </r>
  <r>
    <n v="1485"/>
    <n v="52763"/>
    <d v="2024-11-03T07:27:31"/>
    <n v="59"/>
    <s v="Female"/>
    <x v="2"/>
    <n v="4437"/>
  </r>
  <r>
    <n v="1122"/>
    <n v="52764"/>
    <d v="2024-11-03T13:18:02"/>
    <n v="36"/>
    <s v="Male"/>
    <x v="0"/>
    <n v="3989"/>
  </r>
  <r>
    <n v="1125"/>
    <n v="52765"/>
    <d v="2024-11-03T19:08:33"/>
    <n v="50"/>
    <s v="Male"/>
    <x v="2"/>
    <n v="3221"/>
  </r>
  <r>
    <n v="1549"/>
    <n v="52766"/>
    <d v="2024-11-04T00:59:04"/>
    <n v="51"/>
    <s v="Male"/>
    <x v="1"/>
    <n v="4569"/>
  </r>
  <r>
    <n v="1170"/>
    <n v="52767"/>
    <d v="2024-11-04T06:49:35"/>
    <n v="33"/>
    <s v="Female"/>
    <x v="0"/>
    <n v="4229"/>
  </r>
  <r>
    <n v="1124"/>
    <n v="52768"/>
    <d v="2024-11-04T12:40:06"/>
    <n v="61"/>
    <s v="Male"/>
    <x v="3"/>
    <n v="664"/>
  </r>
  <r>
    <n v="1035"/>
    <n v="52769"/>
    <d v="2024-11-04T18:30:37"/>
    <n v="57"/>
    <s v="Female"/>
    <x v="0"/>
    <n v="487"/>
  </r>
  <r>
    <n v="1087"/>
    <n v="52770"/>
    <d v="2024-11-05T00:21:08"/>
    <n v="35"/>
    <s v="Female"/>
    <x v="0"/>
    <n v="3395"/>
  </r>
  <r>
    <n v="1201"/>
    <n v="52771"/>
    <d v="2024-11-05T06:11:39"/>
    <n v="51"/>
    <s v="Male"/>
    <x v="0"/>
    <n v="1075"/>
  </r>
  <r>
    <n v="1369"/>
    <n v="52772"/>
    <d v="2024-11-05T12:02:10"/>
    <n v="42"/>
    <s v="Female"/>
    <x v="1"/>
    <n v="2192"/>
  </r>
  <r>
    <n v="1077"/>
    <n v="52773"/>
    <d v="2024-11-05T17:52:41"/>
    <n v="62"/>
    <s v="Male"/>
    <x v="0"/>
    <n v="3125"/>
  </r>
  <r>
    <n v="1059"/>
    <n v="52774"/>
    <d v="2024-11-05T23:43:12"/>
    <n v="23"/>
    <s v="Female"/>
    <x v="2"/>
    <n v="1320"/>
  </r>
  <r>
    <n v="1431"/>
    <n v="52775"/>
    <d v="2024-11-06T05:33:43"/>
    <n v="38"/>
    <s v="Female"/>
    <x v="0"/>
    <n v="646"/>
  </r>
  <r>
    <n v="1500"/>
    <n v="52776"/>
    <d v="2024-11-06T11:24:14"/>
    <n v="23"/>
    <s v="Male"/>
    <x v="0"/>
    <n v="3032"/>
  </r>
  <r>
    <n v="1109"/>
    <n v="52777"/>
    <d v="2024-11-06T17:14:45"/>
    <n v="49"/>
    <s v="Female"/>
    <x v="2"/>
    <n v="3768"/>
  </r>
  <r>
    <n v="1278"/>
    <n v="52778"/>
    <d v="2024-11-06T23:05:16"/>
    <n v="58"/>
    <s v="Male"/>
    <x v="2"/>
    <n v="3096"/>
  </r>
  <r>
    <n v="1068"/>
    <n v="52779"/>
    <d v="2024-11-07T04:55:47"/>
    <n v="60"/>
    <s v="Female"/>
    <x v="3"/>
    <n v="921"/>
  </r>
  <r>
    <n v="1069"/>
    <n v="52780"/>
    <d v="2024-11-07T10:46:18"/>
    <n v="56"/>
    <s v="Male"/>
    <x v="0"/>
    <n v="2363"/>
  </r>
  <r>
    <n v="1165"/>
    <n v="52781"/>
    <d v="2024-11-07T16:36:49"/>
    <n v="48"/>
    <s v="Female"/>
    <x v="1"/>
    <n v="2782"/>
  </r>
  <r>
    <n v="1489"/>
    <n v="52782"/>
    <d v="2024-11-07T22:27:20"/>
    <n v="59"/>
    <s v="Male"/>
    <x v="0"/>
    <n v="1551"/>
  </r>
  <r>
    <n v="1305"/>
    <n v="52783"/>
    <d v="2024-11-08T04:17:51"/>
    <n v="27"/>
    <s v="Male"/>
    <x v="0"/>
    <n v="4180"/>
  </r>
  <r>
    <n v="1365"/>
    <n v="52784"/>
    <d v="2024-11-08T10:08:22"/>
    <n v="47"/>
    <s v="Female"/>
    <x v="2"/>
    <n v="4702"/>
  </r>
  <r>
    <n v="1379"/>
    <n v="52785"/>
    <d v="2024-11-08T15:58:53"/>
    <n v="35"/>
    <s v="Male"/>
    <x v="3"/>
    <n v="3584"/>
  </r>
  <r>
    <n v="1343"/>
    <n v="52786"/>
    <d v="2024-11-08T21:49:24"/>
    <n v="41"/>
    <s v="Female"/>
    <x v="0"/>
    <n v="1925"/>
  </r>
  <r>
    <n v="1554"/>
    <n v="52787"/>
    <d v="2024-11-09T03:39:55"/>
    <n v="26"/>
    <s v="Female"/>
    <x v="1"/>
    <n v="893"/>
  </r>
  <r>
    <n v="1354"/>
    <n v="52788"/>
    <d v="2024-11-09T09:30:26"/>
    <n v="48"/>
    <s v="Male"/>
    <x v="0"/>
    <n v="3613"/>
  </r>
  <r>
    <n v="1416"/>
    <n v="52789"/>
    <d v="2024-11-09T15:20:57"/>
    <n v="32"/>
    <s v="Male"/>
    <x v="1"/>
    <n v="694"/>
  </r>
  <r>
    <n v="1109"/>
    <n v="52790"/>
    <d v="2024-11-09T21:11:28"/>
    <n v="21"/>
    <s v="Male"/>
    <x v="2"/>
    <n v="1147"/>
  </r>
  <r>
    <n v="1563"/>
    <n v="52791"/>
    <d v="2024-11-10T03:01:59"/>
    <n v="57"/>
    <s v="Male"/>
    <x v="3"/>
    <n v="222"/>
  </r>
  <r>
    <n v="1497"/>
    <n v="52792"/>
    <d v="2024-11-10T08:52:30"/>
    <n v="26"/>
    <s v="Male"/>
    <x v="0"/>
    <n v="1328"/>
  </r>
  <r>
    <n v="1341"/>
    <n v="52793"/>
    <d v="2024-11-10T14:43:01"/>
    <n v="62"/>
    <s v="Female"/>
    <x v="3"/>
    <n v="757"/>
  </r>
  <r>
    <n v="1383"/>
    <n v="52794"/>
    <d v="2024-11-10T20:33:32"/>
    <n v="26"/>
    <s v="Male"/>
    <x v="0"/>
    <n v="1816"/>
  </r>
  <r>
    <n v="1533"/>
    <n v="52795"/>
    <d v="2024-11-11T02:24:03"/>
    <n v="43"/>
    <s v="Female"/>
    <x v="1"/>
    <n v="3930"/>
  </r>
  <r>
    <n v="1300"/>
    <n v="52796"/>
    <d v="2024-11-11T08:14:34"/>
    <n v="21"/>
    <s v="Male"/>
    <x v="3"/>
    <n v="1856"/>
  </r>
  <r>
    <n v="1139"/>
    <n v="52797"/>
    <d v="2024-11-11T14:05:05"/>
    <n v="34"/>
    <s v="Male"/>
    <x v="0"/>
    <n v="4373"/>
  </r>
  <r>
    <n v="1359"/>
    <n v="52798"/>
    <d v="2024-11-11T19:55:36"/>
    <n v="33"/>
    <s v="Male"/>
    <x v="2"/>
    <n v="1006"/>
  </r>
  <r>
    <n v="1499"/>
    <n v="52799"/>
    <d v="2024-11-12T01:46:07"/>
    <n v="32"/>
    <s v="Female"/>
    <x v="1"/>
    <n v="3512"/>
  </r>
  <r>
    <n v="1385"/>
    <n v="52800"/>
    <d v="2024-11-12T07:36:38"/>
    <n v="52"/>
    <s v="Male"/>
    <x v="3"/>
    <n v="653"/>
  </r>
  <r>
    <n v="1280"/>
    <n v="52801"/>
    <d v="2024-11-12T13:27:09"/>
    <n v="22"/>
    <s v="Female"/>
    <x v="0"/>
    <n v="3175"/>
  </r>
  <r>
    <n v="1483"/>
    <n v="52802"/>
    <d v="2024-11-12T19:17:40"/>
    <n v="22"/>
    <s v="Female"/>
    <x v="3"/>
    <n v="2524"/>
  </r>
  <r>
    <n v="1111"/>
    <n v="52803"/>
    <d v="2024-11-13T01:08:11"/>
    <n v="37"/>
    <s v="Female"/>
    <x v="0"/>
    <n v="1647"/>
  </r>
  <r>
    <n v="1139"/>
    <n v="52804"/>
    <d v="2024-11-13T06:58:42"/>
    <n v="32"/>
    <s v="Male"/>
    <x v="1"/>
    <n v="2761"/>
  </r>
  <r>
    <n v="1435"/>
    <n v="52805"/>
    <d v="2024-11-13T12:49:13"/>
    <n v="35"/>
    <s v="Female"/>
    <x v="2"/>
    <n v="2711"/>
  </r>
  <r>
    <n v="1509"/>
    <n v="52806"/>
    <d v="2024-11-13T18:39:44"/>
    <n v="64"/>
    <s v="Male"/>
    <x v="1"/>
    <n v="3071"/>
  </r>
  <r>
    <n v="1273"/>
    <n v="52807"/>
    <d v="2024-11-14T00:30:15"/>
    <n v="19"/>
    <s v="Female"/>
    <x v="3"/>
    <n v="562"/>
  </r>
  <r>
    <n v="1099"/>
    <n v="52808"/>
    <d v="2024-11-14T06:20:46"/>
    <n v="46"/>
    <s v="Male"/>
    <x v="3"/>
    <n v="3654"/>
  </r>
  <r>
    <n v="1104"/>
    <n v="52809"/>
    <d v="2024-11-14T12:11:17"/>
    <n v="30"/>
    <s v="Female"/>
    <x v="0"/>
    <n v="2998"/>
  </r>
  <r>
    <n v="1214"/>
    <n v="52810"/>
    <d v="2024-11-14T18:01:48"/>
    <n v="21"/>
    <s v="Male"/>
    <x v="1"/>
    <n v="4820"/>
  </r>
  <r>
    <n v="1165"/>
    <n v="52811"/>
    <d v="2024-11-14T23:52:19"/>
    <n v="59"/>
    <s v="Male"/>
    <x v="0"/>
    <n v="3653"/>
  </r>
  <r>
    <n v="1520"/>
    <n v="52812"/>
    <d v="2024-11-15T05:42:50"/>
    <n v="62"/>
    <s v="Male"/>
    <x v="1"/>
    <n v="3455"/>
  </r>
  <r>
    <n v="1284"/>
    <n v="52813"/>
    <d v="2024-11-15T11:33:21"/>
    <n v="27"/>
    <s v="Female"/>
    <x v="3"/>
    <n v="1417"/>
  </r>
  <r>
    <n v="1517"/>
    <n v="52814"/>
    <d v="2024-11-15T17:23:52"/>
    <n v="48"/>
    <s v="Female"/>
    <x v="0"/>
    <n v="1685"/>
  </r>
  <r>
    <n v="1164"/>
    <n v="52815"/>
    <d v="2024-11-15T23:14:23"/>
    <n v="58"/>
    <s v="Male"/>
    <x v="0"/>
    <n v="2303"/>
  </r>
  <r>
    <n v="1064"/>
    <n v="52816"/>
    <d v="2024-11-16T05:04:54"/>
    <n v="25"/>
    <s v="Female"/>
    <x v="1"/>
    <n v="2736"/>
  </r>
  <r>
    <n v="1091"/>
    <n v="52817"/>
    <d v="2024-11-16T10:55:25"/>
    <n v="20"/>
    <s v="Female"/>
    <x v="2"/>
    <n v="2055"/>
  </r>
  <r>
    <n v="1117"/>
    <n v="52818"/>
    <d v="2024-11-16T16:45:56"/>
    <n v="63"/>
    <s v="Female"/>
    <x v="1"/>
    <n v="1407"/>
  </r>
  <r>
    <n v="1267"/>
    <n v="52819"/>
    <d v="2024-11-16T22:36:27"/>
    <n v="26"/>
    <s v="Female"/>
    <x v="2"/>
    <n v="1648"/>
  </r>
  <r>
    <n v="1559"/>
    <n v="52820"/>
    <d v="2024-11-17T04:26:58"/>
    <n v="47"/>
    <s v="Female"/>
    <x v="1"/>
    <n v="1707"/>
  </r>
  <r>
    <n v="1140"/>
    <n v="52821"/>
    <d v="2024-11-17T10:17:29"/>
    <n v="28"/>
    <s v="Female"/>
    <x v="3"/>
    <n v="1203"/>
  </r>
  <r>
    <n v="1246"/>
    <n v="52822"/>
    <d v="2024-11-17T16:08:00"/>
    <n v="52"/>
    <s v="Female"/>
    <x v="0"/>
    <n v="1125"/>
  </r>
  <r>
    <n v="1395"/>
    <n v="52823"/>
    <d v="2024-11-17T21:58:31"/>
    <n v="54"/>
    <s v="Male"/>
    <x v="1"/>
    <n v="283"/>
  </r>
  <r>
    <n v="1487"/>
    <n v="52824"/>
    <d v="2024-11-18T03:49:02"/>
    <n v="59"/>
    <s v="Male"/>
    <x v="3"/>
    <n v="3942"/>
  </r>
  <r>
    <n v="1476"/>
    <n v="52825"/>
    <d v="2024-11-18T09:39:33"/>
    <n v="30"/>
    <s v="Female"/>
    <x v="1"/>
    <n v="4127"/>
  </r>
  <r>
    <n v="1517"/>
    <n v="52826"/>
    <d v="2024-11-18T15:30:04"/>
    <n v="53"/>
    <s v="Male"/>
    <x v="0"/>
    <n v="1742"/>
  </r>
  <r>
    <n v="1184"/>
    <n v="52827"/>
    <d v="2024-11-18T21:20:35"/>
    <n v="30"/>
    <s v="Male"/>
    <x v="1"/>
    <n v="1185"/>
  </r>
  <r>
    <n v="1020"/>
    <n v="52828"/>
    <d v="2024-11-19T03:11:06"/>
    <n v="29"/>
    <s v="Male"/>
    <x v="2"/>
    <n v="4431"/>
  </r>
  <r>
    <n v="1558"/>
    <n v="52829"/>
    <d v="2024-11-19T09:01:37"/>
    <n v="54"/>
    <s v="Female"/>
    <x v="0"/>
    <n v="1108"/>
  </r>
  <r>
    <n v="1524"/>
    <n v="52830"/>
    <d v="2024-11-19T14:52:08"/>
    <n v="27"/>
    <s v="Female"/>
    <x v="2"/>
    <n v="3108"/>
  </r>
  <r>
    <n v="1582"/>
    <n v="52831"/>
    <d v="2024-11-19T20:42:39"/>
    <n v="26"/>
    <s v="Female"/>
    <x v="3"/>
    <n v="4885"/>
  </r>
  <r>
    <n v="1529"/>
    <n v="52832"/>
    <d v="2024-11-20T02:33:10"/>
    <n v="24"/>
    <s v="Female"/>
    <x v="3"/>
    <n v="2937"/>
  </r>
  <r>
    <n v="1147"/>
    <n v="52833"/>
    <d v="2024-11-20T08:23:41"/>
    <n v="19"/>
    <s v="Female"/>
    <x v="1"/>
    <n v="2786"/>
  </r>
  <r>
    <n v="1304"/>
    <n v="52834"/>
    <d v="2024-11-20T14:14:12"/>
    <n v="40"/>
    <s v="Male"/>
    <x v="2"/>
    <n v="1343"/>
  </r>
  <r>
    <n v="1582"/>
    <n v="52835"/>
    <d v="2024-11-20T20:04:43"/>
    <n v="56"/>
    <s v="Female"/>
    <x v="2"/>
    <n v="1531"/>
  </r>
  <r>
    <n v="1228"/>
    <n v="52836"/>
    <d v="2024-11-21T01:55:14"/>
    <n v="57"/>
    <s v="Male"/>
    <x v="0"/>
    <n v="3548"/>
  </r>
  <r>
    <n v="1102"/>
    <n v="52837"/>
    <d v="2024-11-21T07:45:45"/>
    <n v="56"/>
    <s v="Female"/>
    <x v="2"/>
    <n v="1753"/>
  </r>
  <r>
    <n v="1587"/>
    <n v="52838"/>
    <d v="2024-11-21T13:36:16"/>
    <n v="38"/>
    <s v="Male"/>
    <x v="2"/>
    <n v="2542"/>
  </r>
  <r>
    <n v="1417"/>
    <n v="52839"/>
    <d v="2024-11-21T19:26:47"/>
    <n v="40"/>
    <s v="Female"/>
    <x v="0"/>
    <n v="2006"/>
  </r>
  <r>
    <n v="1216"/>
    <n v="52840"/>
    <d v="2024-11-22T01:17:18"/>
    <n v="46"/>
    <s v="Female"/>
    <x v="0"/>
    <n v="2300"/>
  </r>
  <r>
    <n v="1407"/>
    <n v="52841"/>
    <d v="2024-11-22T07:07:49"/>
    <n v="31"/>
    <s v="Female"/>
    <x v="2"/>
    <n v="1005"/>
  </r>
  <r>
    <n v="1399"/>
    <n v="52842"/>
    <d v="2024-11-22T12:58:20"/>
    <n v="43"/>
    <s v="Female"/>
    <x v="1"/>
    <n v="4347"/>
  </r>
  <r>
    <n v="1499"/>
    <n v="52843"/>
    <d v="2024-11-22T18:48:51"/>
    <n v="22"/>
    <s v="Female"/>
    <x v="0"/>
    <n v="2975"/>
  </r>
  <r>
    <n v="1465"/>
    <n v="52844"/>
    <d v="2024-11-23T00:39:22"/>
    <n v="48"/>
    <s v="Female"/>
    <x v="0"/>
    <n v="271"/>
  </r>
  <r>
    <n v="1082"/>
    <n v="52845"/>
    <d v="2024-11-23T06:29:53"/>
    <n v="42"/>
    <s v="Male"/>
    <x v="2"/>
    <n v="227"/>
  </r>
  <r>
    <n v="1365"/>
    <n v="52846"/>
    <d v="2024-11-23T12:20:24"/>
    <n v="48"/>
    <s v="Female"/>
    <x v="2"/>
    <n v="668"/>
  </r>
  <r>
    <n v="1163"/>
    <n v="52847"/>
    <d v="2024-11-23T18:10:55"/>
    <n v="37"/>
    <s v="Male"/>
    <x v="0"/>
    <n v="4183"/>
  </r>
  <r>
    <n v="1048"/>
    <n v="52848"/>
    <d v="2024-11-24T00:01:26"/>
    <n v="61"/>
    <s v="Female"/>
    <x v="2"/>
    <n v="963"/>
  </r>
  <r>
    <n v="1511"/>
    <n v="52849"/>
    <d v="2024-11-24T05:51:57"/>
    <n v="34"/>
    <s v="Male"/>
    <x v="0"/>
    <n v="1624"/>
  </r>
  <r>
    <n v="1329"/>
    <n v="52850"/>
    <d v="2024-11-24T11:42:28"/>
    <n v="62"/>
    <s v="Male"/>
    <x v="1"/>
    <n v="2448"/>
  </r>
  <r>
    <n v="1116"/>
    <n v="52851"/>
    <d v="2024-11-24T17:32:59"/>
    <n v="19"/>
    <s v="Male"/>
    <x v="1"/>
    <n v="4032"/>
  </r>
  <r>
    <n v="1337"/>
    <n v="52852"/>
    <d v="2024-11-24T23:23:30"/>
    <n v="42"/>
    <s v="Male"/>
    <x v="0"/>
    <n v="4260"/>
  </r>
  <r>
    <n v="1147"/>
    <n v="52853"/>
    <d v="2024-11-25T05:14:01"/>
    <n v="30"/>
    <s v="Male"/>
    <x v="0"/>
    <n v="4270"/>
  </r>
  <r>
    <n v="1575"/>
    <n v="52854"/>
    <d v="2024-11-25T11:04:32"/>
    <n v="56"/>
    <s v="Male"/>
    <x v="3"/>
    <n v="1875"/>
  </r>
  <r>
    <n v="1323"/>
    <n v="52855"/>
    <d v="2024-11-25T16:55:04"/>
    <n v="45"/>
    <s v="Female"/>
    <x v="3"/>
    <n v="759"/>
  </r>
  <r>
    <n v="1443"/>
    <n v="52856"/>
    <d v="2024-11-25T22:45:35"/>
    <n v="59"/>
    <s v="Male"/>
    <x v="2"/>
    <n v="4674"/>
  </r>
  <r>
    <n v="1013"/>
    <n v="52857"/>
    <d v="2024-11-26T04:36:06"/>
    <n v="23"/>
    <s v="Female"/>
    <x v="2"/>
    <n v="4031"/>
  </r>
  <r>
    <n v="1494"/>
    <n v="52858"/>
    <d v="2024-11-26T10:26:37"/>
    <n v="20"/>
    <s v="Female"/>
    <x v="0"/>
    <n v="2118"/>
  </r>
  <r>
    <n v="1287"/>
    <n v="52859"/>
    <d v="2024-11-26T16:17:08"/>
    <n v="52"/>
    <s v="Male"/>
    <x v="0"/>
    <n v="278"/>
  </r>
  <r>
    <n v="1114"/>
    <n v="52860"/>
    <d v="2024-11-26T22:07:39"/>
    <n v="35"/>
    <s v="Male"/>
    <x v="3"/>
    <n v="3847"/>
  </r>
  <r>
    <n v="1480"/>
    <n v="52861"/>
    <d v="2024-11-27T03:58:10"/>
    <n v="28"/>
    <s v="Female"/>
    <x v="3"/>
    <n v="1231"/>
  </r>
  <r>
    <n v="1022"/>
    <n v="52862"/>
    <d v="2024-11-27T09:48:41"/>
    <n v="37"/>
    <s v="Male"/>
    <x v="0"/>
    <n v="2272"/>
  </r>
  <r>
    <n v="1349"/>
    <n v="52863"/>
    <d v="2024-11-27T15:39:12"/>
    <n v="22"/>
    <s v="Male"/>
    <x v="1"/>
    <n v="4745"/>
  </r>
  <r>
    <n v="1566"/>
    <n v="52864"/>
    <d v="2024-11-27T21:29:43"/>
    <n v="36"/>
    <s v="Male"/>
    <x v="1"/>
    <n v="1684"/>
  </r>
  <r>
    <n v="1320"/>
    <n v="52865"/>
    <d v="2024-11-28T03:20:14"/>
    <n v="39"/>
    <s v="Male"/>
    <x v="2"/>
    <n v="2445"/>
  </r>
  <r>
    <n v="1126"/>
    <n v="52866"/>
    <d v="2024-11-28T09:10:45"/>
    <n v="36"/>
    <s v="Male"/>
    <x v="0"/>
    <n v="1750"/>
  </r>
  <r>
    <n v="1277"/>
    <n v="52867"/>
    <d v="2024-11-28T15:01:16"/>
    <n v="64"/>
    <s v="Male"/>
    <x v="0"/>
    <n v="4985"/>
  </r>
  <r>
    <n v="1204"/>
    <n v="52868"/>
    <d v="2024-11-28T20:51:47"/>
    <n v="33"/>
    <s v="Male"/>
    <x v="2"/>
    <n v="4882"/>
  </r>
  <r>
    <n v="1194"/>
    <n v="52869"/>
    <d v="2024-11-29T02:42:18"/>
    <n v="41"/>
    <s v="Female"/>
    <x v="3"/>
    <n v="2029"/>
  </r>
  <r>
    <n v="1547"/>
    <n v="52870"/>
    <d v="2024-11-29T08:32:49"/>
    <n v="58"/>
    <s v="Male"/>
    <x v="3"/>
    <n v="3951"/>
  </r>
  <r>
    <n v="1286"/>
    <n v="52871"/>
    <d v="2024-11-29T14:23:20"/>
    <n v="21"/>
    <s v="Female"/>
    <x v="1"/>
    <n v="4922"/>
  </r>
  <r>
    <n v="1057"/>
    <n v="52872"/>
    <d v="2024-11-29T20:13:51"/>
    <n v="32"/>
    <s v="Female"/>
    <x v="0"/>
    <n v="2231"/>
  </r>
  <r>
    <n v="1303"/>
    <n v="52873"/>
    <d v="2024-11-30T02:04:22"/>
    <n v="42"/>
    <s v="Female"/>
    <x v="3"/>
    <n v="4659"/>
  </r>
  <r>
    <n v="1163"/>
    <n v="52874"/>
    <d v="2024-11-30T07:54:53"/>
    <n v="61"/>
    <s v="Female"/>
    <x v="1"/>
    <n v="4056"/>
  </r>
  <r>
    <n v="1019"/>
    <n v="52875"/>
    <d v="2024-11-30T13:45:24"/>
    <n v="52"/>
    <s v="Male"/>
    <x v="1"/>
    <n v="2382"/>
  </r>
  <r>
    <n v="1370"/>
    <n v="52876"/>
    <d v="2024-11-30T19:35:55"/>
    <n v="31"/>
    <s v="Female"/>
    <x v="1"/>
    <n v="4669"/>
  </r>
  <r>
    <n v="1264"/>
    <n v="52877"/>
    <d v="2024-12-01T01:26:26"/>
    <n v="36"/>
    <s v="Female"/>
    <x v="3"/>
    <n v="2294"/>
  </r>
  <r>
    <n v="1113"/>
    <n v="52878"/>
    <d v="2024-12-01T07:16:57"/>
    <n v="55"/>
    <s v="Female"/>
    <x v="3"/>
    <n v="4103"/>
  </r>
  <r>
    <n v="1488"/>
    <n v="52879"/>
    <d v="2024-12-01T13:07:28"/>
    <n v="53"/>
    <s v="Female"/>
    <x v="0"/>
    <n v="3232"/>
  </r>
  <r>
    <n v="1327"/>
    <n v="52880"/>
    <d v="2024-12-01T18:57:59"/>
    <n v="24"/>
    <s v="Female"/>
    <x v="0"/>
    <n v="1748"/>
  </r>
  <r>
    <n v="1542"/>
    <n v="52881"/>
    <d v="2024-12-02T00:48:30"/>
    <n v="47"/>
    <s v="Male"/>
    <x v="1"/>
    <n v="567"/>
  </r>
  <r>
    <n v="1579"/>
    <n v="52882"/>
    <d v="2024-12-02T06:39:01"/>
    <n v="36"/>
    <s v="Male"/>
    <x v="1"/>
    <n v="264"/>
  </r>
  <r>
    <n v="1065"/>
    <n v="52883"/>
    <d v="2024-12-02T12:29:32"/>
    <n v="42"/>
    <s v="Female"/>
    <x v="3"/>
    <n v="3499"/>
  </r>
  <r>
    <n v="1292"/>
    <n v="52884"/>
    <d v="2024-12-02T18:20:03"/>
    <n v="33"/>
    <s v="Male"/>
    <x v="3"/>
    <n v="2235"/>
  </r>
  <r>
    <n v="1025"/>
    <n v="52885"/>
    <d v="2024-12-03T00:10:34"/>
    <n v="64"/>
    <s v="Male"/>
    <x v="0"/>
    <n v="3063"/>
  </r>
  <r>
    <n v="1549"/>
    <n v="52886"/>
    <d v="2024-12-03T06:01:05"/>
    <n v="57"/>
    <s v="Female"/>
    <x v="0"/>
    <n v="2076"/>
  </r>
  <r>
    <n v="1001"/>
    <n v="52887"/>
    <d v="2024-12-03T11:51:36"/>
    <n v="25"/>
    <s v="Female"/>
    <x v="2"/>
    <n v="2428"/>
  </r>
  <r>
    <n v="1549"/>
    <n v="52888"/>
    <d v="2024-12-03T17:42:07"/>
    <n v="35"/>
    <s v="Female"/>
    <x v="0"/>
    <n v="796"/>
  </r>
  <r>
    <n v="1141"/>
    <n v="52889"/>
    <d v="2024-12-03T23:32:38"/>
    <n v="45"/>
    <s v="Male"/>
    <x v="3"/>
    <n v="3806"/>
  </r>
  <r>
    <n v="1188"/>
    <n v="52890"/>
    <d v="2024-12-04T05:23:09"/>
    <n v="33"/>
    <s v="Female"/>
    <x v="1"/>
    <n v="2874"/>
  </r>
  <r>
    <n v="1128"/>
    <n v="52891"/>
    <d v="2024-12-04T11:13:40"/>
    <n v="36"/>
    <s v="Male"/>
    <x v="2"/>
    <n v="4089"/>
  </r>
  <r>
    <n v="1201"/>
    <n v="52892"/>
    <d v="2024-12-04T17:04:11"/>
    <n v="59"/>
    <s v="Male"/>
    <x v="0"/>
    <n v="3706"/>
  </r>
  <r>
    <n v="1127"/>
    <n v="52893"/>
    <d v="2024-12-04T22:54:42"/>
    <n v="34"/>
    <s v="Male"/>
    <x v="0"/>
    <n v="2034"/>
  </r>
  <r>
    <n v="1257"/>
    <n v="52894"/>
    <d v="2024-12-05T04:45:13"/>
    <n v="62"/>
    <s v="Female"/>
    <x v="3"/>
    <n v="1595"/>
  </r>
  <r>
    <n v="1547"/>
    <n v="52895"/>
    <d v="2024-12-05T10:35:44"/>
    <n v="30"/>
    <s v="Male"/>
    <x v="2"/>
    <n v="1786"/>
  </r>
  <r>
    <n v="1194"/>
    <n v="52896"/>
    <d v="2024-12-05T16:26:15"/>
    <n v="24"/>
    <s v="Female"/>
    <x v="0"/>
    <n v="311"/>
  </r>
  <r>
    <n v="1104"/>
    <n v="52897"/>
    <d v="2024-12-05T22:16:46"/>
    <n v="44"/>
    <s v="Female"/>
    <x v="1"/>
    <n v="652"/>
  </r>
  <r>
    <n v="1535"/>
    <n v="52898"/>
    <d v="2024-12-06T04:07:17"/>
    <n v="27"/>
    <s v="Female"/>
    <x v="3"/>
    <n v="3003"/>
  </r>
  <r>
    <n v="1265"/>
    <n v="52899"/>
    <d v="2024-12-06T09:57:48"/>
    <n v="51"/>
    <s v="Female"/>
    <x v="2"/>
    <n v="2831"/>
  </r>
  <r>
    <n v="1384"/>
    <n v="52900"/>
    <d v="2024-12-06T15:48:19"/>
    <n v="53"/>
    <s v="Female"/>
    <x v="0"/>
    <n v="2386"/>
  </r>
  <r>
    <n v="1260"/>
    <n v="52901"/>
    <d v="2024-12-06T21:38:50"/>
    <n v="42"/>
    <s v="Male"/>
    <x v="0"/>
    <n v="4548"/>
  </r>
  <r>
    <n v="1414"/>
    <n v="52902"/>
    <d v="2024-12-07T03:29:21"/>
    <n v="23"/>
    <s v="Male"/>
    <x v="2"/>
    <n v="2204"/>
  </r>
  <r>
    <n v="1358"/>
    <n v="52903"/>
    <d v="2024-12-07T09:19:52"/>
    <n v="41"/>
    <s v="Male"/>
    <x v="3"/>
    <n v="1659"/>
  </r>
  <r>
    <n v="1075"/>
    <n v="52904"/>
    <d v="2024-12-07T15:10:23"/>
    <n v="35"/>
    <s v="Male"/>
    <x v="2"/>
    <n v="2142"/>
  </r>
  <r>
    <n v="1355"/>
    <n v="52905"/>
    <d v="2024-12-07T21:00:54"/>
    <n v="40"/>
    <s v="Male"/>
    <x v="2"/>
    <n v="3693"/>
  </r>
  <r>
    <n v="1584"/>
    <n v="52906"/>
    <d v="2024-12-08T02:51:25"/>
    <n v="23"/>
    <s v="Female"/>
    <x v="3"/>
    <n v="2057"/>
  </r>
  <r>
    <n v="1188"/>
    <n v="52907"/>
    <d v="2024-12-08T08:41:56"/>
    <n v="46"/>
    <s v="Female"/>
    <x v="0"/>
    <n v="261"/>
  </r>
  <r>
    <n v="1290"/>
    <n v="52908"/>
    <d v="2024-12-08T14:32:27"/>
    <n v="42"/>
    <s v="Male"/>
    <x v="1"/>
    <n v="1694"/>
  </r>
  <r>
    <n v="1045"/>
    <n v="52909"/>
    <d v="2024-12-08T20:22:58"/>
    <n v="34"/>
    <s v="Male"/>
    <x v="3"/>
    <n v="1380"/>
  </r>
  <r>
    <n v="1573"/>
    <n v="52910"/>
    <d v="2024-12-09T02:13:29"/>
    <n v="63"/>
    <s v="Male"/>
    <x v="1"/>
    <n v="2988"/>
  </r>
  <r>
    <n v="1083"/>
    <n v="52911"/>
    <d v="2024-12-09T08:04:00"/>
    <n v="41"/>
    <s v="Female"/>
    <x v="0"/>
    <n v="2075"/>
  </r>
  <r>
    <n v="1123"/>
    <n v="52912"/>
    <d v="2024-12-09T13:54:31"/>
    <n v="28"/>
    <s v="Female"/>
    <x v="2"/>
    <n v="2408"/>
  </r>
  <r>
    <n v="1358"/>
    <n v="52913"/>
    <d v="2024-12-09T19:45:02"/>
    <n v="43"/>
    <s v="Female"/>
    <x v="1"/>
    <n v="4836"/>
  </r>
  <r>
    <n v="1528"/>
    <n v="52914"/>
    <d v="2024-12-10T01:35:33"/>
    <n v="51"/>
    <s v="Male"/>
    <x v="0"/>
    <n v="4921"/>
  </r>
  <r>
    <n v="1066"/>
    <n v="52915"/>
    <d v="2024-12-10T07:26:04"/>
    <n v="45"/>
    <s v="Male"/>
    <x v="0"/>
    <n v="305"/>
  </r>
  <r>
    <n v="1375"/>
    <n v="52916"/>
    <d v="2024-12-10T13:16:35"/>
    <n v="20"/>
    <s v="Male"/>
    <x v="2"/>
    <n v="1354"/>
  </r>
  <r>
    <n v="1162"/>
    <n v="52917"/>
    <d v="2024-12-10T19:07:06"/>
    <n v="28"/>
    <s v="Male"/>
    <x v="2"/>
    <n v="3628"/>
  </r>
  <r>
    <n v="1380"/>
    <n v="52918"/>
    <d v="2024-12-11T00:57:37"/>
    <n v="55"/>
    <s v="Female"/>
    <x v="0"/>
    <n v="4287"/>
  </r>
  <r>
    <n v="1358"/>
    <n v="52919"/>
    <d v="2024-12-11T06:48:08"/>
    <n v="31"/>
    <s v="Male"/>
    <x v="0"/>
    <n v="1908"/>
  </r>
  <r>
    <n v="1188"/>
    <n v="52920"/>
    <d v="2024-12-11T12:38:39"/>
    <n v="43"/>
    <s v="Male"/>
    <x v="1"/>
    <n v="3023"/>
  </r>
  <r>
    <n v="1322"/>
    <n v="52921"/>
    <d v="2024-12-11T18:29:10"/>
    <n v="38"/>
    <s v="Male"/>
    <x v="0"/>
    <n v="4125"/>
  </r>
  <r>
    <n v="1450"/>
    <n v="52922"/>
    <d v="2024-12-12T00:19:41"/>
    <n v="56"/>
    <s v="Female"/>
    <x v="0"/>
    <n v="2108"/>
  </r>
  <r>
    <n v="1474"/>
    <n v="52923"/>
    <d v="2024-12-12T06:10:12"/>
    <n v="47"/>
    <s v="Female"/>
    <x v="1"/>
    <n v="2249"/>
  </r>
  <r>
    <n v="1013"/>
    <n v="52924"/>
    <d v="2024-12-12T12:00:43"/>
    <n v="25"/>
    <s v="Male"/>
    <x v="3"/>
    <n v="4664"/>
  </r>
  <r>
    <n v="1184"/>
    <n v="52925"/>
    <d v="2024-12-12T17:51:14"/>
    <n v="37"/>
    <s v="Female"/>
    <x v="1"/>
    <n v="1474"/>
  </r>
  <r>
    <n v="1111"/>
    <n v="52926"/>
    <d v="2024-12-12T23:41:45"/>
    <n v="49"/>
    <s v="Female"/>
    <x v="1"/>
    <n v="1145"/>
  </r>
  <r>
    <n v="1508"/>
    <n v="52927"/>
    <d v="2024-12-13T05:32:16"/>
    <n v="39"/>
    <s v="Female"/>
    <x v="2"/>
    <n v="4104"/>
  </r>
  <r>
    <n v="1290"/>
    <n v="52928"/>
    <d v="2024-12-13T11:22:47"/>
    <n v="24"/>
    <s v="Female"/>
    <x v="1"/>
    <n v="2427"/>
  </r>
  <r>
    <n v="1295"/>
    <n v="52929"/>
    <d v="2024-12-13T17:13:18"/>
    <n v="26"/>
    <s v="Female"/>
    <x v="0"/>
    <n v="3996"/>
  </r>
  <r>
    <n v="1451"/>
    <n v="52930"/>
    <d v="2024-12-13T23:03:49"/>
    <n v="62"/>
    <s v="Male"/>
    <x v="0"/>
    <n v="492"/>
  </r>
  <r>
    <n v="1215"/>
    <n v="52931"/>
    <d v="2024-12-14T04:54:20"/>
    <n v="18"/>
    <s v="Male"/>
    <x v="0"/>
    <n v="4879"/>
  </r>
  <r>
    <n v="1567"/>
    <n v="52932"/>
    <d v="2024-12-14T10:44:51"/>
    <n v="46"/>
    <s v="Male"/>
    <x v="3"/>
    <n v="2422"/>
  </r>
  <r>
    <n v="1027"/>
    <n v="52933"/>
    <d v="2024-12-14T16:35:22"/>
    <n v="25"/>
    <s v="Female"/>
    <x v="0"/>
    <n v="4173"/>
  </r>
  <r>
    <n v="1231"/>
    <n v="52934"/>
    <d v="2024-12-14T22:25:53"/>
    <n v="21"/>
    <s v="Female"/>
    <x v="3"/>
    <n v="2691"/>
  </r>
  <r>
    <n v="1565"/>
    <n v="52935"/>
    <d v="2024-12-15T04:16:24"/>
    <n v="52"/>
    <s v="Female"/>
    <x v="0"/>
    <n v="2675"/>
  </r>
  <r>
    <n v="1321"/>
    <n v="52936"/>
    <d v="2024-12-15T10:06:55"/>
    <n v="20"/>
    <s v="Female"/>
    <x v="1"/>
    <n v="3929"/>
  </r>
  <r>
    <n v="1233"/>
    <n v="52937"/>
    <d v="2024-12-15T15:57:26"/>
    <n v="62"/>
    <s v="Male"/>
    <x v="2"/>
    <n v="627"/>
  </r>
  <r>
    <n v="1437"/>
    <n v="52938"/>
    <d v="2024-12-15T21:47:57"/>
    <n v="57"/>
    <s v="Male"/>
    <x v="0"/>
    <n v="3172"/>
  </r>
  <r>
    <n v="1533"/>
    <n v="52939"/>
    <d v="2024-12-16T03:38:28"/>
    <n v="24"/>
    <s v="Male"/>
    <x v="3"/>
    <n v="306"/>
  </r>
  <r>
    <n v="1403"/>
    <n v="52940"/>
    <d v="2024-12-16T09:28:59"/>
    <n v="44"/>
    <s v="Male"/>
    <x v="3"/>
    <n v="3819"/>
  </r>
  <r>
    <n v="1053"/>
    <n v="52941"/>
    <d v="2024-12-16T15:19:30"/>
    <n v="18"/>
    <s v="Male"/>
    <x v="2"/>
    <n v="4954"/>
  </r>
  <r>
    <n v="1313"/>
    <n v="52942"/>
    <d v="2024-12-16T21:10:01"/>
    <n v="44"/>
    <s v="Male"/>
    <x v="0"/>
    <n v="3533"/>
  </r>
  <r>
    <n v="1281"/>
    <n v="52943"/>
    <d v="2024-12-17T03:00:32"/>
    <n v="33"/>
    <s v="Female"/>
    <x v="1"/>
    <n v="4192"/>
  </r>
  <r>
    <n v="1031"/>
    <n v="52944"/>
    <d v="2024-12-17T08:51:03"/>
    <n v="55"/>
    <s v="Female"/>
    <x v="0"/>
    <n v="1425"/>
  </r>
  <r>
    <n v="1337"/>
    <n v="52945"/>
    <d v="2024-12-17T14:41:34"/>
    <n v="24"/>
    <s v="Male"/>
    <x v="0"/>
    <n v="4204"/>
  </r>
  <r>
    <n v="1183"/>
    <n v="52946"/>
    <d v="2024-12-17T20:32:05"/>
    <n v="61"/>
    <s v="Female"/>
    <x v="2"/>
    <n v="4450"/>
  </r>
  <r>
    <n v="1023"/>
    <n v="52947"/>
    <d v="2024-12-18T02:22:36"/>
    <n v="40"/>
    <s v="Male"/>
    <x v="0"/>
    <n v="3568"/>
  </r>
  <r>
    <n v="1544"/>
    <n v="52948"/>
    <d v="2024-12-18T08:13:07"/>
    <n v="58"/>
    <s v="Male"/>
    <x v="1"/>
    <n v="1095"/>
  </r>
  <r>
    <n v="1446"/>
    <n v="52949"/>
    <d v="2024-12-18T14:03:38"/>
    <n v="28"/>
    <s v="Female"/>
    <x v="3"/>
    <n v="4105"/>
  </r>
  <r>
    <n v="1074"/>
    <n v="52950"/>
    <d v="2024-12-18T19:54:09"/>
    <n v="59"/>
    <s v="Male"/>
    <x v="2"/>
    <n v="1820"/>
  </r>
  <r>
    <n v="1010"/>
    <n v="52951"/>
    <d v="2024-12-19T01:44:40"/>
    <n v="50"/>
    <s v="Male"/>
    <x v="1"/>
    <n v="4063"/>
  </r>
  <r>
    <n v="1484"/>
    <n v="52952"/>
    <d v="2024-12-19T07:35:12"/>
    <n v="53"/>
    <s v="Male"/>
    <x v="3"/>
    <n v="2492"/>
  </r>
  <r>
    <n v="1456"/>
    <n v="52953"/>
    <d v="2024-12-19T13:25:43"/>
    <n v="54"/>
    <s v="Female"/>
    <x v="2"/>
    <n v="1585"/>
  </r>
  <r>
    <n v="1566"/>
    <n v="52954"/>
    <d v="2024-12-19T19:16:14"/>
    <n v="58"/>
    <s v="Female"/>
    <x v="2"/>
    <n v="4099"/>
  </r>
  <r>
    <n v="1564"/>
    <n v="52955"/>
    <d v="2024-12-20T01:06:45"/>
    <n v="34"/>
    <s v="Female"/>
    <x v="3"/>
    <n v="3792"/>
  </r>
  <r>
    <n v="1160"/>
    <n v="52956"/>
    <d v="2024-12-20T06:57:16"/>
    <n v="52"/>
    <s v="Female"/>
    <x v="3"/>
    <n v="2633"/>
  </r>
  <r>
    <n v="1014"/>
    <n v="52957"/>
    <d v="2024-12-20T12:47:47"/>
    <n v="22"/>
    <s v="Male"/>
    <x v="1"/>
    <n v="3006"/>
  </r>
  <r>
    <n v="1178"/>
    <n v="52958"/>
    <d v="2024-12-20T18:38:18"/>
    <n v="49"/>
    <s v="Female"/>
    <x v="0"/>
    <n v="3583"/>
  </r>
  <r>
    <n v="1412"/>
    <n v="52959"/>
    <d v="2024-12-21T00:28:49"/>
    <n v="20"/>
    <s v="Female"/>
    <x v="0"/>
    <n v="1501"/>
  </r>
  <r>
    <n v="1053"/>
    <n v="52960"/>
    <d v="2024-12-21T06:19:20"/>
    <n v="64"/>
    <s v="Female"/>
    <x v="0"/>
    <n v="958"/>
  </r>
  <r>
    <n v="1408"/>
    <n v="52961"/>
    <d v="2024-12-21T12:09:51"/>
    <n v="52"/>
    <s v="Male"/>
    <x v="0"/>
    <n v="946"/>
  </r>
  <r>
    <n v="1022"/>
    <n v="52962"/>
    <d v="2024-12-21T18:00:22"/>
    <n v="31"/>
    <s v="Female"/>
    <x v="0"/>
    <n v="792"/>
  </r>
  <r>
    <n v="1030"/>
    <n v="52963"/>
    <d v="2024-12-21T23:50:53"/>
    <n v="48"/>
    <s v="Female"/>
    <x v="1"/>
    <n v="3086"/>
  </r>
  <r>
    <n v="1260"/>
    <n v="52964"/>
    <d v="2024-12-22T05:41:24"/>
    <n v="48"/>
    <s v="Male"/>
    <x v="2"/>
    <n v="4311"/>
  </r>
  <r>
    <n v="1205"/>
    <n v="52965"/>
    <d v="2024-12-22T11:31:55"/>
    <n v="34"/>
    <s v="Male"/>
    <x v="1"/>
    <n v="1268"/>
  </r>
  <r>
    <n v="1059"/>
    <n v="52966"/>
    <d v="2024-12-22T17:22:26"/>
    <n v="41"/>
    <s v="Male"/>
    <x v="1"/>
    <n v="3507"/>
  </r>
  <r>
    <n v="1471"/>
    <n v="52967"/>
    <d v="2024-12-22T23:12:57"/>
    <n v="40"/>
    <s v="Male"/>
    <x v="1"/>
    <n v="902"/>
  </r>
  <r>
    <n v="1466"/>
    <n v="52968"/>
    <d v="2024-12-23T05:03:28"/>
    <n v="35"/>
    <s v="Female"/>
    <x v="2"/>
    <n v="4908"/>
  </r>
  <r>
    <n v="1012"/>
    <n v="52969"/>
    <d v="2024-12-23T10:53:59"/>
    <n v="31"/>
    <s v="Male"/>
    <x v="1"/>
    <n v="304"/>
  </r>
  <r>
    <n v="1290"/>
    <n v="52970"/>
    <d v="2024-12-23T16:44:30"/>
    <n v="32"/>
    <s v="Female"/>
    <x v="1"/>
    <n v="1697"/>
  </r>
  <r>
    <n v="1354"/>
    <n v="52971"/>
    <d v="2024-12-23T22:35:01"/>
    <n v="32"/>
    <s v="Female"/>
    <x v="2"/>
    <n v="4033"/>
  </r>
  <r>
    <n v="1075"/>
    <n v="52972"/>
    <d v="2024-12-24T04:25:32"/>
    <n v="23"/>
    <s v="Female"/>
    <x v="1"/>
    <n v="595"/>
  </r>
  <r>
    <n v="1561"/>
    <n v="52973"/>
    <d v="2024-12-24T10:16:03"/>
    <n v="44"/>
    <s v="Female"/>
    <x v="0"/>
    <n v="3717"/>
  </r>
  <r>
    <n v="1591"/>
    <n v="52974"/>
    <d v="2024-12-24T16:06:34"/>
    <n v="32"/>
    <s v="Female"/>
    <x v="3"/>
    <n v="2853"/>
  </r>
  <r>
    <n v="1441"/>
    <n v="52975"/>
    <d v="2024-12-24T21:57:05"/>
    <n v="53"/>
    <s v="Male"/>
    <x v="1"/>
    <n v="3491"/>
  </r>
  <r>
    <n v="1241"/>
    <n v="52976"/>
    <d v="2024-12-25T03:47:36"/>
    <n v="25"/>
    <s v="Female"/>
    <x v="3"/>
    <n v="2210"/>
  </r>
  <r>
    <n v="1154"/>
    <n v="52977"/>
    <d v="2024-12-25T09:38:07"/>
    <n v="32"/>
    <s v="Female"/>
    <x v="1"/>
    <n v="4081"/>
  </r>
  <r>
    <n v="1096"/>
    <n v="52978"/>
    <d v="2024-12-25T15:28:38"/>
    <n v="20"/>
    <s v="Female"/>
    <x v="1"/>
    <n v="2188"/>
  </r>
  <r>
    <n v="1294"/>
    <n v="52979"/>
    <d v="2024-12-25T21:19:09"/>
    <n v="64"/>
    <s v="Male"/>
    <x v="0"/>
    <n v="4737"/>
  </r>
  <r>
    <n v="1209"/>
    <n v="52980"/>
    <d v="2024-12-26T03:09:40"/>
    <n v="30"/>
    <s v="Female"/>
    <x v="2"/>
    <n v="1868"/>
  </r>
  <r>
    <n v="1343"/>
    <n v="52981"/>
    <d v="2024-12-26T09:00:11"/>
    <n v="58"/>
    <s v="Female"/>
    <x v="3"/>
    <n v="4962"/>
  </r>
  <r>
    <n v="1088"/>
    <n v="52982"/>
    <d v="2024-12-26T14:50:42"/>
    <n v="51"/>
    <s v="Male"/>
    <x v="2"/>
    <n v="1251"/>
  </r>
  <r>
    <n v="1390"/>
    <n v="52983"/>
    <d v="2024-12-26T20:41:13"/>
    <n v="41"/>
    <s v="Female"/>
    <x v="0"/>
    <n v="3041"/>
  </r>
  <r>
    <n v="1325"/>
    <n v="52984"/>
    <d v="2024-12-27T02:31:44"/>
    <n v="57"/>
    <s v="Female"/>
    <x v="0"/>
    <n v="4923"/>
  </r>
  <r>
    <n v="1157"/>
    <n v="52985"/>
    <d v="2024-12-27T08:22:15"/>
    <n v="49"/>
    <s v="Male"/>
    <x v="3"/>
    <n v="3784"/>
  </r>
  <r>
    <n v="1577"/>
    <n v="52986"/>
    <d v="2024-12-27T14:12:46"/>
    <n v="49"/>
    <s v="Female"/>
    <x v="2"/>
    <n v="547"/>
  </r>
  <r>
    <n v="1137"/>
    <n v="52987"/>
    <d v="2024-12-27T20:03:17"/>
    <n v="47"/>
    <s v="Female"/>
    <x v="0"/>
    <n v="1463"/>
  </r>
  <r>
    <n v="1428"/>
    <n v="52988"/>
    <d v="2024-12-28T01:53:48"/>
    <n v="30"/>
    <s v="Female"/>
    <x v="1"/>
    <n v="4865"/>
  </r>
  <r>
    <n v="1452"/>
    <n v="52989"/>
    <d v="2024-12-28T07:44:19"/>
    <n v="18"/>
    <s v="Female"/>
    <x v="1"/>
    <n v="2942"/>
  </r>
  <r>
    <n v="1141"/>
    <n v="52990"/>
    <d v="2024-12-28T13:34:50"/>
    <n v="51"/>
    <s v="Female"/>
    <x v="1"/>
    <n v="2273"/>
  </r>
  <r>
    <n v="1083"/>
    <n v="52991"/>
    <d v="2024-12-28T19:25:21"/>
    <n v="32"/>
    <s v="Male"/>
    <x v="2"/>
    <n v="3348"/>
  </r>
  <r>
    <n v="1177"/>
    <n v="52992"/>
    <d v="2024-12-29T01:15:52"/>
    <n v="61"/>
    <s v="Male"/>
    <x v="1"/>
    <n v="1551"/>
  </r>
  <r>
    <n v="1198"/>
    <n v="52993"/>
    <d v="2024-12-29T07:06:23"/>
    <n v="31"/>
    <s v="Male"/>
    <x v="1"/>
    <n v="3021"/>
  </r>
  <r>
    <n v="1568"/>
    <n v="52994"/>
    <d v="2024-12-29T12:56:54"/>
    <n v="46"/>
    <s v="Female"/>
    <x v="0"/>
    <n v="4027"/>
  </r>
  <r>
    <n v="1421"/>
    <n v="52995"/>
    <d v="2024-12-29T18:47:25"/>
    <n v="51"/>
    <s v="Female"/>
    <x v="0"/>
    <n v="869"/>
  </r>
  <r>
    <n v="1401"/>
    <n v="52996"/>
    <d v="2024-12-30T00:37:56"/>
    <n v="35"/>
    <s v="Female"/>
    <x v="1"/>
    <n v="2846"/>
  </r>
  <r>
    <n v="1471"/>
    <n v="52997"/>
    <d v="2024-12-30T06:28:27"/>
    <n v="24"/>
    <s v="Male"/>
    <x v="1"/>
    <n v="466"/>
  </r>
  <r>
    <n v="1218"/>
    <n v="52998"/>
    <d v="2024-12-30T12:18:58"/>
    <n v="46"/>
    <s v="Female"/>
    <x v="0"/>
    <n v="1638"/>
  </r>
  <r>
    <n v="1175"/>
    <n v="52999"/>
    <d v="2024-12-30T18:09:29"/>
    <n v="48"/>
    <s v="Female"/>
    <x v="3"/>
    <n v="2893"/>
  </r>
  <r>
    <n v="1023"/>
    <n v="53000"/>
    <d v="2024-12-31T00:00:00"/>
    <n v="42"/>
    <s v="Female"/>
    <x v="2"/>
    <n v="12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4">
  <r>
    <n v="1103"/>
    <n v="5"/>
    <n v="12826"/>
    <n v="2565.1999999999998"/>
    <x v="0"/>
  </r>
  <r>
    <n v="1436"/>
    <n v="7"/>
    <n v="21753"/>
    <n v="3107.5714285714284"/>
    <x v="0"/>
  </r>
  <r>
    <n v="1271"/>
    <n v="4"/>
    <n v="8199"/>
    <n v="2049.75"/>
    <x v="0"/>
  </r>
  <r>
    <n v="1107"/>
    <n v="5"/>
    <n v="13509"/>
    <n v="2701.8"/>
    <x v="0"/>
  </r>
  <r>
    <n v="1072"/>
    <n v="4"/>
    <n v="4851"/>
    <n v="1212.75"/>
    <x v="0"/>
  </r>
  <r>
    <n v="1021"/>
    <n v="7"/>
    <n v="15176"/>
    <n v="2168"/>
    <x v="0"/>
  </r>
  <r>
    <n v="1122"/>
    <n v="6"/>
    <n v="21042"/>
    <n v="3507"/>
    <x v="0"/>
  </r>
  <r>
    <n v="1467"/>
    <n v="7"/>
    <n v="15223"/>
    <n v="2174.7142857142858"/>
    <x v="0"/>
  </r>
  <r>
    <n v="1215"/>
    <n v="4"/>
    <n v="8787"/>
    <n v="2196.75"/>
    <x v="0"/>
  </r>
  <r>
    <n v="1331"/>
    <n v="3"/>
    <n v="10587"/>
    <n v="3529"/>
    <x v="0"/>
  </r>
  <r>
    <n v="1459"/>
    <n v="7"/>
    <n v="18176"/>
    <n v="2596.5714285714284"/>
    <x v="0"/>
  </r>
  <r>
    <n v="1088"/>
    <n v="5"/>
    <n v="13372"/>
    <n v="2674.4"/>
    <x v="0"/>
  </r>
  <r>
    <n v="1373"/>
    <n v="5"/>
    <n v="10837"/>
    <n v="2167.4"/>
    <x v="0"/>
  </r>
  <r>
    <n v="1100"/>
    <n v="3"/>
    <n v="6910"/>
    <n v="2303.3333333333335"/>
    <x v="0"/>
  </r>
  <r>
    <n v="1131"/>
    <n v="8"/>
    <n v="17808"/>
    <n v="2226"/>
    <x v="0"/>
  </r>
  <r>
    <n v="1309"/>
    <n v="4"/>
    <n v="10193"/>
    <n v="2548.25"/>
    <x v="0"/>
  </r>
  <r>
    <n v="1344"/>
    <n v="9"/>
    <n v="29957"/>
    <n v="3328.5555555555557"/>
    <x v="0"/>
  </r>
  <r>
    <n v="1492"/>
    <n v="5"/>
    <n v="12492"/>
    <n v="2498.4"/>
    <x v="0"/>
  </r>
  <r>
    <n v="1414"/>
    <n v="7"/>
    <n v="17670"/>
    <n v="2524.2857142857142"/>
    <x v="0"/>
  </r>
  <r>
    <n v="1386"/>
    <n v="9"/>
    <n v="19761"/>
    <n v="2195.6666666666665"/>
    <x v="0"/>
  </r>
  <r>
    <n v="1192"/>
    <n v="6"/>
    <n v="21962"/>
    <n v="3660.3333333333335"/>
    <x v="0"/>
  </r>
  <r>
    <n v="1277"/>
    <n v="11"/>
    <n v="23555"/>
    <n v="2141.3636363636365"/>
    <x v="0"/>
  </r>
  <r>
    <n v="1161"/>
    <n v="10"/>
    <n v="26753"/>
    <n v="2675.3"/>
    <x v="0"/>
  </r>
  <r>
    <n v="1460"/>
    <n v="7"/>
    <n v="15928"/>
    <n v="2275.4285714285716"/>
    <x v="0"/>
  </r>
  <r>
    <n v="1314"/>
    <n v="7"/>
    <n v="17573"/>
    <n v="2510.4285714285716"/>
    <x v="0"/>
  </r>
  <r>
    <n v="1022"/>
    <n v="8"/>
    <n v="21732"/>
    <n v="2716.5"/>
    <x v="0"/>
  </r>
  <r>
    <n v="1253"/>
    <n v="8"/>
    <n v="20830"/>
    <n v="2603.75"/>
    <x v="0"/>
  </r>
  <r>
    <n v="1561"/>
    <n v="8"/>
    <n v="27394"/>
    <n v="3424.25"/>
    <x v="0"/>
  </r>
  <r>
    <n v="1475"/>
    <n v="4"/>
    <n v="11552"/>
    <n v="2888"/>
    <x v="0"/>
  </r>
  <r>
    <n v="1059"/>
    <n v="6"/>
    <n v="12169"/>
    <n v="2028.1666666666667"/>
    <x v="0"/>
  </r>
  <r>
    <n v="1511"/>
    <n v="8"/>
    <n v="15883"/>
    <n v="1985.375"/>
    <x v="0"/>
  </r>
  <r>
    <n v="1476"/>
    <n v="11"/>
    <n v="31692"/>
    <n v="2881.090909090909"/>
    <x v="0"/>
  </r>
  <r>
    <n v="1190"/>
    <n v="9"/>
    <n v="25383"/>
    <n v="2820.3333333333335"/>
    <x v="0"/>
  </r>
  <r>
    <n v="1563"/>
    <n v="8"/>
    <n v="18366"/>
    <n v="2295.75"/>
    <x v="0"/>
  </r>
  <r>
    <n v="1567"/>
    <n v="5"/>
    <n v="10506"/>
    <n v="2101.1999999999998"/>
    <x v="0"/>
  </r>
  <r>
    <n v="1244"/>
    <n v="4"/>
    <n v="11619"/>
    <n v="2904.75"/>
    <x v="0"/>
  </r>
  <r>
    <n v="1505"/>
    <n v="6"/>
    <n v="13995"/>
    <n v="2332.5"/>
    <x v="0"/>
  </r>
  <r>
    <n v="1485"/>
    <n v="9"/>
    <n v="16654"/>
    <n v="1850.4444444444443"/>
    <x v="0"/>
  </r>
  <r>
    <n v="1167"/>
    <n v="5"/>
    <n v="14246"/>
    <n v="2849.2"/>
    <x v="0"/>
  </r>
  <r>
    <n v="1274"/>
    <n v="4"/>
    <n v="13382"/>
    <n v="3345.5"/>
    <x v="0"/>
  </r>
  <r>
    <n v="1388"/>
    <n v="3"/>
    <n v="5867"/>
    <n v="1955.6666666666667"/>
    <x v="0"/>
  </r>
  <r>
    <n v="1316"/>
    <n v="4"/>
    <n v="10316"/>
    <n v="2579"/>
    <x v="0"/>
  </r>
  <r>
    <n v="1014"/>
    <n v="5"/>
    <n v="18295"/>
    <n v="3659"/>
    <x v="0"/>
  </r>
  <r>
    <n v="1242"/>
    <n v="8"/>
    <n v="23070"/>
    <n v="2883.75"/>
    <x v="0"/>
  </r>
  <r>
    <n v="1346"/>
    <n v="7"/>
    <n v="16161"/>
    <n v="2308.7142857142858"/>
    <x v="0"/>
  </r>
  <r>
    <n v="1565"/>
    <n v="4"/>
    <n v="8001"/>
    <n v="2000.25"/>
    <x v="0"/>
  </r>
  <r>
    <n v="1340"/>
    <n v="3"/>
    <n v="9467"/>
    <n v="3155.6666666666665"/>
    <x v="0"/>
  </r>
  <r>
    <n v="1092"/>
    <n v="6"/>
    <n v="21387"/>
    <n v="3564.5"/>
    <x v="0"/>
  </r>
  <r>
    <n v="1367"/>
    <n v="4"/>
    <n v="8886"/>
    <n v="2221.5"/>
    <x v="0"/>
  </r>
  <r>
    <n v="1455"/>
    <n v="9"/>
    <n v="22707"/>
    <n v="2523"/>
    <x v="0"/>
  </r>
  <r>
    <n v="1428"/>
    <n v="5"/>
    <n v="12138"/>
    <n v="2427.6"/>
    <x v="0"/>
  </r>
  <r>
    <n v="1509"/>
    <n v="4"/>
    <n v="8456"/>
    <n v="2114"/>
    <x v="0"/>
  </r>
  <r>
    <n v="1035"/>
    <n v="7"/>
    <n v="15210"/>
    <n v="2172.8571428571427"/>
    <x v="0"/>
  </r>
  <r>
    <n v="1206"/>
    <n v="4"/>
    <n v="4734"/>
    <n v="1183.5"/>
    <x v="0"/>
  </r>
  <r>
    <n v="1081"/>
    <n v="5"/>
    <n v="14411"/>
    <n v="2882.2"/>
    <x v="0"/>
  </r>
  <r>
    <n v="1562"/>
    <n v="6"/>
    <n v="12513"/>
    <n v="2085.5"/>
    <x v="0"/>
  </r>
  <r>
    <n v="1002"/>
    <n v="6"/>
    <n v="15949"/>
    <n v="2658.1666666666665"/>
    <x v="0"/>
  </r>
  <r>
    <n v="1390"/>
    <n v="5"/>
    <n v="11715"/>
    <n v="2343"/>
    <x v="0"/>
  </r>
  <r>
    <n v="1566"/>
    <n v="7"/>
    <n v="22685"/>
    <n v="3240.7142857142858"/>
    <x v="0"/>
  </r>
  <r>
    <n v="1106"/>
    <n v="6"/>
    <n v="14031"/>
    <n v="2338.5"/>
    <x v="0"/>
  </r>
  <r>
    <n v="1477"/>
    <n v="9"/>
    <n v="21649"/>
    <n v="2405.4444444444443"/>
    <x v="0"/>
  </r>
  <r>
    <n v="1402"/>
    <n v="5"/>
    <n v="7153"/>
    <n v="1430.6"/>
    <x v="0"/>
  </r>
  <r>
    <n v="1556"/>
    <n v="6"/>
    <n v="11572"/>
    <n v="1928.6666666666667"/>
    <x v="0"/>
  </r>
  <r>
    <n v="1162"/>
    <n v="7"/>
    <n v="15030"/>
    <n v="2147.1428571428573"/>
    <x v="0"/>
  </r>
  <r>
    <n v="1202"/>
    <n v="6"/>
    <n v="16495"/>
    <n v="2749.1666666666665"/>
    <x v="0"/>
  </r>
  <r>
    <n v="1270"/>
    <n v="6"/>
    <n v="8715"/>
    <n v="1452.5"/>
    <x v="0"/>
  </r>
  <r>
    <n v="1456"/>
    <n v="6"/>
    <n v="17113"/>
    <n v="2852.1666666666665"/>
    <x v="0"/>
  </r>
  <r>
    <n v="1462"/>
    <n v="4"/>
    <n v="8876"/>
    <n v="2219"/>
    <x v="0"/>
  </r>
  <r>
    <n v="1252"/>
    <n v="2"/>
    <n v="2446"/>
    <n v="1223"/>
    <x v="0"/>
  </r>
  <r>
    <n v="1296"/>
    <n v="7"/>
    <n v="16977"/>
    <n v="2425.2857142857142"/>
    <x v="0"/>
  </r>
  <r>
    <n v="1338"/>
    <n v="6"/>
    <n v="20130"/>
    <n v="3355"/>
    <x v="0"/>
  </r>
  <r>
    <n v="1053"/>
    <n v="8"/>
    <n v="19772"/>
    <n v="2471.5"/>
    <x v="0"/>
  </r>
  <r>
    <n v="1217"/>
    <n v="7"/>
    <n v="16208"/>
    <n v="2315.4285714285716"/>
    <x v="0"/>
  </r>
  <r>
    <n v="1188"/>
    <n v="9"/>
    <n v="27179"/>
    <n v="3019.8888888888887"/>
    <x v="0"/>
  </r>
  <r>
    <n v="1380"/>
    <n v="8"/>
    <n v="21662"/>
    <n v="2707.75"/>
    <x v="0"/>
  </r>
  <r>
    <n v="1493"/>
    <n v="5"/>
    <n v="12578"/>
    <n v="2515.6"/>
    <x v="0"/>
  </r>
  <r>
    <n v="1041"/>
    <n v="9"/>
    <n v="24820"/>
    <n v="2757.7777777777778"/>
    <x v="0"/>
  </r>
  <r>
    <n v="1157"/>
    <n v="6"/>
    <n v="13077"/>
    <n v="2179.5"/>
    <x v="0"/>
  </r>
  <r>
    <n v="1015"/>
    <n v="5"/>
    <n v="12815"/>
    <n v="2563"/>
    <x v="0"/>
  </r>
  <r>
    <n v="1065"/>
    <n v="6"/>
    <n v="12535"/>
    <n v="2089.1666666666665"/>
    <x v="0"/>
  </r>
  <r>
    <n v="1521"/>
    <n v="6"/>
    <n v="18301"/>
    <n v="3050.1666666666665"/>
    <x v="0"/>
  </r>
  <r>
    <n v="1129"/>
    <n v="6"/>
    <n v="18031"/>
    <n v="3005.1666666666665"/>
    <x v="0"/>
  </r>
  <r>
    <n v="1472"/>
    <n v="3"/>
    <n v="7166"/>
    <n v="2388.6666666666665"/>
    <x v="0"/>
  </r>
  <r>
    <n v="1063"/>
    <n v="7"/>
    <n v="16873"/>
    <n v="2410.4285714285716"/>
    <x v="0"/>
  </r>
  <r>
    <n v="1139"/>
    <n v="4"/>
    <n v="14412"/>
    <n v="3603"/>
    <x v="0"/>
  </r>
  <r>
    <n v="1499"/>
    <n v="5"/>
    <n v="13680"/>
    <n v="2736"/>
    <x v="0"/>
  </r>
  <r>
    <n v="1593"/>
    <n v="4"/>
    <n v="8538"/>
    <n v="2134.5"/>
    <x v="0"/>
  </r>
  <r>
    <n v="1392"/>
    <n v="6"/>
    <n v="16660"/>
    <n v="2776.6666666666665"/>
    <x v="0"/>
  </r>
  <r>
    <n v="1419"/>
    <n v="7"/>
    <n v="12271"/>
    <n v="1753"/>
    <x v="0"/>
  </r>
  <r>
    <n v="1289"/>
    <n v="10"/>
    <n v="20781"/>
    <n v="2078.1"/>
    <x v="0"/>
  </r>
  <r>
    <n v="1379"/>
    <n v="4"/>
    <n v="11150"/>
    <n v="2787.5"/>
    <x v="0"/>
  </r>
  <r>
    <n v="1490"/>
    <n v="7"/>
    <n v="13804"/>
    <n v="1972"/>
    <x v="0"/>
  </r>
  <r>
    <n v="1231"/>
    <n v="9"/>
    <n v="19358"/>
    <n v="2150.8888888888887"/>
    <x v="0"/>
  </r>
  <r>
    <n v="1028"/>
    <n v="6"/>
    <n v="13704"/>
    <n v="2284"/>
    <x v="0"/>
  </r>
  <r>
    <n v="1135"/>
    <n v="2"/>
    <n v="2343"/>
    <n v="1171.5"/>
    <x v="0"/>
  </r>
  <r>
    <n v="1201"/>
    <n v="9"/>
    <n v="22845"/>
    <n v="2538.3333333333335"/>
    <x v="0"/>
  </r>
  <r>
    <n v="1033"/>
    <n v="3"/>
    <n v="4252"/>
    <n v="1417.3333333333333"/>
    <x v="0"/>
  </r>
  <r>
    <n v="1048"/>
    <n v="3"/>
    <n v="2919"/>
    <n v="973"/>
    <x v="0"/>
  </r>
  <r>
    <n v="1503"/>
    <n v="4"/>
    <n v="13675"/>
    <n v="3418.75"/>
    <x v="0"/>
  </r>
  <r>
    <n v="1407"/>
    <n v="8"/>
    <n v="20065"/>
    <n v="2508.125"/>
    <x v="0"/>
  </r>
  <r>
    <n v="1574"/>
    <n v="7"/>
    <n v="20387"/>
    <n v="2912.4285714285716"/>
    <x v="0"/>
  </r>
  <r>
    <n v="1099"/>
    <n v="12"/>
    <n v="25162"/>
    <n v="2096.8333333333335"/>
    <x v="0"/>
  </r>
  <r>
    <n v="1547"/>
    <n v="8"/>
    <n v="17428"/>
    <n v="2178.5"/>
    <x v="0"/>
  </r>
  <r>
    <n v="1005"/>
    <n v="5"/>
    <n v="14720"/>
    <n v="2944"/>
    <x v="0"/>
  </r>
  <r>
    <n v="1218"/>
    <n v="8"/>
    <n v="19794"/>
    <n v="2474.25"/>
    <x v="0"/>
  </r>
  <r>
    <n v="1398"/>
    <n v="4"/>
    <n v="10635"/>
    <n v="2658.75"/>
    <x v="0"/>
  </r>
  <r>
    <n v="1393"/>
    <n v="7"/>
    <n v="11910"/>
    <n v="1701.4285714285713"/>
    <x v="0"/>
  </r>
  <r>
    <n v="1207"/>
    <n v="4"/>
    <n v="11199"/>
    <n v="2799.75"/>
    <x v="0"/>
  </r>
  <r>
    <n v="1554"/>
    <n v="10"/>
    <n v="28154"/>
    <n v="2815.4"/>
    <x v="0"/>
  </r>
  <r>
    <n v="1461"/>
    <n v="4"/>
    <n v="9634"/>
    <n v="2408.5"/>
    <x v="0"/>
  </r>
  <r>
    <n v="1575"/>
    <n v="8"/>
    <n v="16806"/>
    <n v="2100.75"/>
    <x v="0"/>
  </r>
  <r>
    <n v="1241"/>
    <n v="3"/>
    <n v="9267"/>
    <n v="3089"/>
    <x v="0"/>
  </r>
  <r>
    <n v="1564"/>
    <n v="7"/>
    <n v="17342"/>
    <n v="2477.4285714285716"/>
    <x v="0"/>
  </r>
  <r>
    <n v="1096"/>
    <n v="5"/>
    <n v="12256"/>
    <n v="2451.1999999999998"/>
    <x v="0"/>
  </r>
  <r>
    <n v="1171"/>
    <n v="2"/>
    <n v="976"/>
    <n v="488"/>
    <x v="0"/>
  </r>
  <r>
    <n v="1541"/>
    <n v="3"/>
    <n v="2710"/>
    <n v="903.33333333333337"/>
    <x v="0"/>
  </r>
  <r>
    <n v="1036"/>
    <n v="4"/>
    <n v="8974"/>
    <n v="2243.5"/>
    <x v="0"/>
  </r>
  <r>
    <n v="1525"/>
    <n v="5"/>
    <n v="12007"/>
    <n v="2401.4"/>
    <x v="0"/>
  </r>
  <r>
    <n v="1160"/>
    <n v="8"/>
    <n v="30277"/>
    <n v="3784.625"/>
    <x v="0"/>
  </r>
  <r>
    <n v="1243"/>
    <n v="5"/>
    <n v="14811"/>
    <n v="2962.2"/>
    <x v="0"/>
  </r>
  <r>
    <n v="1086"/>
    <n v="7"/>
    <n v="18881"/>
    <n v="2697.2857142857142"/>
    <x v="0"/>
  </r>
  <r>
    <n v="1578"/>
    <n v="5"/>
    <n v="12886"/>
    <n v="2577.1999999999998"/>
    <x v="0"/>
  </r>
  <r>
    <n v="1557"/>
    <n v="5"/>
    <n v="15892"/>
    <n v="3178.4"/>
    <x v="0"/>
  </r>
  <r>
    <n v="1506"/>
    <n v="7"/>
    <n v="20037"/>
    <n v="2862.4285714285716"/>
    <x v="0"/>
  </r>
  <r>
    <n v="1348"/>
    <n v="6"/>
    <n v="14810"/>
    <n v="2468.3333333333335"/>
    <x v="0"/>
  </r>
  <r>
    <n v="1473"/>
    <n v="5"/>
    <n v="16416"/>
    <n v="3283.2"/>
    <x v="0"/>
  </r>
  <r>
    <n v="1225"/>
    <n v="6"/>
    <n v="11710"/>
    <n v="1951.6666666666667"/>
    <x v="0"/>
  </r>
  <r>
    <n v="1385"/>
    <n v="6"/>
    <n v="14562"/>
    <n v="2427"/>
    <x v="0"/>
  </r>
  <r>
    <n v="1377"/>
    <n v="6"/>
    <n v="15499"/>
    <n v="2583.1666666666665"/>
    <x v="0"/>
  </r>
  <r>
    <n v="1283"/>
    <n v="6"/>
    <n v="16336"/>
    <n v="2722.6666666666665"/>
    <x v="0"/>
  </r>
  <r>
    <n v="1259"/>
    <n v="6"/>
    <n v="12166"/>
    <n v="2027.6666666666667"/>
    <x v="0"/>
  </r>
  <r>
    <n v="1359"/>
    <n v="6"/>
    <n v="14928"/>
    <n v="2488"/>
    <x v="0"/>
  </r>
  <r>
    <n v="1411"/>
    <n v="3"/>
    <n v="5428"/>
    <n v="1809.3333333333333"/>
    <x v="0"/>
  </r>
  <r>
    <n v="1318"/>
    <n v="10"/>
    <n v="27342"/>
    <n v="2734.2"/>
    <x v="0"/>
  </r>
  <r>
    <n v="1234"/>
    <n v="3"/>
    <n v="10284"/>
    <n v="3428"/>
    <x v="0"/>
  </r>
  <r>
    <n v="1374"/>
    <n v="6"/>
    <n v="22413"/>
    <n v="3735.5"/>
    <x v="0"/>
  </r>
  <r>
    <n v="1233"/>
    <n v="11"/>
    <n v="28820"/>
    <n v="2620"/>
    <x v="0"/>
  </r>
  <r>
    <n v="1113"/>
    <n v="12"/>
    <n v="26958"/>
    <n v="2246.5"/>
    <x v="0"/>
  </r>
  <r>
    <n v="1497"/>
    <n v="10"/>
    <n v="25105"/>
    <n v="2510.5"/>
    <x v="0"/>
  </r>
  <r>
    <n v="1442"/>
    <n v="6"/>
    <n v="15778"/>
    <n v="2629.6666666666665"/>
    <x v="0"/>
  </r>
  <r>
    <n v="1268"/>
    <n v="11"/>
    <n v="27710"/>
    <n v="2519.090909090909"/>
    <x v="0"/>
  </r>
  <r>
    <n v="1510"/>
    <n v="4"/>
    <n v="6054"/>
    <n v="1513.5"/>
    <x v="0"/>
  </r>
  <r>
    <n v="1387"/>
    <n v="6"/>
    <n v="17200"/>
    <n v="2866.6666666666665"/>
    <x v="0"/>
  </r>
  <r>
    <n v="1220"/>
    <n v="10"/>
    <n v="23659"/>
    <n v="2365.9"/>
    <x v="0"/>
  </r>
  <r>
    <n v="1403"/>
    <n v="4"/>
    <n v="7737"/>
    <n v="1934.25"/>
    <x v="0"/>
  </r>
  <r>
    <n v="1130"/>
    <n v="9"/>
    <n v="27521"/>
    <n v="3057.8888888888887"/>
    <x v="0"/>
  </r>
  <r>
    <n v="1416"/>
    <n v="5"/>
    <n v="12364"/>
    <n v="2472.8000000000002"/>
    <x v="0"/>
  </r>
  <r>
    <n v="1247"/>
    <n v="3"/>
    <n v="11375"/>
    <n v="3791.6666666666665"/>
    <x v="0"/>
  </r>
  <r>
    <n v="1439"/>
    <n v="2"/>
    <n v="6125"/>
    <n v="3062.5"/>
    <x v="0"/>
  </r>
  <r>
    <n v="1203"/>
    <n v="5"/>
    <n v="18497"/>
    <n v="3699.4"/>
    <x v="0"/>
  </r>
  <r>
    <n v="1184"/>
    <n v="5"/>
    <n v="9631"/>
    <n v="1926.2"/>
    <x v="0"/>
  </r>
  <r>
    <n v="1123"/>
    <n v="2"/>
    <n v="3999"/>
    <n v="1999.5"/>
    <x v="0"/>
  </r>
  <r>
    <n v="1401"/>
    <n v="11"/>
    <n v="27492"/>
    <n v="2499.2727272727275"/>
    <x v="0"/>
  </r>
  <r>
    <n v="1294"/>
    <n v="5"/>
    <n v="13999"/>
    <n v="2799.8"/>
    <x v="0"/>
  </r>
  <r>
    <n v="1280"/>
    <n v="5"/>
    <n v="13760"/>
    <n v="2752"/>
    <x v="0"/>
  </r>
  <r>
    <n v="1198"/>
    <n v="6"/>
    <n v="18422"/>
    <n v="3070.3333333333335"/>
    <x v="0"/>
  </r>
  <r>
    <n v="1144"/>
    <n v="7"/>
    <n v="24936"/>
    <n v="3562.2857142857142"/>
    <x v="0"/>
  </r>
  <r>
    <n v="1124"/>
    <n v="8"/>
    <n v="14749"/>
    <n v="1843.625"/>
    <x v="0"/>
  </r>
  <r>
    <n v="1187"/>
    <n v="3"/>
    <n v="5205"/>
    <n v="1735"/>
    <x v="0"/>
  </r>
  <r>
    <n v="1326"/>
    <n v="4"/>
    <n v="13263"/>
    <n v="3315.75"/>
    <x v="0"/>
  </r>
  <r>
    <n v="1464"/>
    <n v="1"/>
    <n v="999"/>
    <n v="999"/>
    <x v="1"/>
  </r>
  <r>
    <n v="1349"/>
    <n v="9"/>
    <n v="25324"/>
    <n v="2813.7777777777778"/>
    <x v="0"/>
  </r>
  <r>
    <n v="1147"/>
    <n v="7"/>
    <n v="25618"/>
    <n v="3659.7142857142858"/>
    <x v="0"/>
  </r>
  <r>
    <n v="1148"/>
    <n v="6"/>
    <n v="8543"/>
    <n v="1423.8333333333333"/>
    <x v="0"/>
  </r>
  <r>
    <n v="1489"/>
    <n v="5"/>
    <n v="12155"/>
    <n v="2431"/>
    <x v="0"/>
  </r>
  <r>
    <n v="1551"/>
    <n v="7"/>
    <n v="20549"/>
    <n v="2935.5714285714284"/>
    <x v="0"/>
  </r>
  <r>
    <n v="1151"/>
    <n v="4"/>
    <n v="10240"/>
    <n v="2560"/>
    <x v="0"/>
  </r>
  <r>
    <n v="1415"/>
    <n v="3"/>
    <n v="13779"/>
    <n v="4593"/>
    <x v="0"/>
  </r>
  <r>
    <n v="1298"/>
    <n v="3"/>
    <n v="9595"/>
    <n v="3198.3333333333335"/>
    <x v="0"/>
  </r>
  <r>
    <n v="1263"/>
    <n v="4"/>
    <n v="12332"/>
    <n v="3083"/>
    <x v="0"/>
  </r>
  <r>
    <n v="1572"/>
    <n v="6"/>
    <n v="16399"/>
    <n v="2733.1666666666665"/>
    <x v="0"/>
  </r>
  <r>
    <n v="1304"/>
    <n v="5"/>
    <n v="11641"/>
    <n v="2328.1999999999998"/>
    <x v="0"/>
  </r>
  <r>
    <n v="1254"/>
    <n v="9"/>
    <n v="20179"/>
    <n v="2242.1111111111113"/>
    <x v="0"/>
  </r>
  <r>
    <n v="1453"/>
    <n v="6"/>
    <n v="10085"/>
    <n v="1680.8333333333333"/>
    <x v="0"/>
  </r>
  <r>
    <n v="1037"/>
    <n v="5"/>
    <n v="8378"/>
    <n v="1675.6"/>
    <x v="0"/>
  </r>
  <r>
    <n v="1009"/>
    <n v="3"/>
    <n v="5260"/>
    <n v="1753.3333333333333"/>
    <x v="0"/>
  </r>
  <r>
    <n v="1208"/>
    <n v="4"/>
    <n v="7248"/>
    <n v="1812"/>
    <x v="0"/>
  </r>
  <r>
    <n v="1404"/>
    <n v="3"/>
    <n v="11579"/>
    <n v="3859.6666666666665"/>
    <x v="0"/>
  </r>
  <r>
    <n v="1152"/>
    <n v="4"/>
    <n v="6774"/>
    <n v="1693.5"/>
    <x v="0"/>
  </r>
  <r>
    <n v="1054"/>
    <n v="5"/>
    <n v="9023"/>
    <n v="1804.6"/>
    <x v="0"/>
  </r>
  <r>
    <n v="1120"/>
    <n v="7"/>
    <n v="15141"/>
    <n v="2163"/>
    <x v="0"/>
  </r>
  <r>
    <n v="1587"/>
    <n v="3"/>
    <n v="9673"/>
    <n v="3224.3333333333335"/>
    <x v="0"/>
  </r>
  <r>
    <n v="1420"/>
    <n v="9"/>
    <n v="21429"/>
    <n v="2381"/>
    <x v="0"/>
  </r>
  <r>
    <n v="1422"/>
    <n v="7"/>
    <n v="17484"/>
    <n v="2497.7142857142858"/>
    <x v="0"/>
  </r>
  <r>
    <n v="1104"/>
    <n v="8"/>
    <n v="17633"/>
    <n v="2204.125"/>
    <x v="0"/>
  </r>
  <r>
    <n v="1227"/>
    <n v="9"/>
    <n v="19320"/>
    <n v="2146.6666666666665"/>
    <x v="0"/>
  </r>
  <r>
    <n v="1112"/>
    <n v="3"/>
    <n v="9303"/>
    <n v="3101"/>
    <x v="0"/>
  </r>
  <r>
    <n v="1153"/>
    <n v="5"/>
    <n v="15551"/>
    <n v="3110.2"/>
    <x v="0"/>
  </r>
  <r>
    <n v="1163"/>
    <n v="7"/>
    <n v="23237"/>
    <n v="3319.5714285714284"/>
    <x v="0"/>
  </r>
  <r>
    <n v="1580"/>
    <n v="6"/>
    <n v="11538"/>
    <n v="1923"/>
    <x v="0"/>
  </r>
  <r>
    <n v="1504"/>
    <n v="4"/>
    <n v="12471"/>
    <n v="3117.75"/>
    <x v="0"/>
  </r>
  <r>
    <n v="1195"/>
    <n v="5"/>
    <n v="8774"/>
    <n v="1754.8"/>
    <x v="0"/>
  </r>
  <r>
    <n v="1470"/>
    <n v="3"/>
    <n v="8644"/>
    <n v="2881.3333333333335"/>
    <x v="0"/>
  </r>
  <r>
    <n v="1375"/>
    <n v="6"/>
    <n v="17140"/>
    <n v="2856.6666666666665"/>
    <x v="0"/>
  </r>
  <r>
    <n v="1038"/>
    <n v="3"/>
    <n v="5241"/>
    <n v="1747"/>
    <x v="0"/>
  </r>
  <r>
    <n v="1230"/>
    <n v="3"/>
    <n v="10143"/>
    <n v="3381"/>
    <x v="0"/>
  </r>
  <r>
    <n v="1365"/>
    <n v="8"/>
    <n v="21240"/>
    <n v="2655"/>
    <x v="0"/>
  </r>
  <r>
    <n v="1438"/>
    <n v="4"/>
    <n v="7391"/>
    <n v="1847.75"/>
    <x v="0"/>
  </r>
  <r>
    <n v="1027"/>
    <n v="4"/>
    <n v="11725"/>
    <n v="2931.25"/>
    <x v="0"/>
  </r>
  <r>
    <n v="1226"/>
    <n v="8"/>
    <n v="23790"/>
    <n v="2973.75"/>
    <x v="0"/>
  </r>
  <r>
    <n v="1284"/>
    <n v="5"/>
    <n v="12234"/>
    <n v="2446.8000000000002"/>
    <x v="0"/>
  </r>
  <r>
    <n v="1481"/>
    <n v="4"/>
    <n v="7965"/>
    <n v="1991.25"/>
    <x v="0"/>
  </r>
  <r>
    <n v="1516"/>
    <n v="8"/>
    <n v="18898"/>
    <n v="2362.25"/>
    <x v="0"/>
  </r>
  <r>
    <n v="1049"/>
    <n v="6"/>
    <n v="14230"/>
    <n v="2371.6666666666665"/>
    <x v="0"/>
  </r>
  <r>
    <n v="1512"/>
    <n v="4"/>
    <n v="4003"/>
    <n v="1000.75"/>
    <x v="0"/>
  </r>
  <r>
    <n v="1017"/>
    <n v="8"/>
    <n v="20121"/>
    <n v="2515.125"/>
    <x v="0"/>
  </r>
  <r>
    <n v="1172"/>
    <n v="7"/>
    <n v="16463"/>
    <n v="2351.8571428571427"/>
    <x v="0"/>
  </r>
  <r>
    <n v="1158"/>
    <n v="3"/>
    <n v="5474"/>
    <n v="1824.6666666666667"/>
    <x v="0"/>
  </r>
  <r>
    <n v="1046"/>
    <n v="4"/>
    <n v="14512"/>
    <n v="3628"/>
    <x v="0"/>
  </r>
  <r>
    <n v="1518"/>
    <n v="3"/>
    <n v="11147"/>
    <n v="3715.6666666666665"/>
    <x v="0"/>
  </r>
  <r>
    <n v="1302"/>
    <n v="10"/>
    <n v="31497"/>
    <n v="3149.7"/>
    <x v="0"/>
  </r>
  <r>
    <n v="1181"/>
    <n v="1"/>
    <n v="693"/>
    <n v="693"/>
    <x v="1"/>
  </r>
  <r>
    <n v="1116"/>
    <n v="4"/>
    <n v="11578"/>
    <n v="2894.5"/>
    <x v="0"/>
  </r>
  <r>
    <n v="1191"/>
    <n v="5"/>
    <n v="10541"/>
    <n v="2108.1999999999998"/>
    <x v="0"/>
  </r>
  <r>
    <n v="1256"/>
    <n v="4"/>
    <n v="11020"/>
    <n v="2755"/>
    <x v="0"/>
  </r>
  <r>
    <n v="1323"/>
    <n v="5"/>
    <n v="17561"/>
    <n v="3512.2"/>
    <x v="0"/>
  </r>
  <r>
    <n v="1128"/>
    <n v="6"/>
    <n v="15996"/>
    <n v="2666"/>
    <x v="0"/>
  </r>
  <r>
    <n v="1018"/>
    <n v="2"/>
    <n v="1637"/>
    <n v="818.5"/>
    <x v="0"/>
  </r>
  <r>
    <n v="1570"/>
    <n v="4"/>
    <n v="8234"/>
    <n v="2058.5"/>
    <x v="0"/>
  </r>
  <r>
    <n v="1288"/>
    <n v="8"/>
    <n v="29780"/>
    <n v="3722.5"/>
    <x v="0"/>
  </r>
  <r>
    <n v="1155"/>
    <n v="3"/>
    <n v="6543"/>
    <n v="2181"/>
    <x v="0"/>
  </r>
  <r>
    <n v="1246"/>
    <n v="4"/>
    <n v="8998"/>
    <n v="2249.5"/>
    <x v="0"/>
  </r>
  <r>
    <n v="1176"/>
    <n v="3"/>
    <n v="7272"/>
    <n v="2424"/>
    <x v="0"/>
  </r>
  <r>
    <n v="1039"/>
    <n v="12"/>
    <n v="25200"/>
    <n v="2100"/>
    <x v="0"/>
  </r>
  <r>
    <n v="1538"/>
    <n v="4"/>
    <n v="12512"/>
    <n v="3128"/>
    <x v="0"/>
  </r>
  <r>
    <n v="1408"/>
    <n v="6"/>
    <n v="12997"/>
    <n v="2166.1666666666665"/>
    <x v="0"/>
  </r>
  <r>
    <n v="1020"/>
    <n v="7"/>
    <n v="17965"/>
    <n v="2566.4285714285716"/>
    <x v="0"/>
  </r>
  <r>
    <n v="1321"/>
    <n v="4"/>
    <n v="12699"/>
    <n v="3174.75"/>
    <x v="0"/>
  </r>
  <r>
    <n v="1400"/>
    <n v="5"/>
    <n v="13797"/>
    <n v="2759.4"/>
    <x v="0"/>
  </r>
  <r>
    <n v="1471"/>
    <n v="7"/>
    <n v="15699"/>
    <n v="2242.7142857142858"/>
    <x v="0"/>
  </r>
  <r>
    <n v="1143"/>
    <n v="7"/>
    <n v="21479"/>
    <n v="3068.4285714285716"/>
    <x v="0"/>
  </r>
  <r>
    <n v="1354"/>
    <n v="6"/>
    <n v="16628"/>
    <n v="2771.3333333333335"/>
    <x v="0"/>
  </r>
  <r>
    <n v="1051"/>
    <n v="6"/>
    <n v="11340"/>
    <n v="1890"/>
    <x v="0"/>
  </r>
  <r>
    <n v="1125"/>
    <n v="3"/>
    <n v="4891"/>
    <n v="1630.3333333333333"/>
    <x v="0"/>
  </r>
  <r>
    <n v="1150"/>
    <n v="1"/>
    <n v="2609"/>
    <n v="2609"/>
    <x v="1"/>
  </r>
  <r>
    <n v="1342"/>
    <n v="8"/>
    <n v="31625"/>
    <n v="3953.125"/>
    <x v="0"/>
  </r>
  <r>
    <n v="1305"/>
    <n v="8"/>
    <n v="20444"/>
    <n v="2555.5"/>
    <x v="0"/>
  </r>
  <r>
    <n v="1444"/>
    <n v="2"/>
    <n v="4457"/>
    <n v="2228.5"/>
    <x v="0"/>
  </r>
  <r>
    <n v="1264"/>
    <n v="6"/>
    <n v="12353"/>
    <n v="2058.8333333333335"/>
    <x v="0"/>
  </r>
  <r>
    <n v="1196"/>
    <n v="8"/>
    <n v="26307"/>
    <n v="3288.375"/>
    <x v="0"/>
  </r>
  <r>
    <n v="1350"/>
    <n v="8"/>
    <n v="13863"/>
    <n v="1732.875"/>
    <x v="0"/>
  </r>
  <r>
    <n v="1047"/>
    <n v="9"/>
    <n v="26577"/>
    <n v="2953"/>
    <x v="0"/>
  </r>
  <r>
    <n v="1269"/>
    <n v="2"/>
    <n v="5765"/>
    <n v="2882.5"/>
    <x v="0"/>
  </r>
  <r>
    <n v="1370"/>
    <n v="4"/>
    <n v="9046"/>
    <n v="2261.5"/>
    <x v="0"/>
  </r>
  <r>
    <n v="1058"/>
    <n v="6"/>
    <n v="17681"/>
    <n v="2946.8333333333335"/>
    <x v="0"/>
  </r>
  <r>
    <n v="1474"/>
    <n v="6"/>
    <n v="20781"/>
    <n v="3463.5"/>
    <x v="0"/>
  </r>
  <r>
    <n v="1117"/>
    <n v="9"/>
    <n v="19503"/>
    <n v="2167"/>
    <x v="0"/>
  </r>
  <r>
    <n v="1127"/>
    <n v="7"/>
    <n v="17428"/>
    <n v="2489.7142857142858"/>
    <x v="0"/>
  </r>
  <r>
    <n v="1513"/>
    <n v="5"/>
    <n v="6743"/>
    <n v="1348.6"/>
    <x v="0"/>
  </r>
  <r>
    <n v="1118"/>
    <n v="9"/>
    <n v="28787"/>
    <n v="3198.5555555555557"/>
    <x v="0"/>
  </r>
  <r>
    <n v="1560"/>
    <n v="3"/>
    <n v="6995"/>
    <n v="2331.6666666666665"/>
    <x v="0"/>
  </r>
  <r>
    <n v="1488"/>
    <n v="5"/>
    <n v="12679"/>
    <n v="2535.8000000000002"/>
    <x v="0"/>
  </r>
  <r>
    <n v="1237"/>
    <n v="4"/>
    <n v="9564"/>
    <n v="2391"/>
    <x v="0"/>
  </r>
  <r>
    <n v="1272"/>
    <n v="3"/>
    <n v="3323"/>
    <n v="1107.6666666666667"/>
    <x v="0"/>
  </r>
  <r>
    <n v="1189"/>
    <n v="1"/>
    <n v="4574"/>
    <n v="4574"/>
    <x v="1"/>
  </r>
  <r>
    <n v="1447"/>
    <n v="4"/>
    <n v="11346"/>
    <n v="2836.5"/>
    <x v="0"/>
  </r>
  <r>
    <n v="1581"/>
    <n v="6"/>
    <n v="12823"/>
    <n v="2137.1666666666665"/>
    <x v="0"/>
  </r>
  <r>
    <n v="1076"/>
    <n v="5"/>
    <n v="10418"/>
    <n v="2083.6"/>
    <x v="0"/>
  </r>
  <r>
    <n v="1154"/>
    <n v="9"/>
    <n v="32724"/>
    <n v="3636"/>
    <x v="0"/>
  </r>
  <r>
    <n v="1435"/>
    <n v="10"/>
    <n v="31829"/>
    <n v="3182.9"/>
    <x v="0"/>
  </r>
  <r>
    <n v="1285"/>
    <n v="7"/>
    <n v="22533"/>
    <n v="3219"/>
    <x v="0"/>
  </r>
  <r>
    <n v="1069"/>
    <n v="7"/>
    <n v="17262"/>
    <n v="2466"/>
    <x v="0"/>
  </r>
  <r>
    <n v="1094"/>
    <n v="1"/>
    <n v="2750"/>
    <n v="2750"/>
    <x v="1"/>
  </r>
  <r>
    <n v="1204"/>
    <n v="4"/>
    <n v="13245"/>
    <n v="3311.25"/>
    <x v="0"/>
  </r>
  <r>
    <n v="1432"/>
    <n v="6"/>
    <n v="21432"/>
    <n v="3572"/>
    <x v="0"/>
  </r>
  <r>
    <n v="1341"/>
    <n v="5"/>
    <n v="8952"/>
    <n v="1790.4"/>
    <x v="0"/>
  </r>
  <r>
    <n v="1357"/>
    <n v="3"/>
    <n v="6226"/>
    <n v="2075.3333333333335"/>
    <x v="0"/>
  </r>
  <r>
    <n v="1023"/>
    <n v="8"/>
    <n v="21418"/>
    <n v="2677.25"/>
    <x v="0"/>
  </r>
  <r>
    <n v="1522"/>
    <n v="3"/>
    <n v="8174"/>
    <n v="2724.6666666666665"/>
    <x v="0"/>
  </r>
  <r>
    <n v="1180"/>
    <n v="3"/>
    <n v="6269"/>
    <n v="2089.6666666666665"/>
    <x v="0"/>
  </r>
  <r>
    <n v="1223"/>
    <n v="9"/>
    <n v="31604"/>
    <n v="3511.5555555555557"/>
    <x v="0"/>
  </r>
  <r>
    <n v="1325"/>
    <n v="4"/>
    <n v="10514"/>
    <n v="2628.5"/>
    <x v="0"/>
  </r>
  <r>
    <n v="1016"/>
    <n v="5"/>
    <n v="5791"/>
    <n v="1158.2"/>
    <x v="0"/>
  </r>
  <r>
    <n v="1336"/>
    <n v="6"/>
    <n v="14256"/>
    <n v="2376"/>
    <x v="0"/>
  </r>
  <r>
    <n v="1258"/>
    <n v="3"/>
    <n v="9052"/>
    <n v="3017.3333333333335"/>
    <x v="0"/>
  </r>
  <r>
    <n v="1545"/>
    <n v="1"/>
    <n v="225"/>
    <n v="225"/>
    <x v="1"/>
  </r>
  <r>
    <n v="1427"/>
    <n v="6"/>
    <n v="18924"/>
    <n v="3154"/>
    <x v="0"/>
  </r>
  <r>
    <n v="1577"/>
    <n v="4"/>
    <n v="10494"/>
    <n v="2623.5"/>
    <x v="0"/>
  </r>
  <r>
    <n v="1417"/>
    <n v="4"/>
    <n v="10526"/>
    <n v="2631.5"/>
    <x v="0"/>
  </r>
  <r>
    <n v="1168"/>
    <n v="6"/>
    <n v="17879"/>
    <n v="2979.8333333333335"/>
    <x v="0"/>
  </r>
  <r>
    <n v="1043"/>
    <n v="6"/>
    <n v="19873"/>
    <n v="3312.1666666666665"/>
    <x v="0"/>
  </r>
  <r>
    <n v="1397"/>
    <n v="8"/>
    <n v="17273"/>
    <n v="2159.125"/>
    <x v="0"/>
  </r>
  <r>
    <n v="1012"/>
    <n v="11"/>
    <n v="26364"/>
    <n v="2396.7272727272725"/>
    <x v="0"/>
  </r>
  <r>
    <n v="1090"/>
    <n v="5"/>
    <n v="10409"/>
    <n v="2081.8000000000002"/>
    <x v="0"/>
  </r>
  <r>
    <n v="1418"/>
    <n v="5"/>
    <n v="8594"/>
    <n v="1718.8"/>
    <x v="0"/>
  </r>
  <r>
    <n v="1115"/>
    <n v="4"/>
    <n v="8673"/>
    <n v="2168.25"/>
    <x v="0"/>
  </r>
  <r>
    <n v="1501"/>
    <n v="5"/>
    <n v="18220"/>
    <n v="3644"/>
    <x v="0"/>
  </r>
  <r>
    <n v="1075"/>
    <n v="12"/>
    <n v="30814"/>
    <n v="2567.8333333333335"/>
    <x v="0"/>
  </r>
  <r>
    <n v="1413"/>
    <n v="2"/>
    <n v="2282"/>
    <n v="1141"/>
    <x v="0"/>
  </r>
  <r>
    <n v="1376"/>
    <n v="7"/>
    <n v="22013"/>
    <n v="3144.7142857142858"/>
    <x v="0"/>
  </r>
  <r>
    <n v="1394"/>
    <n v="3"/>
    <n v="7956"/>
    <n v="2652"/>
    <x v="0"/>
  </r>
  <r>
    <n v="1457"/>
    <n v="4"/>
    <n v="10657"/>
    <n v="2664.25"/>
    <x v="0"/>
  </r>
  <r>
    <n v="1548"/>
    <n v="6"/>
    <n v="18223"/>
    <n v="3037.1666666666665"/>
    <x v="0"/>
  </r>
  <r>
    <n v="1369"/>
    <n v="4"/>
    <n v="9848"/>
    <n v="2462"/>
    <x v="0"/>
  </r>
  <r>
    <n v="1279"/>
    <n v="5"/>
    <n v="9168"/>
    <n v="1833.6"/>
    <x v="0"/>
  </r>
  <r>
    <n v="1273"/>
    <n v="8"/>
    <n v="23612"/>
    <n v="2951.5"/>
    <x v="0"/>
  </r>
  <r>
    <n v="1062"/>
    <n v="4"/>
    <n v="9670"/>
    <n v="2417.5"/>
    <x v="0"/>
  </r>
  <r>
    <n v="1596"/>
    <n v="5"/>
    <n v="12512"/>
    <n v="2502.4"/>
    <x v="0"/>
  </r>
  <r>
    <n v="1019"/>
    <n v="7"/>
    <n v="19724"/>
    <n v="2817.7142857142858"/>
    <x v="0"/>
  </r>
  <r>
    <n v="1177"/>
    <n v="5"/>
    <n v="6681"/>
    <n v="1336.2"/>
    <x v="0"/>
  </r>
  <r>
    <n v="1396"/>
    <n v="4"/>
    <n v="8431"/>
    <n v="2107.75"/>
    <x v="0"/>
  </r>
  <r>
    <n v="1445"/>
    <n v="7"/>
    <n v="13843"/>
    <n v="1977.5714285714287"/>
    <x v="0"/>
  </r>
  <r>
    <n v="1265"/>
    <n v="4"/>
    <n v="11360"/>
    <n v="2840"/>
    <x v="0"/>
  </r>
  <r>
    <n v="1384"/>
    <n v="4"/>
    <n v="6877"/>
    <n v="1719.25"/>
    <x v="0"/>
  </r>
  <r>
    <n v="1025"/>
    <n v="6"/>
    <n v="12953"/>
    <n v="2158.8333333333335"/>
    <x v="0"/>
  </r>
  <r>
    <n v="1469"/>
    <n v="5"/>
    <n v="14950"/>
    <n v="2990"/>
    <x v="0"/>
  </r>
  <r>
    <n v="1484"/>
    <n v="3"/>
    <n v="6196"/>
    <n v="2065.3333333333335"/>
    <x v="0"/>
  </r>
  <r>
    <n v="1569"/>
    <n v="3"/>
    <n v="9396"/>
    <n v="3132"/>
    <x v="0"/>
  </r>
  <r>
    <n v="1109"/>
    <n v="8"/>
    <n v="21581"/>
    <n v="2697.625"/>
    <x v="0"/>
  </r>
  <r>
    <n v="1042"/>
    <n v="5"/>
    <n v="10653"/>
    <n v="2130.6"/>
    <x v="0"/>
  </r>
  <r>
    <n v="1186"/>
    <n v="3"/>
    <n v="5002"/>
    <n v="1667.3333333333333"/>
    <x v="0"/>
  </r>
  <r>
    <n v="1133"/>
    <n v="6"/>
    <n v="18521"/>
    <n v="3086.8333333333335"/>
    <x v="0"/>
  </r>
  <r>
    <n v="1235"/>
    <n v="4"/>
    <n v="9846"/>
    <n v="2461.5"/>
    <x v="0"/>
  </r>
  <r>
    <n v="1588"/>
    <n v="8"/>
    <n v="14201"/>
    <n v="1775.125"/>
    <x v="0"/>
  </r>
  <r>
    <n v="1074"/>
    <n v="3"/>
    <n v="8437"/>
    <n v="2812.3333333333335"/>
    <x v="0"/>
  </r>
  <r>
    <n v="1519"/>
    <n v="4"/>
    <n v="12408"/>
    <n v="3102"/>
    <x v="0"/>
  </r>
  <r>
    <n v="1174"/>
    <n v="3"/>
    <n v="9870"/>
    <n v="3290"/>
    <x v="0"/>
  </r>
  <r>
    <n v="1170"/>
    <n v="5"/>
    <n v="13724"/>
    <n v="2744.8"/>
    <x v="0"/>
  </r>
  <r>
    <n v="1194"/>
    <n v="7"/>
    <n v="15135"/>
    <n v="2162.1428571428573"/>
    <x v="0"/>
  </r>
  <r>
    <n v="1517"/>
    <n v="10"/>
    <n v="27243"/>
    <n v="2724.3"/>
    <x v="0"/>
  </r>
  <r>
    <n v="1029"/>
    <n v="7"/>
    <n v="18649"/>
    <n v="2664.1428571428573"/>
    <x v="0"/>
  </r>
  <r>
    <n v="1165"/>
    <n v="7"/>
    <n v="21427"/>
    <n v="3061"/>
    <x v="0"/>
  </r>
  <r>
    <n v="1339"/>
    <n v="2"/>
    <n v="5236"/>
    <n v="2618"/>
    <x v="0"/>
  </r>
  <r>
    <n v="1496"/>
    <n v="1"/>
    <n v="3678"/>
    <n v="3678"/>
    <x v="1"/>
  </r>
  <r>
    <n v="1500"/>
    <n v="9"/>
    <n v="25851"/>
    <n v="2872.3333333333335"/>
    <x v="0"/>
  </r>
  <r>
    <n v="1327"/>
    <n v="5"/>
    <n v="11635"/>
    <n v="2327"/>
    <x v="0"/>
  </r>
  <r>
    <n v="1301"/>
    <n v="7"/>
    <n v="19234"/>
    <n v="2747.7142857142858"/>
    <x v="0"/>
  </r>
  <r>
    <n v="1132"/>
    <n v="5"/>
    <n v="15355"/>
    <n v="3071"/>
    <x v="0"/>
  </r>
  <r>
    <n v="1070"/>
    <n v="4"/>
    <n v="11641"/>
    <n v="2910.25"/>
    <x v="0"/>
  </r>
  <r>
    <n v="1182"/>
    <n v="6"/>
    <n v="15239"/>
    <n v="2539.8333333333335"/>
    <x v="0"/>
  </r>
  <r>
    <n v="1091"/>
    <n v="2"/>
    <n v="6443"/>
    <n v="3221.5"/>
    <x v="0"/>
  </r>
  <r>
    <n v="1531"/>
    <n v="3"/>
    <n v="3779"/>
    <n v="1259.6666666666667"/>
    <x v="0"/>
  </r>
  <r>
    <n v="1126"/>
    <n v="6"/>
    <n v="13944"/>
    <n v="2324"/>
    <x v="0"/>
  </r>
  <r>
    <n v="1451"/>
    <n v="3"/>
    <n v="8885"/>
    <n v="2961.6666666666665"/>
    <x v="0"/>
  </r>
  <r>
    <n v="1173"/>
    <n v="7"/>
    <n v="19414"/>
    <n v="2773.4285714285716"/>
    <x v="0"/>
  </r>
  <r>
    <n v="1361"/>
    <n v="6"/>
    <n v="14900"/>
    <n v="2483.3333333333335"/>
    <x v="0"/>
  </r>
  <r>
    <n v="1001"/>
    <n v="9"/>
    <n v="14107"/>
    <n v="1567.4444444444443"/>
    <x v="0"/>
  </r>
  <r>
    <n v="1508"/>
    <n v="6"/>
    <n v="12789"/>
    <n v="2131.5"/>
    <x v="0"/>
  </r>
  <r>
    <n v="1409"/>
    <n v="1"/>
    <n v="4986"/>
    <n v="4986"/>
    <x v="1"/>
  </r>
  <r>
    <n v="1134"/>
    <n v="3"/>
    <n v="8692"/>
    <n v="2897.3333333333335"/>
    <x v="0"/>
  </r>
  <r>
    <n v="1149"/>
    <n v="7"/>
    <n v="19022"/>
    <n v="2717.4285714285716"/>
    <x v="0"/>
  </r>
  <r>
    <n v="1080"/>
    <n v="2"/>
    <n v="3667"/>
    <n v="1833.5"/>
    <x v="0"/>
  </r>
  <r>
    <n v="1213"/>
    <n v="6"/>
    <n v="18782"/>
    <n v="3130.3333333333335"/>
    <x v="0"/>
  </r>
  <r>
    <n v="1229"/>
    <n v="8"/>
    <n v="16268"/>
    <n v="2033.5"/>
    <x v="0"/>
  </r>
  <r>
    <n v="1532"/>
    <n v="6"/>
    <n v="14282"/>
    <n v="2380.3333333333335"/>
    <x v="0"/>
  </r>
  <r>
    <n v="1441"/>
    <n v="7"/>
    <n v="22808"/>
    <n v="3258.2857142857142"/>
    <x v="0"/>
  </r>
  <r>
    <n v="1526"/>
    <n v="10"/>
    <n v="29328"/>
    <n v="2932.8"/>
    <x v="0"/>
  </r>
  <r>
    <n v="1330"/>
    <n v="5"/>
    <n v="14306"/>
    <n v="2861.2"/>
    <x v="0"/>
  </r>
  <r>
    <n v="1358"/>
    <n v="5"/>
    <n v="11720"/>
    <n v="2344"/>
    <x v="0"/>
  </r>
  <r>
    <n v="1008"/>
    <n v="7"/>
    <n v="17461"/>
    <n v="2494.4285714285716"/>
    <x v="0"/>
  </r>
  <r>
    <n v="1178"/>
    <n v="6"/>
    <n v="13905"/>
    <n v="2317.5"/>
    <x v="0"/>
  </r>
  <r>
    <n v="1540"/>
    <n v="4"/>
    <n v="6473"/>
    <n v="1618.25"/>
    <x v="0"/>
  </r>
  <r>
    <n v="1502"/>
    <n v="3"/>
    <n v="10480"/>
    <n v="3493.3333333333335"/>
    <x v="0"/>
  </r>
  <r>
    <n v="1145"/>
    <n v="7"/>
    <n v="16652"/>
    <n v="2378.8571428571427"/>
    <x v="0"/>
  </r>
  <r>
    <n v="1558"/>
    <n v="6"/>
    <n v="16535"/>
    <n v="2755.8333333333335"/>
    <x v="0"/>
  </r>
  <r>
    <n v="1594"/>
    <n v="8"/>
    <n v="15831"/>
    <n v="1978.875"/>
    <x v="0"/>
  </r>
  <r>
    <n v="1450"/>
    <n v="8"/>
    <n v="18828"/>
    <n v="2353.5"/>
    <x v="0"/>
  </r>
  <r>
    <n v="1010"/>
    <n v="7"/>
    <n v="20036"/>
    <n v="2862.2857142857142"/>
    <x v="0"/>
  </r>
  <r>
    <n v="1251"/>
    <n v="7"/>
    <n v="18286"/>
    <n v="2612.2857142857142"/>
    <x v="0"/>
  </r>
  <r>
    <n v="1119"/>
    <n v="6"/>
    <n v="20152"/>
    <n v="3358.6666666666665"/>
    <x v="0"/>
  </r>
  <r>
    <n v="1146"/>
    <n v="6"/>
    <n v="12433"/>
    <n v="2072.1666666666665"/>
    <x v="0"/>
  </r>
  <r>
    <n v="1224"/>
    <n v="5"/>
    <n v="11630"/>
    <n v="2326"/>
    <x v="0"/>
  </r>
  <r>
    <n v="1239"/>
    <n v="5"/>
    <n v="15123"/>
    <n v="3024.6"/>
    <x v="0"/>
  </r>
  <r>
    <n v="1282"/>
    <n v="3"/>
    <n v="5985"/>
    <n v="1995"/>
    <x v="0"/>
  </r>
  <r>
    <n v="1105"/>
    <n v="3"/>
    <n v="9008"/>
    <n v="3002.6666666666665"/>
    <x v="0"/>
  </r>
  <r>
    <n v="1405"/>
    <n v="7"/>
    <n v="18209"/>
    <n v="2601.2857142857142"/>
    <x v="0"/>
  </r>
  <r>
    <n v="1437"/>
    <n v="6"/>
    <n v="14921"/>
    <n v="2486.8333333333335"/>
    <x v="0"/>
  </r>
  <r>
    <n v="1458"/>
    <n v="2"/>
    <n v="4590"/>
    <n v="2295"/>
    <x v="0"/>
  </r>
  <r>
    <n v="1083"/>
    <n v="5"/>
    <n v="13634"/>
    <n v="2726.8"/>
    <x v="0"/>
  </r>
  <r>
    <n v="1085"/>
    <n v="3"/>
    <n v="7881"/>
    <n v="2627"/>
    <x v="0"/>
  </r>
  <r>
    <n v="1078"/>
    <n v="6"/>
    <n v="17322"/>
    <n v="2887"/>
    <x v="0"/>
  </r>
  <r>
    <n v="1446"/>
    <n v="4"/>
    <n v="8964"/>
    <n v="2241"/>
    <x v="0"/>
  </r>
  <r>
    <n v="1449"/>
    <n v="6"/>
    <n v="17349"/>
    <n v="2891.5"/>
    <x v="0"/>
  </r>
  <r>
    <n v="1034"/>
    <n v="3"/>
    <n v="9157"/>
    <n v="3052.3333333333335"/>
    <x v="0"/>
  </r>
  <r>
    <n v="1095"/>
    <n v="5"/>
    <n v="13750"/>
    <n v="2750"/>
    <x v="0"/>
  </r>
  <r>
    <n v="1250"/>
    <n v="5"/>
    <n v="12084"/>
    <n v="2416.8000000000002"/>
    <x v="0"/>
  </r>
  <r>
    <n v="1306"/>
    <n v="4"/>
    <n v="15076"/>
    <n v="3769"/>
    <x v="0"/>
  </r>
  <r>
    <n v="1236"/>
    <n v="4"/>
    <n v="8175"/>
    <n v="2043.75"/>
    <x v="0"/>
  </r>
  <r>
    <n v="1389"/>
    <n v="2"/>
    <n v="4298"/>
    <n v="2149"/>
    <x v="0"/>
  </r>
  <r>
    <n v="1303"/>
    <n v="8"/>
    <n v="23752"/>
    <n v="2969"/>
    <x v="0"/>
  </r>
  <r>
    <n v="1098"/>
    <n v="4"/>
    <n v="15166"/>
    <n v="3791.5"/>
    <x v="0"/>
  </r>
  <r>
    <n v="1335"/>
    <n v="5"/>
    <n v="17122"/>
    <n v="3424.4"/>
    <x v="0"/>
  </r>
  <r>
    <n v="1308"/>
    <n v="3"/>
    <n v="7707"/>
    <n v="2569"/>
    <x v="0"/>
  </r>
  <r>
    <n v="1249"/>
    <n v="2"/>
    <n v="4558"/>
    <n v="2279"/>
    <x v="0"/>
  </r>
  <r>
    <n v="1166"/>
    <n v="3"/>
    <n v="9824"/>
    <n v="3274.6666666666665"/>
    <x v="0"/>
  </r>
  <r>
    <n v="1542"/>
    <n v="6"/>
    <n v="13200"/>
    <n v="2200"/>
    <x v="0"/>
  </r>
  <r>
    <n v="1138"/>
    <n v="3"/>
    <n v="7114"/>
    <n v="2371.3333333333335"/>
    <x v="0"/>
  </r>
  <r>
    <n v="1546"/>
    <n v="5"/>
    <n v="16949"/>
    <n v="3389.8"/>
    <x v="0"/>
  </r>
  <r>
    <n v="1205"/>
    <n v="3"/>
    <n v="6473"/>
    <n v="2157.6666666666665"/>
    <x v="0"/>
  </r>
  <r>
    <n v="1111"/>
    <n v="7"/>
    <n v="13045"/>
    <n v="1863.5714285714287"/>
    <x v="0"/>
  </r>
  <r>
    <n v="1183"/>
    <n v="9"/>
    <n v="30544"/>
    <n v="3393.7777777777778"/>
    <x v="0"/>
  </r>
  <r>
    <n v="1520"/>
    <n v="7"/>
    <n v="17290"/>
    <n v="2470"/>
    <x v="0"/>
  </r>
  <r>
    <n v="1360"/>
    <n v="6"/>
    <n v="14858"/>
    <n v="2476.3333333333335"/>
    <x v="0"/>
  </r>
  <r>
    <n v="1281"/>
    <n v="5"/>
    <n v="15158"/>
    <n v="3031.6"/>
    <x v="0"/>
  </r>
  <r>
    <n v="1093"/>
    <n v="3"/>
    <n v="5574"/>
    <n v="1858"/>
    <x v="0"/>
  </r>
  <r>
    <n v="1061"/>
    <n v="3"/>
    <n v="7987"/>
    <n v="2662.3333333333335"/>
    <x v="0"/>
  </r>
  <r>
    <n v="1466"/>
    <n v="6"/>
    <n v="21040"/>
    <n v="3506.6666666666665"/>
    <x v="0"/>
  </r>
  <r>
    <n v="1534"/>
    <n v="2"/>
    <n v="5523"/>
    <n v="2761.5"/>
    <x v="0"/>
  </r>
  <r>
    <n v="1524"/>
    <n v="8"/>
    <n v="24726"/>
    <n v="3090.75"/>
    <x v="0"/>
  </r>
  <r>
    <n v="1073"/>
    <n v="7"/>
    <n v="16097"/>
    <n v="2299.5714285714284"/>
    <x v="0"/>
  </r>
  <r>
    <n v="1121"/>
    <n v="2"/>
    <n v="2607"/>
    <n v="1303.5"/>
    <x v="0"/>
  </r>
  <r>
    <n v="1214"/>
    <n v="5"/>
    <n v="18220"/>
    <n v="3644"/>
    <x v="0"/>
  </r>
  <r>
    <n v="1056"/>
    <n v="3"/>
    <n v="10451"/>
    <n v="3483.6666666666665"/>
    <x v="0"/>
  </r>
  <r>
    <n v="1573"/>
    <n v="7"/>
    <n v="18907"/>
    <n v="2701"/>
    <x v="0"/>
  </r>
  <r>
    <n v="1337"/>
    <n v="4"/>
    <n v="16789"/>
    <n v="4197.25"/>
    <x v="0"/>
  </r>
  <r>
    <n v="1026"/>
    <n v="5"/>
    <n v="10563"/>
    <n v="2112.6"/>
    <x v="0"/>
  </r>
  <r>
    <n v="1257"/>
    <n v="4"/>
    <n v="5258"/>
    <n v="1314.5"/>
    <x v="0"/>
  </r>
  <r>
    <n v="1216"/>
    <n v="8"/>
    <n v="24658"/>
    <n v="3082.25"/>
    <x v="0"/>
  </r>
  <r>
    <n v="1312"/>
    <n v="4"/>
    <n v="9087"/>
    <n v="2271.75"/>
    <x v="0"/>
  </r>
  <r>
    <n v="1007"/>
    <n v="7"/>
    <n v="18462"/>
    <n v="2637.4285714285716"/>
    <x v="0"/>
  </r>
  <r>
    <n v="1003"/>
    <n v="4"/>
    <n v="8523"/>
    <n v="2130.75"/>
    <x v="0"/>
  </r>
  <r>
    <n v="1363"/>
    <n v="7"/>
    <n v="22571"/>
    <n v="3224.4285714285716"/>
    <x v="0"/>
  </r>
  <r>
    <n v="1537"/>
    <n v="8"/>
    <n v="26169"/>
    <n v="3271.125"/>
    <x v="0"/>
  </r>
  <r>
    <n v="1212"/>
    <n v="1"/>
    <n v="1582"/>
    <n v="1582"/>
    <x v="1"/>
  </r>
  <r>
    <n v="1067"/>
    <n v="3"/>
    <n v="3887"/>
    <n v="1295.6666666666667"/>
    <x v="0"/>
  </r>
  <r>
    <n v="1228"/>
    <n v="5"/>
    <n v="11222"/>
    <n v="2244.4"/>
    <x v="0"/>
  </r>
  <r>
    <n v="1595"/>
    <n v="1"/>
    <n v="446"/>
    <n v="446"/>
    <x v="1"/>
  </r>
  <r>
    <n v="1425"/>
    <n v="5"/>
    <n v="12641"/>
    <n v="2528.1999999999998"/>
    <x v="0"/>
  </r>
  <r>
    <n v="1320"/>
    <n v="8"/>
    <n v="19072"/>
    <n v="2384"/>
    <x v="0"/>
  </r>
  <r>
    <n v="1443"/>
    <n v="6"/>
    <n v="15764"/>
    <n v="2627.3333333333335"/>
    <x v="0"/>
  </r>
  <r>
    <n v="1315"/>
    <n v="1"/>
    <n v="4713"/>
    <n v="4713"/>
    <x v="1"/>
  </r>
  <r>
    <n v="1582"/>
    <n v="5"/>
    <n v="10864"/>
    <n v="2172.8000000000002"/>
    <x v="0"/>
  </r>
  <r>
    <n v="1137"/>
    <n v="6"/>
    <n v="22134"/>
    <n v="3689"/>
    <x v="0"/>
  </r>
  <r>
    <n v="1543"/>
    <n v="3"/>
    <n v="3190"/>
    <n v="1063.3333333333333"/>
    <x v="0"/>
  </r>
  <r>
    <n v="1040"/>
    <n v="6"/>
    <n v="16099"/>
    <n v="2683.1666666666665"/>
    <x v="0"/>
  </r>
  <r>
    <n v="1006"/>
    <n v="1"/>
    <n v="3147"/>
    <n v="3147"/>
    <x v="1"/>
  </r>
  <r>
    <n v="1322"/>
    <n v="2"/>
    <n v="4672"/>
    <n v="2336"/>
    <x v="0"/>
  </r>
  <r>
    <n v="1468"/>
    <n v="2"/>
    <n v="3528"/>
    <n v="1764"/>
    <x v="0"/>
  </r>
  <r>
    <n v="1004"/>
    <n v="2"/>
    <n v="3625"/>
    <n v="1812.5"/>
    <x v="0"/>
  </r>
  <r>
    <n v="1300"/>
    <n v="3"/>
    <n v="7280"/>
    <n v="2426.6666666666665"/>
    <x v="0"/>
  </r>
  <r>
    <n v="1410"/>
    <n v="3"/>
    <n v="10746"/>
    <n v="3582"/>
    <x v="0"/>
  </r>
  <r>
    <n v="1140"/>
    <n v="3"/>
    <n v="7423"/>
    <n v="2474.3333333333335"/>
    <x v="0"/>
  </r>
  <r>
    <n v="1559"/>
    <n v="7"/>
    <n v="18110"/>
    <n v="2587.1428571428573"/>
    <x v="0"/>
  </r>
  <r>
    <n v="1550"/>
    <n v="8"/>
    <n v="17938"/>
    <n v="2242.25"/>
    <x v="0"/>
  </r>
  <r>
    <n v="1261"/>
    <n v="8"/>
    <n v="24600"/>
    <n v="3075"/>
    <x v="0"/>
  </r>
  <r>
    <n v="1013"/>
    <n v="5"/>
    <n v="13503"/>
    <n v="2700.6"/>
    <x v="0"/>
  </r>
  <r>
    <n v="1319"/>
    <n v="3"/>
    <n v="2058"/>
    <n v="686"/>
    <x v="0"/>
  </r>
  <r>
    <n v="1329"/>
    <n v="5"/>
    <n v="13816"/>
    <n v="2763.2"/>
    <x v="0"/>
  </r>
  <r>
    <n v="1334"/>
    <n v="5"/>
    <n v="14215"/>
    <n v="2843"/>
    <x v="0"/>
  </r>
  <r>
    <n v="1291"/>
    <n v="4"/>
    <n v="9380"/>
    <n v="2345"/>
    <x v="0"/>
  </r>
  <r>
    <n v="1089"/>
    <n v="5"/>
    <n v="13018"/>
    <n v="2603.6"/>
    <x v="0"/>
  </r>
  <r>
    <n v="1295"/>
    <n v="5"/>
    <n v="10520"/>
    <n v="2104"/>
    <x v="0"/>
  </r>
  <r>
    <n v="1579"/>
    <n v="6"/>
    <n v="13349"/>
    <n v="2224.8333333333335"/>
    <x v="0"/>
  </r>
  <r>
    <n v="1391"/>
    <n v="5"/>
    <n v="16522"/>
    <n v="3304.4"/>
    <x v="0"/>
  </r>
  <r>
    <n v="1179"/>
    <n v="3"/>
    <n v="10817"/>
    <n v="3605.6666666666665"/>
    <x v="0"/>
  </r>
  <r>
    <n v="1448"/>
    <n v="3"/>
    <n v="10143"/>
    <n v="3381"/>
    <x v="0"/>
  </r>
  <r>
    <n v="1478"/>
    <n v="3"/>
    <n v="2994"/>
    <n v="998"/>
    <x v="0"/>
  </r>
  <r>
    <n v="1097"/>
    <n v="3"/>
    <n v="7877"/>
    <n v="2625.6666666666665"/>
    <x v="0"/>
  </r>
  <r>
    <n v="1598"/>
    <n v="7"/>
    <n v="16263"/>
    <n v="2323.2857142857142"/>
    <x v="0"/>
  </r>
  <r>
    <n v="1159"/>
    <n v="6"/>
    <n v="22402"/>
    <n v="3733.6666666666665"/>
    <x v="0"/>
  </r>
  <r>
    <n v="1324"/>
    <n v="8"/>
    <n v="11308"/>
    <n v="1413.5"/>
    <x v="0"/>
  </r>
  <r>
    <n v="1292"/>
    <n v="3"/>
    <n v="6558"/>
    <n v="2186"/>
    <x v="0"/>
  </r>
  <r>
    <n v="1011"/>
    <n v="4"/>
    <n v="9994"/>
    <n v="2498.5"/>
    <x v="0"/>
  </r>
  <r>
    <n v="1141"/>
    <n v="7"/>
    <n v="12706"/>
    <n v="1815.1428571428571"/>
    <x v="0"/>
  </r>
  <r>
    <n v="1210"/>
    <n v="6"/>
    <n v="8631"/>
    <n v="1438.5"/>
    <x v="0"/>
  </r>
  <r>
    <n v="1356"/>
    <n v="6"/>
    <n v="14822"/>
    <n v="2470.3333333333335"/>
    <x v="0"/>
  </r>
  <r>
    <n v="1378"/>
    <n v="6"/>
    <n v="21175"/>
    <n v="3529.1666666666665"/>
    <x v="0"/>
  </r>
  <r>
    <n v="1297"/>
    <n v="2"/>
    <n v="5073"/>
    <n v="2536.5"/>
    <x v="0"/>
  </r>
  <r>
    <n v="1371"/>
    <n v="5"/>
    <n v="13216"/>
    <n v="2643.2"/>
    <x v="0"/>
  </r>
  <r>
    <n v="1431"/>
    <n v="4"/>
    <n v="8069"/>
    <n v="2017.25"/>
    <x v="0"/>
  </r>
  <r>
    <n v="1313"/>
    <n v="7"/>
    <n v="20427"/>
    <n v="2918.1428571428573"/>
    <x v="0"/>
  </r>
  <r>
    <n v="1347"/>
    <n v="2"/>
    <n v="3500"/>
    <n v="1750"/>
    <x v="0"/>
  </r>
  <r>
    <n v="1529"/>
    <n v="4"/>
    <n v="12797"/>
    <n v="3199.25"/>
    <x v="0"/>
  </r>
  <r>
    <n v="1156"/>
    <n v="7"/>
    <n v="20728"/>
    <n v="2961.1428571428573"/>
    <x v="0"/>
  </r>
  <r>
    <n v="1084"/>
    <n v="10"/>
    <n v="29588"/>
    <n v="2958.8"/>
    <x v="0"/>
  </r>
  <r>
    <n v="1032"/>
    <n v="2"/>
    <n v="3587"/>
    <n v="1793.5"/>
    <x v="0"/>
  </r>
  <r>
    <n v="1429"/>
    <n v="4"/>
    <n v="10773"/>
    <n v="2693.25"/>
    <x v="0"/>
  </r>
  <r>
    <n v="1286"/>
    <n v="4"/>
    <n v="16889"/>
    <n v="4222.25"/>
    <x v="0"/>
  </r>
  <r>
    <n v="1424"/>
    <n v="5"/>
    <n v="15135"/>
    <n v="3027"/>
    <x v="0"/>
  </r>
  <r>
    <n v="1590"/>
    <n v="3"/>
    <n v="8755"/>
    <n v="2918.3333333333335"/>
    <x v="0"/>
  </r>
  <r>
    <n v="1175"/>
    <n v="3"/>
    <n v="6501"/>
    <n v="2167"/>
    <x v="0"/>
  </r>
  <r>
    <n v="1114"/>
    <n v="5"/>
    <n v="16936"/>
    <n v="3387.2"/>
    <x v="0"/>
  </r>
  <r>
    <n v="1222"/>
    <n v="4"/>
    <n v="10693"/>
    <n v="2673.25"/>
    <x v="0"/>
  </r>
  <r>
    <n v="1055"/>
    <n v="5"/>
    <n v="14547"/>
    <n v="2909.4"/>
    <x v="0"/>
  </r>
  <r>
    <n v="1087"/>
    <n v="6"/>
    <n v="14450"/>
    <n v="2408.3333333333335"/>
    <x v="0"/>
  </r>
  <r>
    <n v="1328"/>
    <n v="3"/>
    <n v="9439"/>
    <n v="3146.3333333333335"/>
    <x v="0"/>
  </r>
  <r>
    <n v="1491"/>
    <n v="4"/>
    <n v="9965"/>
    <n v="2491.25"/>
    <x v="0"/>
  </r>
  <r>
    <n v="1452"/>
    <n v="3"/>
    <n v="7090"/>
    <n v="2363.3333333333335"/>
    <x v="0"/>
  </r>
  <r>
    <n v="1381"/>
    <n v="8"/>
    <n v="22396"/>
    <n v="2799.5"/>
    <x v="0"/>
  </r>
  <r>
    <n v="1082"/>
    <n v="4"/>
    <n v="6228"/>
    <n v="1557"/>
    <x v="0"/>
  </r>
  <r>
    <n v="1514"/>
    <n v="4"/>
    <n v="9860"/>
    <n v="2465"/>
    <x v="0"/>
  </r>
  <r>
    <n v="1523"/>
    <n v="3"/>
    <n v="9014"/>
    <n v="3004.6666666666665"/>
    <x v="0"/>
  </r>
  <r>
    <n v="1364"/>
    <n v="8"/>
    <n v="20391"/>
    <n v="2548.875"/>
    <x v="0"/>
  </r>
  <r>
    <n v="1209"/>
    <n v="4"/>
    <n v="10570"/>
    <n v="2642.5"/>
    <x v="0"/>
  </r>
  <r>
    <n v="1552"/>
    <n v="3"/>
    <n v="8012"/>
    <n v="2670.6666666666665"/>
    <x v="0"/>
  </r>
  <r>
    <n v="1278"/>
    <n v="4"/>
    <n v="9369"/>
    <n v="2342.25"/>
    <x v="0"/>
  </r>
  <r>
    <n v="1494"/>
    <n v="8"/>
    <n v="26638"/>
    <n v="3329.75"/>
    <x v="0"/>
  </r>
  <r>
    <n v="1599"/>
    <n v="3"/>
    <n v="4387"/>
    <n v="1462.3333333333333"/>
    <x v="0"/>
  </r>
  <r>
    <n v="1287"/>
    <n v="6"/>
    <n v="12008"/>
    <n v="2001.3333333333333"/>
    <x v="0"/>
  </r>
  <r>
    <n v="1576"/>
    <n v="4"/>
    <n v="7630"/>
    <n v="1907.5"/>
    <x v="0"/>
  </r>
  <r>
    <n v="1310"/>
    <n v="3"/>
    <n v="3408"/>
    <n v="1136"/>
    <x v="0"/>
  </r>
  <r>
    <n v="1406"/>
    <n v="6"/>
    <n v="13923"/>
    <n v="2320.5"/>
    <x v="0"/>
  </r>
  <r>
    <n v="1507"/>
    <n v="3"/>
    <n v="5744"/>
    <n v="1914.6666666666667"/>
    <x v="0"/>
  </r>
  <r>
    <n v="1482"/>
    <n v="5"/>
    <n v="8274"/>
    <n v="1654.8"/>
    <x v="0"/>
  </r>
  <r>
    <n v="1498"/>
    <n v="3"/>
    <n v="3927"/>
    <n v="1309"/>
    <x v="0"/>
  </r>
  <r>
    <n v="1108"/>
    <n v="5"/>
    <n v="12456"/>
    <n v="2491.1999999999998"/>
    <x v="0"/>
  </r>
  <r>
    <n v="1102"/>
    <n v="7"/>
    <n v="20691"/>
    <n v="2955.8571428571427"/>
    <x v="0"/>
  </r>
  <r>
    <n v="1275"/>
    <n v="2"/>
    <n v="6016"/>
    <n v="3008"/>
    <x v="0"/>
  </r>
  <r>
    <n v="1044"/>
    <n v="3"/>
    <n v="6169"/>
    <n v="2056.3333333333335"/>
    <x v="0"/>
  </r>
  <r>
    <n v="1592"/>
    <n v="3"/>
    <n v="6695"/>
    <n v="2231.6666666666665"/>
    <x v="0"/>
  </r>
  <r>
    <n v="1200"/>
    <n v="3"/>
    <n v="7336"/>
    <n v="2445.3333333333335"/>
    <x v="0"/>
  </r>
  <r>
    <n v="1571"/>
    <n v="7"/>
    <n v="15354"/>
    <n v="2193.4285714285716"/>
    <x v="0"/>
  </r>
  <r>
    <n v="1372"/>
    <n v="2"/>
    <n v="9286"/>
    <n v="4643"/>
    <x v="0"/>
  </r>
  <r>
    <n v="1527"/>
    <n v="4"/>
    <n v="5311"/>
    <n v="1327.75"/>
    <x v="0"/>
  </r>
  <r>
    <n v="1426"/>
    <n v="5"/>
    <n v="13739"/>
    <n v="2747.8"/>
    <x v="0"/>
  </r>
  <r>
    <n v="1311"/>
    <n v="5"/>
    <n v="11099"/>
    <n v="2219.8000000000002"/>
    <x v="0"/>
  </r>
  <r>
    <n v="1245"/>
    <n v="2"/>
    <n v="5358"/>
    <n v="2679"/>
    <x v="0"/>
  </r>
  <r>
    <n v="1440"/>
    <n v="5"/>
    <n v="12440"/>
    <n v="2488"/>
    <x v="0"/>
  </r>
  <r>
    <n v="1266"/>
    <n v="3"/>
    <n v="12862"/>
    <n v="4287.333333333333"/>
    <x v="0"/>
  </r>
  <r>
    <n v="1142"/>
    <n v="4"/>
    <n v="7861"/>
    <n v="1965.25"/>
    <x v="0"/>
  </r>
  <r>
    <n v="1293"/>
    <n v="5"/>
    <n v="12633"/>
    <n v="2526.6"/>
    <x v="0"/>
  </r>
  <r>
    <n v="1585"/>
    <n v="3"/>
    <n v="11124"/>
    <n v="3708"/>
    <x v="0"/>
  </r>
  <r>
    <n v="1399"/>
    <n v="7"/>
    <n v="22629"/>
    <n v="3232.7142857142858"/>
    <x v="0"/>
  </r>
  <r>
    <n v="1584"/>
    <n v="8"/>
    <n v="16950"/>
    <n v="2118.75"/>
    <x v="0"/>
  </r>
  <r>
    <n v="1366"/>
    <n v="4"/>
    <n v="9932"/>
    <n v="2483"/>
    <x v="0"/>
  </r>
  <r>
    <n v="1267"/>
    <n v="3"/>
    <n v="3671"/>
    <n v="1223.6666666666667"/>
    <x v="0"/>
  </r>
  <r>
    <n v="1332"/>
    <n v="5"/>
    <n v="6186"/>
    <n v="1237.2"/>
    <x v="0"/>
  </r>
  <r>
    <n v="1463"/>
    <n v="6"/>
    <n v="13874"/>
    <n v="2312.3333333333335"/>
    <x v="0"/>
  </r>
  <r>
    <n v="1395"/>
    <n v="7"/>
    <n v="11882"/>
    <n v="1697.4285714285713"/>
    <x v="0"/>
  </r>
  <r>
    <n v="1454"/>
    <n v="6"/>
    <n v="10425"/>
    <n v="1737.5"/>
    <x v="0"/>
  </r>
  <r>
    <n v="1568"/>
    <n v="3"/>
    <n v="8370"/>
    <n v="2790"/>
    <x v="0"/>
  </r>
  <r>
    <n v="1262"/>
    <n v="5"/>
    <n v="11698"/>
    <n v="2339.6"/>
    <x v="0"/>
  </r>
  <r>
    <n v="1353"/>
    <n v="6"/>
    <n v="12627"/>
    <n v="2104.5"/>
    <x v="0"/>
  </r>
  <r>
    <n v="1345"/>
    <n v="5"/>
    <n v="9503"/>
    <n v="1900.6"/>
    <x v="0"/>
  </r>
  <r>
    <n v="1031"/>
    <n v="3"/>
    <n v="6761"/>
    <n v="2253.6666666666665"/>
    <x v="0"/>
  </r>
  <r>
    <n v="1535"/>
    <n v="2"/>
    <n v="6440"/>
    <n v="3220"/>
    <x v="0"/>
  </r>
  <r>
    <n v="1589"/>
    <n v="4"/>
    <n v="7049"/>
    <n v="1762.25"/>
    <x v="0"/>
  </r>
  <r>
    <n v="1586"/>
    <n v="3"/>
    <n v="9408"/>
    <n v="3136"/>
    <x v="0"/>
  </r>
  <r>
    <n v="1412"/>
    <n v="3"/>
    <n v="6729"/>
    <n v="2243"/>
    <x v="0"/>
  </r>
  <r>
    <n v="1079"/>
    <n v="4"/>
    <n v="9223"/>
    <n v="2305.75"/>
    <x v="0"/>
  </r>
  <r>
    <n v="1430"/>
    <n v="3"/>
    <n v="6827"/>
    <n v="2275.6666666666665"/>
    <x v="0"/>
  </r>
  <r>
    <n v="1539"/>
    <n v="4"/>
    <n v="7378"/>
    <n v="1844.5"/>
    <x v="0"/>
  </r>
  <r>
    <n v="1382"/>
    <n v="6"/>
    <n v="10938"/>
    <n v="1823"/>
    <x v="0"/>
  </r>
  <r>
    <n v="1060"/>
    <n v="4"/>
    <n v="9560"/>
    <n v="2390"/>
    <x v="0"/>
  </r>
  <r>
    <n v="1591"/>
    <n v="3"/>
    <n v="5628"/>
    <n v="1876"/>
    <x v="0"/>
  </r>
  <r>
    <n v="1199"/>
    <n v="2"/>
    <n v="3190"/>
    <n v="1595"/>
    <x v="0"/>
  </r>
  <r>
    <n v="1536"/>
    <n v="3"/>
    <n v="7971"/>
    <n v="2657"/>
    <x v="0"/>
  </r>
  <r>
    <n v="1064"/>
    <n v="2"/>
    <n v="6029"/>
    <n v="3014.5"/>
    <x v="0"/>
  </r>
  <r>
    <n v="1495"/>
    <n v="3"/>
    <n v="12138"/>
    <n v="4046"/>
    <x v="0"/>
  </r>
  <r>
    <n v="1544"/>
    <n v="4"/>
    <n v="10265"/>
    <n v="2566.25"/>
    <x v="0"/>
  </r>
  <r>
    <n v="1553"/>
    <n v="4"/>
    <n v="12526"/>
    <n v="3131.5"/>
    <x v="0"/>
  </r>
  <r>
    <n v="1317"/>
    <n v="1"/>
    <n v="416"/>
    <n v="416"/>
    <x v="1"/>
  </r>
  <r>
    <n v="1383"/>
    <n v="3"/>
    <n v="7411"/>
    <n v="2470.3333333333335"/>
    <x v="0"/>
  </r>
  <r>
    <n v="1515"/>
    <n v="5"/>
    <n v="16780"/>
    <n v="3356"/>
    <x v="0"/>
  </r>
  <r>
    <n v="1307"/>
    <n v="3"/>
    <n v="5778"/>
    <n v="1926"/>
    <x v="0"/>
  </r>
  <r>
    <n v="1549"/>
    <n v="5"/>
    <n v="8494"/>
    <n v="1698.8"/>
    <x v="0"/>
  </r>
  <r>
    <n v="1352"/>
    <n v="3"/>
    <n v="2620"/>
    <n v="873.33333333333337"/>
    <x v="0"/>
  </r>
  <r>
    <n v="1024"/>
    <n v="1"/>
    <n v="957"/>
    <n v="957"/>
    <x v="1"/>
  </r>
  <r>
    <n v="1530"/>
    <n v="2"/>
    <n v="4540"/>
    <n v="2270"/>
    <x v="0"/>
  </r>
  <r>
    <n v="1066"/>
    <n v="6"/>
    <n v="9573"/>
    <n v="1595.5"/>
    <x v="0"/>
  </r>
  <r>
    <n v="1276"/>
    <n v="3"/>
    <n v="11434"/>
    <n v="3811.3333333333335"/>
    <x v="0"/>
  </r>
  <r>
    <n v="1185"/>
    <n v="1"/>
    <n v="3891"/>
    <n v="3891"/>
    <x v="1"/>
  </r>
  <r>
    <n v="1193"/>
    <n v="2"/>
    <n v="3109"/>
    <n v="1554.5"/>
    <x v="0"/>
  </r>
  <r>
    <n v="1221"/>
    <n v="3"/>
    <n v="5367"/>
    <n v="1789"/>
    <x v="0"/>
  </r>
  <r>
    <n v="1343"/>
    <n v="5"/>
    <n v="12501"/>
    <n v="2500.1999999999998"/>
    <x v="0"/>
  </r>
  <r>
    <n v="1351"/>
    <n v="2"/>
    <n v="5855"/>
    <n v="2927.5"/>
    <x v="0"/>
  </r>
  <r>
    <n v="1583"/>
    <n v="2"/>
    <n v="4136"/>
    <n v="2068"/>
    <x v="0"/>
  </r>
  <r>
    <n v="1362"/>
    <n v="3"/>
    <n v="6702"/>
    <n v="2234"/>
    <x v="0"/>
  </r>
  <r>
    <n v="1050"/>
    <n v="2"/>
    <n v="5490"/>
    <n v="2745"/>
    <x v="0"/>
  </r>
  <r>
    <n v="1483"/>
    <n v="7"/>
    <n v="17953"/>
    <n v="2564.7142857142858"/>
    <x v="0"/>
  </r>
  <r>
    <n v="1077"/>
    <n v="2"/>
    <n v="6835"/>
    <n v="3417.5"/>
    <x v="0"/>
  </r>
  <r>
    <n v="1597"/>
    <n v="2"/>
    <n v="6402"/>
    <n v="3201"/>
    <x v="0"/>
  </r>
  <r>
    <n v="1248"/>
    <n v="2"/>
    <n v="4870"/>
    <n v="2435"/>
    <x v="0"/>
  </r>
  <r>
    <n v="1101"/>
    <n v="4"/>
    <n v="9868"/>
    <n v="2467"/>
    <x v="0"/>
  </r>
  <r>
    <n v="1164"/>
    <n v="4"/>
    <n v="12842"/>
    <n v="3210.5"/>
    <x v="0"/>
  </r>
  <r>
    <n v="1110"/>
    <n v="1"/>
    <n v="2102"/>
    <n v="2102"/>
    <x v="1"/>
  </r>
  <r>
    <n v="1238"/>
    <n v="3"/>
    <n v="4939"/>
    <n v="1646.3333333333333"/>
    <x v="0"/>
  </r>
  <r>
    <n v="1260"/>
    <n v="7"/>
    <n v="21978"/>
    <n v="3139.7142857142858"/>
    <x v="0"/>
  </r>
  <r>
    <n v="1423"/>
    <n v="2"/>
    <n v="4695"/>
    <n v="2347.5"/>
    <x v="0"/>
  </r>
  <r>
    <n v="1465"/>
    <n v="3"/>
    <n v="3175"/>
    <n v="1058.3333333333333"/>
    <x v="0"/>
  </r>
  <r>
    <n v="1232"/>
    <n v="3"/>
    <n v="6931"/>
    <n v="2310.3333333333335"/>
    <x v="0"/>
  </r>
  <r>
    <n v="1211"/>
    <n v="4"/>
    <n v="8157"/>
    <n v="2039.25"/>
    <x v="0"/>
  </r>
  <r>
    <n v="1368"/>
    <n v="1"/>
    <n v="1944"/>
    <n v="1944"/>
    <x v="1"/>
  </r>
  <r>
    <n v="1169"/>
    <n v="1"/>
    <n v="4854"/>
    <n v="4854"/>
    <x v="1"/>
  </r>
  <r>
    <n v="1421"/>
    <n v="3"/>
    <n v="5573"/>
    <n v="1857.6666666666667"/>
    <x v="0"/>
  </r>
  <r>
    <n v="1030"/>
    <n v="3"/>
    <n v="7836"/>
    <n v="2612"/>
    <x v="0"/>
  </r>
  <r>
    <n v="1136"/>
    <n v="2"/>
    <n v="2576"/>
    <n v="1288"/>
    <x v="0"/>
  </r>
  <r>
    <n v="1057"/>
    <n v="3"/>
    <n v="5290"/>
    <n v="1763.3333333333333"/>
    <x v="0"/>
  </r>
  <r>
    <n v="1533"/>
    <n v="6"/>
    <n v="15023"/>
    <n v="2503.8333333333335"/>
    <x v="0"/>
  </r>
  <r>
    <n v="1068"/>
    <n v="3"/>
    <n v="6898"/>
    <n v="2299.3333333333335"/>
    <x v="0"/>
  </r>
  <r>
    <n v="1486"/>
    <n v="3"/>
    <n v="11057"/>
    <n v="3685.6666666666665"/>
    <x v="0"/>
  </r>
  <r>
    <n v="1434"/>
    <n v="2"/>
    <n v="7636"/>
    <n v="3818"/>
    <x v="0"/>
  </r>
  <r>
    <n v="1219"/>
    <n v="1"/>
    <n v="2396"/>
    <n v="2396"/>
    <x v="1"/>
  </r>
  <r>
    <n v="1255"/>
    <n v="1"/>
    <n v="1584"/>
    <n v="1584"/>
    <x v="1"/>
  </r>
  <r>
    <n v="1480"/>
    <n v="2"/>
    <n v="4012"/>
    <n v="2006"/>
    <x v="0"/>
  </r>
  <r>
    <n v="1555"/>
    <n v="1"/>
    <n v="3811"/>
    <n v="3811"/>
    <x v="1"/>
  </r>
  <r>
    <n v="1333"/>
    <n v="1"/>
    <n v="3046"/>
    <n v="3046"/>
    <x v="1"/>
  </r>
  <r>
    <n v="1240"/>
    <n v="1"/>
    <n v="3830"/>
    <n v="3830"/>
    <x v="1"/>
  </r>
  <r>
    <n v="1290"/>
    <n v="4"/>
    <n v="9093"/>
    <n v="2273.25"/>
    <x v="0"/>
  </r>
  <r>
    <n v="1479"/>
    <n v="1"/>
    <n v="4035"/>
    <n v="4035"/>
    <x v="1"/>
  </r>
  <r>
    <n v="1487"/>
    <n v="1"/>
    <n v="3942"/>
    <n v="3942"/>
    <x v="1"/>
  </r>
  <r>
    <n v="1355"/>
    <n v="1"/>
    <n v="3693"/>
    <n v="3693"/>
    <x v="1"/>
  </r>
  <r>
    <n v="1045"/>
    <n v="1"/>
    <n v="1380"/>
    <n v="1380"/>
    <x v="1"/>
  </r>
  <r>
    <n v="1528"/>
    <n v="1"/>
    <n v="4921"/>
    <n v="492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4">
  <r>
    <x v="0"/>
    <n v="9"/>
    <n v="32724"/>
    <n v="3636"/>
    <x v="0"/>
    <n v="32724"/>
    <n v="4.2793862237607413E-3"/>
    <x v="0"/>
  </r>
  <r>
    <x v="1"/>
    <n v="10"/>
    <n v="31829"/>
    <n v="3182.9"/>
    <x v="0"/>
    <n v="64553"/>
    <n v="8.4417314173825669E-3"/>
    <x v="0"/>
  </r>
  <r>
    <x v="2"/>
    <n v="11"/>
    <n v="31692"/>
    <n v="2881.090909090909"/>
    <x v="0"/>
    <n v="96245"/>
    <n v="1.2586160833206593E-2"/>
    <x v="0"/>
  </r>
  <r>
    <x v="3"/>
    <n v="8"/>
    <n v="31625"/>
    <n v="3953.125"/>
    <x v="0"/>
    <n v="127870"/>
    <n v="1.6721828518282789E-2"/>
    <x v="0"/>
  </r>
  <r>
    <x v="4"/>
    <n v="9"/>
    <n v="31604"/>
    <n v="3511.5555555555557"/>
    <x v="0"/>
    <n v="159474"/>
    <n v="2.0854749989243995E-2"/>
    <x v="0"/>
  </r>
  <r>
    <x v="5"/>
    <n v="10"/>
    <n v="31497"/>
    <n v="3149.7"/>
    <x v="0"/>
    <n v="190971"/>
    <n v="2.4973678845428816E-2"/>
    <x v="0"/>
  </r>
  <r>
    <x v="6"/>
    <n v="12"/>
    <n v="30814"/>
    <n v="2567.8333333333335"/>
    <x v="0"/>
    <n v="221785"/>
    <n v="2.9003290356826063E-2"/>
    <x v="0"/>
  </r>
  <r>
    <x v="7"/>
    <n v="9"/>
    <n v="30544"/>
    <n v="3393.7777777777778"/>
    <x v="0"/>
    <n v="252329"/>
    <n v="3.2997593401030562E-2"/>
    <x v="0"/>
  </r>
  <r>
    <x v="8"/>
    <n v="8"/>
    <n v="30277"/>
    <n v="3784.625"/>
    <x v="0"/>
    <n v="282606"/>
    <n v="3.6956980294344459E-2"/>
    <x v="0"/>
  </r>
  <r>
    <x v="9"/>
    <n v="9"/>
    <n v="29957"/>
    <n v="3328.5555555555557"/>
    <x v="0"/>
    <n v="312563"/>
    <n v="4.087452011542992E-2"/>
    <x v="0"/>
  </r>
  <r>
    <x v="10"/>
    <n v="8"/>
    <n v="29780"/>
    <n v="3722.5"/>
    <x v="0"/>
    <n v="342343"/>
    <n v="4.4768913274689022E-2"/>
    <x v="0"/>
  </r>
  <r>
    <x v="11"/>
    <n v="10"/>
    <n v="29588"/>
    <n v="2958.8"/>
    <x v="0"/>
    <n v="371931"/>
    <n v="4.8638198190611062E-2"/>
    <x v="0"/>
  </r>
  <r>
    <x v="12"/>
    <n v="10"/>
    <n v="29328"/>
    <n v="2932.8"/>
    <x v="0"/>
    <n v="401259"/>
    <n v="5.247348236034749E-2"/>
    <x v="0"/>
  </r>
  <r>
    <x v="13"/>
    <n v="11"/>
    <n v="28820"/>
    <n v="2620"/>
    <x v="0"/>
    <n v="430079"/>
    <n v="5.6242334302921276E-2"/>
    <x v="0"/>
  </r>
  <r>
    <x v="14"/>
    <n v="9"/>
    <n v="28787"/>
    <n v="3198.5555555555557"/>
    <x v="0"/>
    <n v="458866"/>
    <n v="6.0006870766171505E-2"/>
    <x v="0"/>
  </r>
  <r>
    <x v="15"/>
    <n v="10"/>
    <n v="28154"/>
    <n v="2815.4"/>
    <x v="0"/>
    <n v="487020"/>
    <n v="6.3688628489669857E-2"/>
    <x v="0"/>
  </r>
  <r>
    <x v="16"/>
    <n v="11"/>
    <n v="27710"/>
    <n v="2519.090909090909"/>
    <x v="0"/>
    <n v="514730"/>
    <n v="6.7312323400451249E-2"/>
    <x v="0"/>
  </r>
  <r>
    <x v="17"/>
    <n v="9"/>
    <n v="27521"/>
    <n v="3057.8888888888887"/>
    <x v="0"/>
    <n v="542251"/>
    <n v="7.0911302384197711E-2"/>
    <x v="0"/>
  </r>
  <r>
    <x v="18"/>
    <n v="11"/>
    <n v="27492"/>
    <n v="2499.2727272727275"/>
    <x v="0"/>
    <n v="569743"/>
    <n v="7.4506488977023472E-2"/>
    <x v="0"/>
  </r>
  <r>
    <x v="19"/>
    <n v="8"/>
    <n v="27394"/>
    <n v="3424.25"/>
    <x v="0"/>
    <n v="597137"/>
    <n v="7.8088859903979277E-2"/>
    <x v="0"/>
  </r>
  <r>
    <x v="20"/>
    <n v="10"/>
    <n v="27342"/>
    <n v="2734.2"/>
    <x v="0"/>
    <n v="624479"/>
    <n v="8.1664430681697958E-2"/>
    <x v="0"/>
  </r>
  <r>
    <x v="21"/>
    <n v="10"/>
    <n v="27243"/>
    <n v="2724.3"/>
    <x v="0"/>
    <n v="651722"/>
    <n v="8.5227055021445966E-2"/>
    <x v="0"/>
  </r>
  <r>
    <x v="22"/>
    <n v="9"/>
    <n v="27179"/>
    <n v="3019.8888888888887"/>
    <x v="0"/>
    <n v="678901"/>
    <n v="8.8781309946748294E-2"/>
    <x v="0"/>
  </r>
  <r>
    <x v="23"/>
    <n v="12"/>
    <n v="26958"/>
    <n v="2246.5"/>
    <x v="0"/>
    <n v="705859"/>
    <n v="9.2306664237792851E-2"/>
    <x v="0"/>
  </r>
  <r>
    <x v="24"/>
    <n v="10"/>
    <n v="26753"/>
    <n v="2675.3"/>
    <x v="0"/>
    <n v="732612"/>
    <n v="9.5805210248191067E-2"/>
    <x v="0"/>
  </r>
  <r>
    <x v="25"/>
    <n v="8"/>
    <n v="26638"/>
    <n v="3329.75"/>
    <x v="0"/>
    <n v="759250"/>
    <n v="9.9288717467007181E-2"/>
    <x v="0"/>
  </r>
  <r>
    <x v="26"/>
    <n v="9"/>
    <n v="26577"/>
    <n v="2953"/>
    <x v="0"/>
    <n v="785827"/>
    <n v="0.10276424758767976"/>
    <x v="0"/>
  </r>
  <r>
    <x v="27"/>
    <n v="11"/>
    <n v="26364"/>
    <n v="2396.7272727272725"/>
    <x v="0"/>
    <n v="812191"/>
    <n v="0.10621192325090027"/>
    <x v="0"/>
  </r>
  <r>
    <x v="28"/>
    <n v="8"/>
    <n v="26307"/>
    <n v="3288.375"/>
    <x v="0"/>
    <n v="838498"/>
    <n v="0.10965214490438009"/>
    <x v="0"/>
  </r>
  <r>
    <x v="29"/>
    <n v="8"/>
    <n v="26169"/>
    <n v="3271.125"/>
    <x v="0"/>
    <n v="864667"/>
    <n v="0.1130743200079614"/>
    <x v="0"/>
  </r>
  <r>
    <x v="30"/>
    <n v="9"/>
    <n v="25851"/>
    <n v="2872.3333333333335"/>
    <x v="0"/>
    <n v="890518"/>
    <n v="0.1164549095835157"/>
    <x v="0"/>
  </r>
  <r>
    <x v="31"/>
    <n v="7"/>
    <n v="25618"/>
    <n v="3659.7142857142858"/>
    <x v="0"/>
    <n v="916136"/>
    <n v="0.11980502925960368"/>
    <x v="0"/>
  </r>
  <r>
    <x v="32"/>
    <n v="9"/>
    <n v="25383"/>
    <n v="2820.3333333333335"/>
    <x v="0"/>
    <n v="941519"/>
    <n v="0.12312441749202388"/>
    <x v="0"/>
  </r>
  <r>
    <x v="33"/>
    <n v="9"/>
    <n v="25324"/>
    <n v="2813.7777777777778"/>
    <x v="0"/>
    <n v="966843"/>
    <n v="0.12643609017050197"/>
    <x v="0"/>
  </r>
  <r>
    <x v="34"/>
    <n v="12"/>
    <n v="25200"/>
    <n v="2100"/>
    <x v="0"/>
    <n v="992043"/>
    <n v="0.12973154710849155"/>
    <x v="0"/>
  </r>
  <r>
    <x v="35"/>
    <n v="12"/>
    <n v="25162"/>
    <n v="2096.8333333333335"/>
    <x v="0"/>
    <n v="1017205"/>
    <n v="0.133022034706654"/>
    <x v="0"/>
  </r>
  <r>
    <x v="36"/>
    <n v="10"/>
    <n v="25105"/>
    <n v="2510.5"/>
    <x v="0"/>
    <n v="1042310"/>
    <n v="0.13630506829507574"/>
    <x v="0"/>
  </r>
  <r>
    <x v="37"/>
    <n v="7"/>
    <n v="24936"/>
    <n v="3562.2857142857142"/>
    <x v="0"/>
    <n v="1067246"/>
    <n v="0.13956600139847686"/>
    <x v="0"/>
  </r>
  <r>
    <x v="38"/>
    <n v="9"/>
    <n v="24820"/>
    <n v="2757.7777777777778"/>
    <x v="0"/>
    <n v="1092066"/>
    <n v="0.14281176493819514"/>
    <x v="0"/>
  </r>
  <r>
    <x v="39"/>
    <n v="8"/>
    <n v="24726"/>
    <n v="3090.75"/>
    <x v="0"/>
    <n v="1116792"/>
    <n v="0.14604523590044635"/>
    <x v="0"/>
  </r>
  <r>
    <x v="40"/>
    <n v="8"/>
    <n v="24658"/>
    <n v="3082.25"/>
    <x v="0"/>
    <n v="1141450"/>
    <n v="0.14926981435984898"/>
    <x v="0"/>
  </r>
  <r>
    <x v="41"/>
    <n v="8"/>
    <n v="24600"/>
    <n v="3075"/>
    <x v="0"/>
    <n v="1166050"/>
    <n v="0.15248680803741024"/>
    <x v="0"/>
  </r>
  <r>
    <x v="42"/>
    <n v="8"/>
    <n v="23790"/>
    <n v="2973.75"/>
    <x v="0"/>
    <n v="1189840"/>
    <n v="0.15559787631339325"/>
    <x v="0"/>
  </r>
  <r>
    <x v="43"/>
    <n v="8"/>
    <n v="23752"/>
    <n v="2969"/>
    <x v="0"/>
    <n v="1213592"/>
    <n v="0.15870397524954913"/>
    <x v="0"/>
  </r>
  <r>
    <x v="44"/>
    <n v="10"/>
    <n v="23659"/>
    <n v="2365.9"/>
    <x v="0"/>
    <n v="1237251"/>
    <n v="0.16179791238033864"/>
    <x v="0"/>
  </r>
  <r>
    <x v="45"/>
    <n v="8"/>
    <n v="23612"/>
    <n v="2951.5"/>
    <x v="0"/>
    <n v="1260863"/>
    <n v="0.16488570322239457"/>
    <x v="0"/>
  </r>
  <r>
    <x v="46"/>
    <n v="11"/>
    <n v="23555"/>
    <n v="2141.3636363636365"/>
    <x v="0"/>
    <n v="1284418"/>
    <n v="0.1679660400547098"/>
    <x v="0"/>
  </r>
  <r>
    <x v="47"/>
    <n v="7"/>
    <n v="23237"/>
    <n v="3319.5714285714284"/>
    <x v="0"/>
    <n v="1307655"/>
    <n v="0.17100479135899804"/>
    <x v="0"/>
  </r>
  <r>
    <x v="48"/>
    <n v="8"/>
    <n v="23070"/>
    <n v="2883.75"/>
    <x v="0"/>
    <n v="1330725"/>
    <n v="0.17402170372246709"/>
    <x v="0"/>
  </r>
  <r>
    <x v="49"/>
    <n v="9"/>
    <n v="22845"/>
    <n v="2538.3333333333335"/>
    <x v="0"/>
    <n v="1353570"/>
    <n v="0.17700919236327547"/>
    <x v="0"/>
  </r>
  <r>
    <x v="50"/>
    <n v="7"/>
    <n v="22808"/>
    <n v="3258.2857142857142"/>
    <x v="0"/>
    <n v="1376378"/>
    <n v="0.17999184243635746"/>
    <x v="0"/>
  </r>
  <r>
    <x v="51"/>
    <n v="9"/>
    <n v="22707"/>
    <n v="2523"/>
    <x v="0"/>
    <n v="1399085"/>
    <n v="0.18296128452726734"/>
    <x v="0"/>
  </r>
  <r>
    <x v="52"/>
    <n v="7"/>
    <n v="22685"/>
    <n v="3240.7142857142858"/>
    <x v="0"/>
    <n v="1421770"/>
    <n v="0.18592784963196154"/>
    <x v="0"/>
  </r>
  <r>
    <x v="53"/>
    <n v="7"/>
    <n v="22629"/>
    <n v="3232.7142857142858"/>
    <x v="0"/>
    <n v="1444399"/>
    <n v="0.18888709149901575"/>
    <x v="0"/>
  </r>
  <r>
    <x v="54"/>
    <n v="7"/>
    <n v="22571"/>
    <n v="3224.4285714285716"/>
    <x v="0"/>
    <n v="1466970"/>
    <n v="0.19183874858422856"/>
    <x v="0"/>
  </r>
  <r>
    <x v="55"/>
    <n v="7"/>
    <n v="22533"/>
    <n v="3219"/>
    <x v="0"/>
    <n v="1489503"/>
    <n v="0.19478543632961423"/>
    <x v="0"/>
  </r>
  <r>
    <x v="56"/>
    <n v="6"/>
    <n v="22413"/>
    <n v="3735.5"/>
    <x v="0"/>
    <n v="1511916"/>
    <n v="0.19771643142291423"/>
    <x v="0"/>
  </r>
  <r>
    <x v="57"/>
    <n v="6"/>
    <n v="22402"/>
    <n v="3733.6666666666665"/>
    <x v="0"/>
    <n v="1534318"/>
    <n v="0.20064598802310638"/>
    <x v="0"/>
  </r>
  <r>
    <x v="58"/>
    <n v="8"/>
    <n v="22396"/>
    <n v="2799.5"/>
    <x v="0"/>
    <n v="1556714"/>
    <n v="0.20357475999069427"/>
    <x v="0"/>
  </r>
  <r>
    <x v="59"/>
    <n v="6"/>
    <n v="22134"/>
    <n v="3689"/>
    <x v="0"/>
    <n v="1578848"/>
    <n v="0.20646926966789508"/>
    <x v="0"/>
  </r>
  <r>
    <x v="60"/>
    <n v="7"/>
    <n v="22013"/>
    <n v="3144.7142857142858"/>
    <x v="0"/>
    <n v="1600861"/>
    <n v="0.20934795592090955"/>
    <x v="0"/>
  </r>
  <r>
    <x v="61"/>
    <n v="7"/>
    <n v="21978"/>
    <n v="3139.7142857142858"/>
    <x v="0"/>
    <n v="1622839"/>
    <n v="0.21222206515039904"/>
    <x v="0"/>
  </r>
  <r>
    <x v="62"/>
    <n v="6"/>
    <n v="21962"/>
    <n v="3660.3333333333335"/>
    <x v="0"/>
    <n v="1644801"/>
    <n v="0.21509408202627708"/>
    <x v="0"/>
  </r>
  <r>
    <x v="63"/>
    <n v="7"/>
    <n v="21753"/>
    <n v="3107.5714285714284"/>
    <x v="0"/>
    <n v="1666554"/>
    <n v="0.21793876753310593"/>
    <x v="0"/>
  </r>
  <r>
    <x v="64"/>
    <n v="8"/>
    <n v="21732"/>
    <n v="2716.5"/>
    <x v="0"/>
    <n v="1688286"/>
    <n v="0.22078070682581979"/>
    <x v="0"/>
  </r>
  <r>
    <x v="65"/>
    <n v="8"/>
    <n v="21662"/>
    <n v="2707.75"/>
    <x v="0"/>
    <n v="1709948"/>
    <n v="0.2236134920714837"/>
    <x v="0"/>
  </r>
  <r>
    <x v="66"/>
    <n v="9"/>
    <n v="21649"/>
    <n v="2405.4444444444443"/>
    <x v="0"/>
    <n v="1731597"/>
    <n v="0.2264445772798383"/>
    <x v="0"/>
  </r>
  <r>
    <x v="67"/>
    <n v="8"/>
    <n v="21581"/>
    <n v="2697.625"/>
    <x v="0"/>
    <n v="1753178"/>
    <n v="0.22926676998534437"/>
    <x v="0"/>
  </r>
  <r>
    <x v="68"/>
    <n v="7"/>
    <n v="21479"/>
    <n v="3068.4285714285716"/>
    <x v="0"/>
    <n v="1774657"/>
    <n v="0.23207562393657763"/>
    <x v="0"/>
  </r>
  <r>
    <x v="69"/>
    <n v="6"/>
    <n v="21432"/>
    <n v="3572"/>
    <x v="0"/>
    <n v="1796089"/>
    <n v="0.23487833159907731"/>
    <x v="0"/>
  </r>
  <r>
    <x v="70"/>
    <n v="9"/>
    <n v="21429"/>
    <n v="2381"/>
    <x v="0"/>
    <n v="1817518"/>
    <n v="0.23768064694527488"/>
    <x v="0"/>
  </r>
  <r>
    <x v="71"/>
    <n v="7"/>
    <n v="21427"/>
    <n v="3061"/>
    <x v="0"/>
    <n v="1838945"/>
    <n v="0.24048270074727102"/>
    <x v="0"/>
  </r>
  <r>
    <x v="72"/>
    <n v="8"/>
    <n v="21418"/>
    <n v="2677.25"/>
    <x v="0"/>
    <n v="1860363"/>
    <n v="0.24328357760036073"/>
    <x v="0"/>
  </r>
  <r>
    <x v="73"/>
    <n v="6"/>
    <n v="21387"/>
    <n v="3564.5"/>
    <x v="0"/>
    <n v="1881750"/>
    <n v="0.2460804005183283"/>
    <x v="0"/>
  </r>
  <r>
    <x v="74"/>
    <n v="8"/>
    <n v="21240"/>
    <n v="2655"/>
    <x v="0"/>
    <n v="1902990"/>
    <n v="0.24885799993749094"/>
    <x v="0"/>
  </r>
  <r>
    <x v="75"/>
    <n v="6"/>
    <n v="21175"/>
    <n v="3529.1666666666665"/>
    <x v="0"/>
    <n v="1924165"/>
    <n v="0.25162709917010717"/>
    <x v="0"/>
  </r>
  <r>
    <x v="76"/>
    <n v="6"/>
    <n v="21042"/>
    <n v="3507"/>
    <x v="0"/>
    <n v="1945207"/>
    <n v="0.25437880571332844"/>
    <x v="0"/>
  </r>
  <r>
    <x v="77"/>
    <n v="6"/>
    <n v="21040"/>
    <n v="3506.6666666666665"/>
    <x v="0"/>
    <n v="1966247"/>
    <n v="0.25713025071234835"/>
    <x v="0"/>
  </r>
  <r>
    <x v="78"/>
    <n v="8"/>
    <n v="20830"/>
    <n v="2603.75"/>
    <x v="0"/>
    <n v="1987077"/>
    <n v="0.25985423357021825"/>
    <x v="0"/>
  </r>
  <r>
    <x v="79"/>
    <n v="10"/>
    <n v="20781"/>
    <n v="2078.1"/>
    <x v="0"/>
    <n v="2007858"/>
    <n v="0.26257180859515322"/>
    <x v="0"/>
  </r>
  <r>
    <x v="80"/>
    <n v="6"/>
    <n v="20781"/>
    <n v="3463.5"/>
    <x v="0"/>
    <n v="2028639"/>
    <n v="0.26528938362008819"/>
    <x v="0"/>
  </r>
  <r>
    <x v="81"/>
    <n v="7"/>
    <n v="20728"/>
    <n v="2961.1428571428573"/>
    <x v="0"/>
    <n v="2049367"/>
    <n v="0.26800002772368536"/>
    <x v="0"/>
  </r>
  <r>
    <x v="82"/>
    <n v="7"/>
    <n v="20691"/>
    <n v="2955.8571428571427"/>
    <x v="0"/>
    <n v="2070058"/>
    <n v="0.27070583325955605"/>
    <x v="0"/>
  </r>
  <r>
    <x v="83"/>
    <n v="7"/>
    <n v="20549"/>
    <n v="2935.5714285714284"/>
    <x v="0"/>
    <n v="2090607"/>
    <n v="0.27339306915712541"/>
    <x v="0"/>
  </r>
  <r>
    <x v="84"/>
    <n v="8"/>
    <n v="20444"/>
    <n v="2555.5"/>
    <x v="0"/>
    <n v="2111051"/>
    <n v="0.27606657398411982"/>
    <x v="0"/>
  </r>
  <r>
    <x v="85"/>
    <n v="7"/>
    <n v="20427"/>
    <n v="2918.1428571428573"/>
    <x v="0"/>
    <n v="2131478"/>
    <n v="0.2787378556854021"/>
    <x v="0"/>
  </r>
  <r>
    <x v="86"/>
    <n v="8"/>
    <n v="20391"/>
    <n v="2548.875"/>
    <x v="0"/>
    <n v="2151869"/>
    <n v="0.28140442959105866"/>
    <x v="0"/>
  </r>
  <r>
    <x v="87"/>
    <n v="7"/>
    <n v="20387"/>
    <n v="2912.4285714285716"/>
    <x v="0"/>
    <n v="2172256"/>
    <n v="0.28407048040831234"/>
    <x v="0"/>
  </r>
  <r>
    <x v="88"/>
    <n v="9"/>
    <n v="20179"/>
    <n v="2242.1111111111113"/>
    <x v="0"/>
    <n v="2192435"/>
    <n v="0.28670933062861759"/>
    <x v="0"/>
  </r>
  <r>
    <x v="89"/>
    <n v="6"/>
    <n v="20152"/>
    <n v="3358.6666666666665"/>
    <x v="0"/>
    <n v="2212587"/>
    <n v="0.2893446500022035"/>
    <x v="0"/>
  </r>
  <r>
    <x v="90"/>
    <n v="6"/>
    <n v="20130"/>
    <n v="3355"/>
    <x v="0"/>
    <n v="2232717"/>
    <n v="0.29197709238957376"/>
    <x v="0"/>
  </r>
  <r>
    <x v="91"/>
    <n v="8"/>
    <n v="20121"/>
    <n v="2515.125"/>
    <x v="0"/>
    <n v="2252838"/>
    <n v="0.29460835782803757"/>
    <x v="0"/>
  </r>
  <r>
    <x v="92"/>
    <n v="8"/>
    <n v="20065"/>
    <n v="2508.125"/>
    <x v="0"/>
    <n v="2272903"/>
    <n v="0.29723230002886142"/>
    <x v="0"/>
  </r>
  <r>
    <x v="93"/>
    <n v="7"/>
    <n v="20037"/>
    <n v="2862.4285714285716"/>
    <x v="0"/>
    <n v="2292940"/>
    <n v="0.29985258061086523"/>
    <x v="0"/>
  </r>
  <r>
    <x v="94"/>
    <n v="7"/>
    <n v="20036"/>
    <n v="2862.2857142857142"/>
    <x v="0"/>
    <n v="2312976"/>
    <n v="0.30247273042076839"/>
    <x v="0"/>
  </r>
  <r>
    <x v="95"/>
    <n v="6"/>
    <n v="19873"/>
    <n v="3312.1666666666665"/>
    <x v="0"/>
    <n v="2332849"/>
    <n v="0.30507156437825517"/>
    <x v="0"/>
  </r>
  <r>
    <x v="96"/>
    <n v="8"/>
    <n v="19794"/>
    <n v="2474.25"/>
    <x v="0"/>
    <n v="2352643"/>
    <n v="0.30766006733978551"/>
    <x v="0"/>
  </r>
  <r>
    <x v="97"/>
    <n v="8"/>
    <n v="19772"/>
    <n v="2471.5"/>
    <x v="0"/>
    <n v="2372415"/>
    <n v="0.31024569331510021"/>
    <x v="0"/>
  </r>
  <r>
    <x v="98"/>
    <n v="9"/>
    <n v="19761"/>
    <n v="2195.6666666666665"/>
    <x v="0"/>
    <n v="2392176"/>
    <n v="0.31282988079730706"/>
    <x v="0"/>
  </r>
  <r>
    <x v="99"/>
    <n v="7"/>
    <n v="19724"/>
    <n v="2817.7142857142858"/>
    <x v="0"/>
    <n v="2411900"/>
    <n v="0.31540922971178742"/>
    <x v="0"/>
  </r>
  <r>
    <x v="100"/>
    <n v="9"/>
    <n v="19503"/>
    <n v="2167"/>
    <x v="0"/>
    <n v="2431403"/>
    <n v="0.31795967799201008"/>
    <x v="0"/>
  </r>
  <r>
    <x v="101"/>
    <n v="7"/>
    <n v="19414"/>
    <n v="2773.4285714285716"/>
    <x v="0"/>
    <n v="2450817"/>
    <n v="0.32049848755526922"/>
    <x v="0"/>
  </r>
  <r>
    <x v="102"/>
    <n v="9"/>
    <n v="19358"/>
    <n v="2150.8888888888887"/>
    <x v="0"/>
    <n v="2470175"/>
    <n v="0.32302997388088833"/>
    <x v="0"/>
  </r>
  <r>
    <x v="103"/>
    <n v="9"/>
    <n v="19320"/>
    <n v="2146.6666666666665"/>
    <x v="0"/>
    <n v="2489495"/>
    <n v="0.32555649086668031"/>
    <x v="0"/>
  </r>
  <r>
    <x v="104"/>
    <n v="7"/>
    <n v="19234"/>
    <n v="2747.7142857142858"/>
    <x v="0"/>
    <n v="2508729"/>
    <n v="0.32807176145181094"/>
    <x v="0"/>
  </r>
  <r>
    <x v="105"/>
    <n v="8"/>
    <n v="19072"/>
    <n v="2384"/>
    <x v="0"/>
    <n v="2527801"/>
    <n v="0.33056584695662589"/>
    <x v="0"/>
  </r>
  <r>
    <x v="106"/>
    <n v="7"/>
    <n v="19022"/>
    <n v="2717.4285714285716"/>
    <x v="0"/>
    <n v="2546823"/>
    <n v="0.33305339385640514"/>
    <x v="0"/>
  </r>
  <r>
    <x v="107"/>
    <n v="6"/>
    <n v="18924"/>
    <n v="3154"/>
    <x v="0"/>
    <n v="2565747"/>
    <n v="0.33552812509031449"/>
    <x v="0"/>
  </r>
  <r>
    <x v="108"/>
    <n v="7"/>
    <n v="18907"/>
    <n v="2701"/>
    <x v="0"/>
    <n v="2584654"/>
    <n v="0.33800063319851165"/>
    <x v="0"/>
  </r>
  <r>
    <x v="109"/>
    <n v="8"/>
    <n v="18898"/>
    <n v="2362.25"/>
    <x v="0"/>
    <n v="2603552"/>
    <n v="0.34047196435780241"/>
    <x v="0"/>
  </r>
  <r>
    <x v="110"/>
    <n v="7"/>
    <n v="18881"/>
    <n v="2697.2857142857142"/>
    <x v="0"/>
    <n v="2622433"/>
    <n v="0.342941072391381"/>
    <x v="0"/>
  </r>
  <r>
    <x v="111"/>
    <n v="8"/>
    <n v="18828"/>
    <n v="2353.5"/>
    <x v="0"/>
    <n v="2641261"/>
    <n v="0.34540324950362178"/>
    <x v="0"/>
  </r>
  <r>
    <x v="112"/>
    <n v="6"/>
    <n v="18782"/>
    <n v="3130.3333333333335"/>
    <x v="0"/>
    <n v="2660043"/>
    <n v="0.34785941109922974"/>
    <x v="0"/>
  </r>
  <r>
    <x v="113"/>
    <n v="7"/>
    <n v="18649"/>
    <n v="2664.1428571428573"/>
    <x v="0"/>
    <n v="2678692"/>
    <n v="0.35029818000544272"/>
    <x v="0"/>
  </r>
  <r>
    <x v="114"/>
    <n v="6"/>
    <n v="18521"/>
    <n v="3086.8333333333335"/>
    <x v="0"/>
    <n v="2697213"/>
    <n v="0.35272021008276433"/>
    <x v="0"/>
  </r>
  <r>
    <x v="115"/>
    <n v="5"/>
    <n v="18497"/>
    <n v="3699.4"/>
    <x v="0"/>
    <n v="2715710"/>
    <n v="0.35513910162966883"/>
    <x v="0"/>
  </r>
  <r>
    <x v="116"/>
    <n v="7"/>
    <n v="18462"/>
    <n v="2637.4285714285716"/>
    <x v="0"/>
    <n v="2734172"/>
    <n v="0.35755341615304836"/>
    <x v="0"/>
  </r>
  <r>
    <x v="117"/>
    <n v="6"/>
    <n v="18422"/>
    <n v="3070.3333333333335"/>
    <x v="0"/>
    <n v="2752594"/>
    <n v="0.3599624997923993"/>
    <x v="0"/>
  </r>
  <r>
    <x v="118"/>
    <n v="8"/>
    <n v="18366"/>
    <n v="2295.75"/>
    <x v="0"/>
    <n v="2770960"/>
    <n v="0.36236426019411028"/>
    <x v="0"/>
  </r>
  <r>
    <x v="119"/>
    <n v="6"/>
    <n v="18301"/>
    <n v="3050.1666666666665"/>
    <x v="0"/>
    <n v="2789261"/>
    <n v="0.36475752040927484"/>
    <x v="0"/>
  </r>
  <r>
    <x v="120"/>
    <n v="5"/>
    <n v="18295"/>
    <n v="3659"/>
    <x v="0"/>
    <n v="2807556"/>
    <n v="0.36714999599183512"/>
    <x v="0"/>
  </r>
  <r>
    <x v="121"/>
    <n v="7"/>
    <n v="18286"/>
    <n v="2612.2857142857142"/>
    <x v="0"/>
    <n v="2825842"/>
    <n v="0.36954129462548896"/>
    <x v="0"/>
  </r>
  <r>
    <x v="122"/>
    <n v="6"/>
    <n v="18223"/>
    <n v="3037.1666666666665"/>
    <x v="0"/>
    <n v="2844065"/>
    <n v="0.37192435461679785"/>
    <x v="0"/>
  </r>
  <r>
    <x v="123"/>
    <n v="5"/>
    <n v="18220"/>
    <n v="3644"/>
    <x v="0"/>
    <n v="2862285"/>
    <n v="0.37430702229180463"/>
    <x v="0"/>
  </r>
  <r>
    <x v="124"/>
    <n v="5"/>
    <n v="18220"/>
    <n v="3644"/>
    <x v="0"/>
    <n v="2880505"/>
    <n v="0.37668968996681135"/>
    <x v="0"/>
  </r>
  <r>
    <x v="125"/>
    <n v="7"/>
    <n v="18209"/>
    <n v="2601.2857142857142"/>
    <x v="0"/>
    <n v="2898714"/>
    <n v="0.37907091914871022"/>
    <x v="0"/>
  </r>
  <r>
    <x v="126"/>
    <n v="7"/>
    <n v="18176"/>
    <n v="2596.5714285714284"/>
    <x v="0"/>
    <n v="2916890"/>
    <n v="0.38144783285128558"/>
    <x v="0"/>
  </r>
  <r>
    <x v="127"/>
    <n v="7"/>
    <n v="18110"/>
    <n v="2587.1428571428573"/>
    <x v="0"/>
    <n v="2935000"/>
    <n v="0.38381611559521378"/>
    <x v="0"/>
  </r>
  <r>
    <x v="128"/>
    <n v="6"/>
    <n v="18031"/>
    <n v="3005.1666666666665"/>
    <x v="0"/>
    <n v="2953031"/>
    <n v="0.3861740673431856"/>
    <x v="0"/>
  </r>
  <r>
    <x v="129"/>
    <n v="7"/>
    <n v="17965"/>
    <n v="2566.4285714285716"/>
    <x v="0"/>
    <n v="2970996"/>
    <n v="0.38852338813251031"/>
    <x v="0"/>
  </r>
  <r>
    <x v="130"/>
    <n v="7"/>
    <n v="17953"/>
    <n v="2564.7142857142858"/>
    <x v="0"/>
    <n v="2988949"/>
    <n v="0.39087113965662645"/>
    <x v="0"/>
  </r>
  <r>
    <x v="131"/>
    <n v="8"/>
    <n v="17938"/>
    <n v="2242.25"/>
    <x v="0"/>
    <n v="3006887"/>
    <n v="0.39321692959923188"/>
    <x v="0"/>
  </r>
  <r>
    <x v="132"/>
    <n v="6"/>
    <n v="17879"/>
    <n v="2979.8333333333335"/>
    <x v="0"/>
    <n v="3024766"/>
    <n v="0.39555500398789523"/>
    <x v="0"/>
  </r>
  <r>
    <x v="133"/>
    <n v="8"/>
    <n v="17808"/>
    <n v="2226"/>
    <x v="0"/>
    <n v="3042574"/>
    <n v="0.39788379355740783"/>
    <x v="0"/>
  </r>
  <r>
    <x v="134"/>
    <n v="6"/>
    <n v="17681"/>
    <n v="2946.8333333333335"/>
    <x v="0"/>
    <n v="3060255"/>
    <n v="0.40019597507012983"/>
    <x v="0"/>
  </r>
  <r>
    <x v="135"/>
    <n v="7"/>
    <n v="17670"/>
    <n v="2524.2857142857142"/>
    <x v="0"/>
    <n v="3077925"/>
    <n v="0.40250671808974392"/>
    <x v="0"/>
  </r>
  <r>
    <x v="136"/>
    <n v="8"/>
    <n v="17633"/>
    <n v="2204.125"/>
    <x v="0"/>
    <n v="3095558"/>
    <n v="0.40481262254163164"/>
    <x v="0"/>
  </r>
  <r>
    <x v="137"/>
    <n v="7"/>
    <n v="17573"/>
    <n v="2510.4285714285716"/>
    <x v="0"/>
    <n v="3113131"/>
    <n v="0.40711068066747652"/>
    <x v="0"/>
  </r>
  <r>
    <x v="138"/>
    <n v="5"/>
    <n v="17561"/>
    <n v="3512.2"/>
    <x v="0"/>
    <n v="3130692"/>
    <n v="0.40940716952811279"/>
    <x v="0"/>
  </r>
  <r>
    <x v="139"/>
    <n v="7"/>
    <n v="17484"/>
    <n v="2497.7142857142858"/>
    <x v="0"/>
    <n v="3148176"/>
    <n v="0.41169358893699415"/>
    <x v="0"/>
  </r>
  <r>
    <x v="140"/>
    <n v="7"/>
    <n v="17461"/>
    <n v="2494.4285714285716"/>
    <x v="0"/>
    <n v="3165637"/>
    <n v="0.41397700058755904"/>
    <x v="0"/>
  </r>
  <r>
    <x v="141"/>
    <n v="8"/>
    <n v="17428"/>
    <n v="2178.5"/>
    <x v="0"/>
    <n v="3183065"/>
    <n v="0.41625609675880043"/>
    <x v="0"/>
  </r>
  <r>
    <x v="142"/>
    <n v="7"/>
    <n v="17428"/>
    <n v="2489.7142857142858"/>
    <x v="0"/>
    <n v="3200493"/>
    <n v="0.41853519293004177"/>
    <x v="0"/>
  </r>
  <r>
    <x v="143"/>
    <n v="6"/>
    <n v="17349"/>
    <n v="2891.5"/>
    <x v="0"/>
    <n v="3217842"/>
    <n v="0.42080395810532673"/>
    <x v="0"/>
  </r>
  <r>
    <x v="144"/>
    <n v="7"/>
    <n v="17342"/>
    <n v="2477.4285714285716"/>
    <x v="0"/>
    <n v="3235184"/>
    <n v="0.4230718078759067"/>
    <x v="0"/>
  </r>
  <r>
    <x v="145"/>
    <n v="6"/>
    <n v="17322"/>
    <n v="2887"/>
    <x v="0"/>
    <n v="3252506"/>
    <n v="0.42533704220447238"/>
    <x v="0"/>
  </r>
  <r>
    <x v="146"/>
    <n v="7"/>
    <n v="17290"/>
    <n v="2470"/>
    <x v="0"/>
    <n v="3269796"/>
    <n v="0.42759809182581521"/>
    <x v="0"/>
  </r>
  <r>
    <x v="147"/>
    <n v="8"/>
    <n v="17273"/>
    <n v="2159.125"/>
    <x v="0"/>
    <n v="3287069"/>
    <n v="0.42985691832144596"/>
    <x v="0"/>
  </r>
  <r>
    <x v="148"/>
    <n v="7"/>
    <n v="17262"/>
    <n v="2466"/>
    <x v="0"/>
    <n v="3304331"/>
    <n v="0.4321143063239688"/>
    <x v="0"/>
  </r>
  <r>
    <x v="149"/>
    <n v="6"/>
    <n v="17200"/>
    <n v="2866.6666666666665"/>
    <x v="0"/>
    <n v="3321531"/>
    <n v="0.4343635864562474"/>
    <x v="0"/>
  </r>
  <r>
    <x v="150"/>
    <n v="6"/>
    <n v="17140"/>
    <n v="2856.6666666666665"/>
    <x v="0"/>
    <n v="3338671"/>
    <n v="0.43660502026248316"/>
    <x v="0"/>
  </r>
  <r>
    <x v="151"/>
    <n v="5"/>
    <n v="17122"/>
    <n v="3424.4"/>
    <x v="0"/>
    <n v="3355793"/>
    <n v="0.43884410017090608"/>
    <x v="0"/>
  </r>
  <r>
    <x v="152"/>
    <n v="6"/>
    <n v="17113"/>
    <n v="2852.1666666666665"/>
    <x v="0"/>
    <n v="3372906"/>
    <n v="0.44108200313042256"/>
    <x v="0"/>
  </r>
  <r>
    <x v="153"/>
    <n v="7"/>
    <n v="16977"/>
    <n v="2425.2857142857142"/>
    <x v="0"/>
    <n v="3389883"/>
    <n v="0.44330212108424194"/>
    <x v="0"/>
  </r>
  <r>
    <x v="154"/>
    <n v="8"/>
    <n v="16950"/>
    <n v="2118.75"/>
    <x v="0"/>
    <n v="3406833"/>
    <n v="0.44551870819134209"/>
    <x v="0"/>
  </r>
  <r>
    <x v="155"/>
    <n v="5"/>
    <n v="16949"/>
    <n v="3389.8"/>
    <x v="0"/>
    <n v="3423782"/>
    <n v="0.44773516452634149"/>
    <x v="0"/>
  </r>
  <r>
    <x v="156"/>
    <n v="5"/>
    <n v="16936"/>
    <n v="3387.2"/>
    <x v="0"/>
    <n v="3440718"/>
    <n v="0.44994992082403162"/>
    <x v="0"/>
  </r>
  <r>
    <x v="157"/>
    <n v="4"/>
    <n v="16889"/>
    <n v="4222.25"/>
    <x v="0"/>
    <n v="3457607"/>
    <n v="0.45215853083298818"/>
    <x v="0"/>
  </r>
  <r>
    <x v="158"/>
    <n v="7"/>
    <n v="16873"/>
    <n v="2410.4285714285716"/>
    <x v="0"/>
    <n v="3474480"/>
    <n v="0.45436504848833337"/>
    <x v="0"/>
  </r>
  <r>
    <x v="159"/>
    <n v="8"/>
    <n v="16806"/>
    <n v="2100.75"/>
    <x v="0"/>
    <n v="3491286"/>
    <n v="0.45656280441293068"/>
    <x v="0"/>
  </r>
  <r>
    <x v="160"/>
    <n v="4"/>
    <n v="16789"/>
    <n v="4197.25"/>
    <x v="0"/>
    <n v="3508075"/>
    <n v="0.45875833721181591"/>
    <x v="0"/>
  </r>
  <r>
    <x v="161"/>
    <n v="5"/>
    <n v="16780"/>
    <n v="3356"/>
    <x v="0"/>
    <n v="3524855"/>
    <n v="0.46095269306179465"/>
    <x v="0"/>
  </r>
  <r>
    <x v="162"/>
    <n v="6"/>
    <n v="16660"/>
    <n v="2776.6666666666665"/>
    <x v="0"/>
    <n v="3541515"/>
    <n v="0.46313135625968777"/>
    <x v="0"/>
  </r>
  <r>
    <x v="163"/>
    <n v="9"/>
    <n v="16654"/>
    <n v="1850.4444444444443"/>
    <x v="0"/>
    <n v="3558169"/>
    <n v="0.4653092348249766"/>
    <x v="0"/>
  </r>
  <r>
    <x v="164"/>
    <n v="7"/>
    <n v="16652"/>
    <n v="2378.8571428571427"/>
    <x v="0"/>
    <n v="3574821"/>
    <n v="0.46748685184606398"/>
    <x v="0"/>
  </r>
  <r>
    <x v="165"/>
    <n v="6"/>
    <n v="16628"/>
    <n v="2771.3333333333335"/>
    <x v="0"/>
    <n v="3591449"/>
    <n v="0.46966133033673424"/>
    <x v="0"/>
  </r>
  <r>
    <x v="166"/>
    <n v="6"/>
    <n v="16535"/>
    <n v="2755.8333333333335"/>
    <x v="0"/>
    <n v="3607984"/>
    <n v="0.47182364702203811"/>
    <x v="0"/>
  </r>
  <r>
    <x v="167"/>
    <n v="5"/>
    <n v="16522"/>
    <n v="3304.4"/>
    <x v="0"/>
    <n v="3624506"/>
    <n v="0.47398426367003271"/>
    <x v="0"/>
  </r>
  <r>
    <x v="168"/>
    <n v="6"/>
    <n v="16495"/>
    <n v="2749.1666666666665"/>
    <x v="0"/>
    <n v="3641001"/>
    <n v="0.47614134947130804"/>
    <x v="0"/>
  </r>
  <r>
    <x v="169"/>
    <n v="7"/>
    <n v="16463"/>
    <n v="2351.8571428571427"/>
    <x v="0"/>
    <n v="3657464"/>
    <n v="0.47829425056536046"/>
    <x v="0"/>
  </r>
  <r>
    <x v="170"/>
    <n v="5"/>
    <n v="16416"/>
    <n v="3283.2"/>
    <x v="0"/>
    <n v="3673880"/>
    <n v="0.48044100537067941"/>
    <x v="0"/>
  </r>
  <r>
    <x v="171"/>
    <n v="6"/>
    <n v="16399"/>
    <n v="2733.1666666666665"/>
    <x v="0"/>
    <n v="3690279"/>
    <n v="0.48258553705028617"/>
    <x v="0"/>
  </r>
  <r>
    <x v="172"/>
    <n v="6"/>
    <n v="16336"/>
    <n v="2722.6666666666665"/>
    <x v="0"/>
    <n v="3706615"/>
    <n v="0.48472183008754799"/>
    <x v="0"/>
  </r>
  <r>
    <x v="173"/>
    <n v="8"/>
    <n v="16268"/>
    <n v="2033.5"/>
    <x v="0"/>
    <n v="3722883"/>
    <n v="0.48684923062196128"/>
    <x v="0"/>
  </r>
  <r>
    <x v="174"/>
    <n v="7"/>
    <n v="16263"/>
    <n v="2323.2857142857142"/>
    <x v="0"/>
    <n v="3739146"/>
    <n v="0.48897597729587094"/>
    <x v="0"/>
  </r>
  <r>
    <x v="175"/>
    <n v="7"/>
    <n v="16208"/>
    <n v="2315.4285714285716"/>
    <x v="0"/>
    <n v="3755354"/>
    <n v="0.4910955315042414"/>
    <x v="0"/>
  </r>
  <r>
    <x v="176"/>
    <n v="7"/>
    <n v="16161"/>
    <n v="2308.7142857142858"/>
    <x v="0"/>
    <n v="3771515"/>
    <n v="0.49320893942387828"/>
    <x v="0"/>
  </r>
  <r>
    <x v="177"/>
    <n v="6"/>
    <n v="16099"/>
    <n v="2683.1666666666665"/>
    <x v="0"/>
    <n v="3787614"/>
    <n v="0.49531423947327091"/>
    <x v="0"/>
  </r>
  <r>
    <x v="178"/>
    <n v="7"/>
    <n v="16097"/>
    <n v="2299.5714285714284"/>
    <x v="0"/>
    <n v="3803711"/>
    <n v="0.49741927797846208"/>
    <x v="0"/>
  </r>
  <r>
    <x v="179"/>
    <n v="6"/>
    <n v="15996"/>
    <n v="2666"/>
    <x v="0"/>
    <n v="3819707"/>
    <n v="0.49951110850148117"/>
    <x v="0"/>
  </r>
  <r>
    <x v="180"/>
    <n v="6"/>
    <n v="15949"/>
    <n v="2658.1666666666665"/>
    <x v="0"/>
    <n v="3835656"/>
    <n v="0.50159679273576674"/>
    <x v="0"/>
  </r>
  <r>
    <x v="181"/>
    <n v="7"/>
    <n v="15928"/>
    <n v="2275.4285714285716"/>
    <x v="0"/>
    <n v="3851584"/>
    <n v="0.5036797307559373"/>
    <x v="0"/>
  </r>
  <r>
    <x v="182"/>
    <n v="5"/>
    <n v="15892"/>
    <n v="3178.4"/>
    <x v="0"/>
    <n v="3867476"/>
    <n v="0.50575796098048209"/>
    <x v="0"/>
  </r>
  <r>
    <x v="183"/>
    <n v="8"/>
    <n v="15883"/>
    <n v="1985.375"/>
    <x v="0"/>
    <n v="3883359"/>
    <n v="0.50783501425612054"/>
    <x v="0"/>
  </r>
  <r>
    <x v="184"/>
    <n v="8"/>
    <n v="15831"/>
    <n v="1978.875"/>
    <x v="0"/>
    <n v="3899190"/>
    <n v="0.50990526738252184"/>
    <x v="0"/>
  </r>
  <r>
    <x v="185"/>
    <n v="6"/>
    <n v="15778"/>
    <n v="2629.6666666666665"/>
    <x v="0"/>
    <n v="3914968"/>
    <n v="0.51196858958758529"/>
    <x v="0"/>
  </r>
  <r>
    <x v="186"/>
    <n v="6"/>
    <n v="15764"/>
    <n v="2627.3333333333335"/>
    <x v="0"/>
    <n v="3930732"/>
    <n v="0.51403008098323877"/>
    <x v="0"/>
  </r>
  <r>
    <x v="187"/>
    <n v="7"/>
    <n v="15699"/>
    <n v="2242.7142857142858"/>
    <x v="0"/>
    <n v="3946431"/>
    <n v="0.51608307219234584"/>
    <x v="0"/>
  </r>
  <r>
    <x v="188"/>
    <n v="5"/>
    <n v="15551"/>
    <n v="3110.2"/>
    <x v="0"/>
    <n v="3961982"/>
    <n v="0.5181167091305473"/>
    <x v="0"/>
  </r>
  <r>
    <x v="189"/>
    <n v="6"/>
    <n v="15499"/>
    <n v="2583.1666666666665"/>
    <x v="0"/>
    <n v="3977481"/>
    <n v="0.52014354591951162"/>
    <x v="0"/>
  </r>
  <r>
    <x v="190"/>
    <n v="5"/>
    <n v="15355"/>
    <n v="3071"/>
    <x v="0"/>
    <n v="3992836"/>
    <n v="0.52215155152597315"/>
    <x v="0"/>
  </r>
  <r>
    <x v="191"/>
    <n v="7"/>
    <n v="15354"/>
    <n v="2193.4285714285716"/>
    <x v="0"/>
    <n v="4008190"/>
    <n v="0.52415942636033386"/>
    <x v="0"/>
  </r>
  <r>
    <x v="192"/>
    <n v="6"/>
    <n v="15239"/>
    <n v="2539.8333333333335"/>
    <x v="0"/>
    <n v="4023429"/>
    <n v="0.52615226240311264"/>
    <x v="0"/>
  </r>
  <r>
    <x v="193"/>
    <n v="7"/>
    <n v="15223"/>
    <n v="2174.7142857142858"/>
    <x v="0"/>
    <n v="4038652"/>
    <n v="0.52814300609227982"/>
    <x v="0"/>
  </r>
  <r>
    <x v="194"/>
    <n v="7"/>
    <n v="15210"/>
    <n v="2172.8571428571427"/>
    <x v="0"/>
    <n v="4053862"/>
    <n v="0.53013204974413786"/>
    <x v="0"/>
  </r>
  <r>
    <x v="195"/>
    <n v="7"/>
    <n v="15176"/>
    <n v="2168"/>
    <x v="0"/>
    <n v="4069038"/>
    <n v="0.53211664714457152"/>
    <x v="0"/>
  </r>
  <r>
    <x v="196"/>
    <n v="4"/>
    <n v="15166"/>
    <n v="3791.5"/>
    <x v="0"/>
    <n v="4084204"/>
    <n v="0.53409993682399814"/>
    <x v="0"/>
  </r>
  <r>
    <x v="197"/>
    <n v="5"/>
    <n v="15158"/>
    <n v="3031.6"/>
    <x v="0"/>
    <n v="4099362"/>
    <n v="0.53608218032661903"/>
    <x v="0"/>
  </r>
  <r>
    <x v="198"/>
    <n v="7"/>
    <n v="15141"/>
    <n v="2163"/>
    <x v="0"/>
    <n v="4114503"/>
    <n v="0.53806220070352773"/>
    <x v="0"/>
  </r>
  <r>
    <x v="199"/>
    <n v="7"/>
    <n v="15135"/>
    <n v="2162.1428571428573"/>
    <x v="0"/>
    <n v="4129638"/>
    <n v="0.5400414364478322"/>
    <x v="0"/>
  </r>
  <r>
    <x v="200"/>
    <n v="5"/>
    <n v="15135"/>
    <n v="3027"/>
    <x v="0"/>
    <n v="4144773"/>
    <n v="0.54202067219213668"/>
    <x v="0"/>
  </r>
  <r>
    <x v="201"/>
    <n v="5"/>
    <n v="15123"/>
    <n v="3024.6"/>
    <x v="0"/>
    <n v="4159896"/>
    <n v="0.54399833867123248"/>
    <x v="0"/>
  </r>
  <r>
    <x v="202"/>
    <n v="4"/>
    <n v="15076"/>
    <n v="3769"/>
    <x v="0"/>
    <n v="4174972"/>
    <n v="0.54596985886159488"/>
    <x v="0"/>
  </r>
  <r>
    <x v="203"/>
    <n v="7"/>
    <n v="15030"/>
    <n v="2147.1428571428573"/>
    <x v="0"/>
    <n v="4190002"/>
    <n v="0.54793536353532435"/>
    <x v="0"/>
  </r>
  <r>
    <x v="204"/>
    <n v="6"/>
    <n v="15023"/>
    <n v="2503.8333333333335"/>
    <x v="0"/>
    <n v="4205025"/>
    <n v="0.54989995280434889"/>
    <x v="0"/>
  </r>
  <r>
    <x v="205"/>
    <n v="5"/>
    <n v="14950"/>
    <n v="2990"/>
    <x v="0"/>
    <n v="4219975"/>
    <n v="0.55185499571002128"/>
    <x v="0"/>
  </r>
  <r>
    <x v="206"/>
    <n v="6"/>
    <n v="14928"/>
    <n v="2488"/>
    <x v="0"/>
    <n v="4234903"/>
    <n v="0.55380716162947796"/>
    <x v="0"/>
  </r>
  <r>
    <x v="207"/>
    <n v="6"/>
    <n v="14921"/>
    <n v="2486.8333333333335"/>
    <x v="0"/>
    <n v="4249824"/>
    <n v="0.55575841214422961"/>
    <x v="0"/>
  </r>
  <r>
    <x v="208"/>
    <n v="6"/>
    <n v="14900"/>
    <n v="2483.3333333333335"/>
    <x v="0"/>
    <n v="4264724"/>
    <n v="0.55770691644486625"/>
    <x v="0"/>
  </r>
  <r>
    <x v="209"/>
    <n v="6"/>
    <n v="14858"/>
    <n v="2476.3333333333335"/>
    <x v="0"/>
    <n v="4279582"/>
    <n v="0.559649928317273"/>
    <x v="0"/>
  </r>
  <r>
    <x v="210"/>
    <n v="6"/>
    <n v="14822"/>
    <n v="2470.3333333333335"/>
    <x v="0"/>
    <n v="4294404"/>
    <n v="0.56158823239405398"/>
    <x v="0"/>
  </r>
  <r>
    <x v="211"/>
    <n v="5"/>
    <n v="14811"/>
    <n v="2962.2"/>
    <x v="0"/>
    <n v="4309215"/>
    <n v="0.56352509797772721"/>
    <x v="0"/>
  </r>
  <r>
    <x v="212"/>
    <n v="6"/>
    <n v="14810"/>
    <n v="2468.3333333333335"/>
    <x v="0"/>
    <n v="4324025"/>
    <n v="0.56546183278929962"/>
    <x v="0"/>
  </r>
  <r>
    <x v="213"/>
    <n v="8"/>
    <n v="14749"/>
    <n v="1843.625"/>
    <x v="0"/>
    <n v="4338774"/>
    <n v="0.56739059050272844"/>
    <x v="0"/>
  </r>
  <r>
    <x v="214"/>
    <n v="5"/>
    <n v="14720"/>
    <n v="2944"/>
    <x v="0"/>
    <n v="4353494"/>
    <n v="0.56931555582523674"/>
    <x v="0"/>
  </r>
  <r>
    <x v="215"/>
    <n v="6"/>
    <n v="14562"/>
    <n v="2427"/>
    <x v="0"/>
    <n v="4368056"/>
    <n v="0.57121985915583207"/>
    <x v="0"/>
  </r>
  <r>
    <x v="216"/>
    <n v="5"/>
    <n v="14547"/>
    <n v="2909.4"/>
    <x v="0"/>
    <n v="4382603"/>
    <n v="0.57312220090491683"/>
    <x v="0"/>
  </r>
  <r>
    <x v="217"/>
    <n v="4"/>
    <n v="14512"/>
    <n v="3628"/>
    <x v="0"/>
    <n v="4397115"/>
    <n v="0.57501996563047653"/>
    <x v="0"/>
  </r>
  <r>
    <x v="218"/>
    <n v="6"/>
    <n v="14450"/>
    <n v="2408.3333333333335"/>
    <x v="0"/>
    <n v="4411565"/>
    <n v="0.57690962248579192"/>
    <x v="0"/>
  </r>
  <r>
    <x v="219"/>
    <n v="4"/>
    <n v="14412"/>
    <n v="3603"/>
    <x v="0"/>
    <n v="4425977"/>
    <n v="0.57879431000128023"/>
    <x v="0"/>
  </r>
  <r>
    <x v="220"/>
    <n v="5"/>
    <n v="14411"/>
    <n v="2882.2"/>
    <x v="0"/>
    <n v="4440388"/>
    <n v="0.58067886674466784"/>
    <x v="0"/>
  </r>
  <r>
    <x v="221"/>
    <n v="5"/>
    <n v="14306"/>
    <n v="2861.2"/>
    <x v="0"/>
    <n v="4454694"/>
    <n v="0.58254969241748056"/>
    <x v="0"/>
  </r>
  <r>
    <x v="222"/>
    <n v="6"/>
    <n v="14282"/>
    <n v="2380.3333333333335"/>
    <x v="0"/>
    <n v="4468976"/>
    <n v="0.58441737955987605"/>
    <x v="0"/>
  </r>
  <r>
    <x v="223"/>
    <n v="6"/>
    <n v="14256"/>
    <n v="2376"/>
    <x v="0"/>
    <n v="4483232"/>
    <n v="0.58628166662765302"/>
    <x v="0"/>
  </r>
  <r>
    <x v="224"/>
    <n v="5"/>
    <n v="14246"/>
    <n v="2849.2"/>
    <x v="0"/>
    <n v="4497478"/>
    <n v="0.58814464597442284"/>
    <x v="0"/>
  </r>
  <r>
    <x v="225"/>
    <n v="6"/>
    <n v="14230"/>
    <n v="2371.6666666666665"/>
    <x v="0"/>
    <n v="4511708"/>
    <n v="0.59000553296758118"/>
    <x v="0"/>
  </r>
  <r>
    <x v="226"/>
    <n v="5"/>
    <n v="14215"/>
    <n v="2843"/>
    <x v="0"/>
    <n v="4525923"/>
    <n v="0.59186445837922885"/>
    <x v="0"/>
  </r>
  <r>
    <x v="227"/>
    <n v="8"/>
    <n v="14201"/>
    <n v="1775.125"/>
    <x v="0"/>
    <n v="4540124"/>
    <n v="0.59372155298146656"/>
    <x v="0"/>
  </r>
  <r>
    <x v="228"/>
    <n v="9"/>
    <n v="14107"/>
    <n v="1567.4444444444443"/>
    <x v="0"/>
    <n v="4554231"/>
    <n v="0.59556635500623722"/>
    <x v="0"/>
  </r>
  <r>
    <x v="229"/>
    <n v="6"/>
    <n v="14031"/>
    <n v="2338.5"/>
    <x v="0"/>
    <n v="4568262"/>
    <n v="0.59740121835135351"/>
    <x v="0"/>
  </r>
  <r>
    <x v="230"/>
    <n v="5"/>
    <n v="13999"/>
    <n v="2799.8"/>
    <x v="0"/>
    <n v="4582261"/>
    <n v="0.59923189698924695"/>
    <x v="0"/>
  </r>
  <r>
    <x v="231"/>
    <n v="6"/>
    <n v="13995"/>
    <n v="2332.5"/>
    <x v="0"/>
    <n v="4596256"/>
    <n v="0.60106205253873768"/>
    <x v="0"/>
  </r>
  <r>
    <x v="232"/>
    <n v="6"/>
    <n v="13944"/>
    <n v="2324"/>
    <x v="0"/>
    <n v="4610200"/>
    <n v="0.60288553871109185"/>
    <x v="0"/>
  </r>
  <r>
    <x v="233"/>
    <n v="6"/>
    <n v="13923"/>
    <n v="2320.5"/>
    <x v="0"/>
    <n v="4624123"/>
    <n v="0.60470627866933113"/>
    <x v="0"/>
  </r>
  <r>
    <x v="234"/>
    <n v="6"/>
    <n v="13905"/>
    <n v="2317.5"/>
    <x v="0"/>
    <n v="4638028"/>
    <n v="0.60652466472975752"/>
    <x v="0"/>
  </r>
  <r>
    <x v="235"/>
    <n v="6"/>
    <n v="13874"/>
    <n v="2312.3333333333335"/>
    <x v="0"/>
    <n v="4651902"/>
    <n v="0.60833899685506176"/>
    <x v="0"/>
  </r>
  <r>
    <x v="236"/>
    <n v="8"/>
    <n v="13863"/>
    <n v="1732.875"/>
    <x v="0"/>
    <n v="4665765"/>
    <n v="0.61015189048725815"/>
    <x v="0"/>
  </r>
  <r>
    <x v="237"/>
    <n v="7"/>
    <n v="13843"/>
    <n v="1977.5714285714287"/>
    <x v="0"/>
    <n v="4679608"/>
    <n v="0.61196216867744024"/>
    <x v="0"/>
  </r>
  <r>
    <x v="238"/>
    <n v="5"/>
    <n v="13816"/>
    <n v="2763.2"/>
    <x v="0"/>
    <n v="4693424"/>
    <n v="0.61376891602090311"/>
    <x v="0"/>
  </r>
  <r>
    <x v="239"/>
    <n v="7"/>
    <n v="13804"/>
    <n v="1972"/>
    <x v="0"/>
    <n v="4707228"/>
    <n v="0.61557409409915742"/>
    <x v="0"/>
  </r>
  <r>
    <x v="240"/>
    <n v="5"/>
    <n v="13797"/>
    <n v="2759.4"/>
    <x v="0"/>
    <n v="4721025"/>
    <n v="0.61737835677270669"/>
    <x v="0"/>
  </r>
  <r>
    <x v="241"/>
    <n v="3"/>
    <n v="13779"/>
    <n v="4593"/>
    <x v="0"/>
    <n v="4734804"/>
    <n v="0.61918026554844319"/>
    <x v="0"/>
  </r>
  <r>
    <x v="242"/>
    <n v="5"/>
    <n v="13760"/>
    <n v="2752"/>
    <x v="0"/>
    <n v="4748564"/>
    <n v="0.62097968965426598"/>
    <x v="0"/>
  </r>
  <r>
    <x v="243"/>
    <n v="5"/>
    <n v="13750"/>
    <n v="2750"/>
    <x v="0"/>
    <n v="4762314"/>
    <n v="0.62277780603908173"/>
    <x v="0"/>
  </r>
  <r>
    <x v="244"/>
    <n v="5"/>
    <n v="13739"/>
    <n v="2747.8"/>
    <x v="0"/>
    <n v="4776053"/>
    <n v="0.62457448393078963"/>
    <x v="0"/>
  </r>
  <r>
    <x v="245"/>
    <n v="5"/>
    <n v="13724"/>
    <n v="2744.8"/>
    <x v="0"/>
    <n v="4789777"/>
    <n v="0.62636920024098686"/>
    <x v="0"/>
  </r>
  <r>
    <x v="246"/>
    <n v="6"/>
    <n v="13704"/>
    <n v="2284"/>
    <x v="0"/>
    <n v="4803481"/>
    <n v="0.62816130110916968"/>
    <x v="0"/>
  </r>
  <r>
    <x v="247"/>
    <n v="5"/>
    <n v="13680"/>
    <n v="2736"/>
    <x v="0"/>
    <n v="4817161"/>
    <n v="0.6299502634469355"/>
    <x v="0"/>
  </r>
  <r>
    <x v="248"/>
    <n v="4"/>
    <n v="13675"/>
    <n v="3418.75"/>
    <x v="0"/>
    <n v="4830836"/>
    <n v="0.63173857192419769"/>
    <x v="0"/>
  </r>
  <r>
    <x v="249"/>
    <n v="5"/>
    <n v="13634"/>
    <n v="2726.8"/>
    <x v="0"/>
    <n v="4844470"/>
    <n v="0.63352151874533058"/>
    <x v="0"/>
  </r>
  <r>
    <x v="250"/>
    <n v="5"/>
    <n v="13509"/>
    <n v="2701.8"/>
    <x v="0"/>
    <n v="4857979"/>
    <n v="0.63528811905387428"/>
    <x v="0"/>
  </r>
  <r>
    <x v="251"/>
    <n v="5"/>
    <n v="13503"/>
    <n v="2700.6"/>
    <x v="0"/>
    <n v="4871482"/>
    <n v="0.63705393472981375"/>
    <x v="0"/>
  </r>
  <r>
    <x v="252"/>
    <n v="4"/>
    <n v="13382"/>
    <n v="3345.5"/>
    <x v="0"/>
    <n v="4884864"/>
    <n v="0.63880392698156674"/>
    <x v="0"/>
  </r>
  <r>
    <x v="253"/>
    <n v="5"/>
    <n v="13372"/>
    <n v="2674.4"/>
    <x v="0"/>
    <n v="4898236"/>
    <n v="0.64055261151231269"/>
    <x v="0"/>
  </r>
  <r>
    <x v="254"/>
    <n v="6"/>
    <n v="13349"/>
    <n v="2224.8333333333335"/>
    <x v="0"/>
    <n v="4911585"/>
    <n v="0.64229828828474211"/>
    <x v="0"/>
  </r>
  <r>
    <x v="255"/>
    <n v="4"/>
    <n v="13263"/>
    <n v="3315.75"/>
    <x v="0"/>
    <n v="4924848"/>
    <n v="0.64403271865651024"/>
    <x v="0"/>
  </r>
  <r>
    <x v="256"/>
    <n v="4"/>
    <n v="13245"/>
    <n v="3311.25"/>
    <x v="0"/>
    <n v="4938093"/>
    <n v="0.64576479513046547"/>
    <x v="0"/>
  </r>
  <r>
    <x v="257"/>
    <n v="5"/>
    <n v="13216"/>
    <n v="2643.2"/>
    <x v="0"/>
    <n v="4951309"/>
    <n v="0.64749307921349997"/>
    <x v="0"/>
  </r>
  <r>
    <x v="258"/>
    <n v="6"/>
    <n v="13200"/>
    <n v="2200"/>
    <x v="0"/>
    <n v="4964509"/>
    <n v="0.64921927094292309"/>
    <x v="0"/>
  </r>
  <r>
    <x v="259"/>
    <n v="6"/>
    <n v="13077"/>
    <n v="2179.5"/>
    <x v="0"/>
    <n v="4977586"/>
    <n v="0.65092937770395842"/>
    <x v="0"/>
  </r>
  <r>
    <x v="260"/>
    <n v="7"/>
    <n v="13045"/>
    <n v="1863.5714285714287"/>
    <x v="0"/>
    <n v="4990631"/>
    <n v="0.65263529975777079"/>
    <x v="0"/>
  </r>
  <r>
    <x v="261"/>
    <n v="5"/>
    <n v="13018"/>
    <n v="2603.6"/>
    <x v="0"/>
    <n v="5003649"/>
    <n v="0.65433769096486405"/>
    <x v="0"/>
  </r>
  <r>
    <x v="262"/>
    <n v="6"/>
    <n v="12997"/>
    <n v="2166.1666666666665"/>
    <x v="0"/>
    <n v="5016646"/>
    <n v="0.65603733595784219"/>
    <x v="0"/>
  </r>
  <r>
    <x v="263"/>
    <n v="6"/>
    <n v="12953"/>
    <n v="2158.8333333333335"/>
    <x v="0"/>
    <n v="5029599"/>
    <n v="0.65773122697838904"/>
    <x v="0"/>
  </r>
  <r>
    <x v="264"/>
    <n v="5"/>
    <n v="12886"/>
    <n v="2577.1999999999998"/>
    <x v="0"/>
    <n v="5042485"/>
    <n v="0.65941635626818795"/>
    <x v="0"/>
  </r>
  <r>
    <x v="265"/>
    <n v="3"/>
    <n v="12862"/>
    <n v="4287.333333333333"/>
    <x v="0"/>
    <n v="5055347"/>
    <n v="0.66109834702756975"/>
    <x v="0"/>
  </r>
  <r>
    <x v="266"/>
    <n v="4"/>
    <n v="12842"/>
    <n v="3210.5"/>
    <x v="0"/>
    <n v="5068189"/>
    <n v="0.66277772234493726"/>
    <x v="0"/>
  </r>
  <r>
    <x v="267"/>
    <n v="5"/>
    <n v="12826"/>
    <n v="2565.1999999999998"/>
    <x v="0"/>
    <n v="5081015"/>
    <n v="0.66445500530869339"/>
    <x v="0"/>
  </r>
  <r>
    <x v="268"/>
    <n v="6"/>
    <n v="12823"/>
    <n v="2137.1666666666665"/>
    <x v="0"/>
    <n v="5093838"/>
    <n v="0.66613189595614741"/>
    <x v="0"/>
  </r>
  <r>
    <x v="269"/>
    <n v="5"/>
    <n v="12815"/>
    <n v="2563"/>
    <x v="0"/>
    <n v="5106653"/>
    <n v="0.66780774042679569"/>
    <x v="0"/>
  </r>
  <r>
    <x v="270"/>
    <n v="4"/>
    <n v="12797"/>
    <n v="3199.25"/>
    <x v="0"/>
    <n v="5119450"/>
    <n v="0.66948123099963108"/>
    <x v="0"/>
  </r>
  <r>
    <x v="271"/>
    <n v="6"/>
    <n v="12789"/>
    <n v="2131.5"/>
    <x v="0"/>
    <n v="5132239"/>
    <n v="0.67115367539566084"/>
    <x v="0"/>
  </r>
  <r>
    <x v="272"/>
    <n v="7"/>
    <n v="12706"/>
    <n v="1815.1428571428571"/>
    <x v="0"/>
    <n v="5144945"/>
    <n v="0.6728152657073313"/>
    <x v="0"/>
  </r>
  <r>
    <x v="273"/>
    <n v="4"/>
    <n v="12699"/>
    <n v="3174.75"/>
    <x v="0"/>
    <n v="5157644"/>
    <n v="0.67447594061429672"/>
    <x v="0"/>
  </r>
  <r>
    <x v="274"/>
    <n v="5"/>
    <n v="12679"/>
    <n v="2535.8000000000002"/>
    <x v="0"/>
    <n v="5170323"/>
    <n v="0.67613400007924784"/>
    <x v="0"/>
  </r>
  <r>
    <x v="275"/>
    <n v="5"/>
    <n v="12641"/>
    <n v="2528.1999999999998"/>
    <x v="0"/>
    <n v="5182964"/>
    <n v="0.677787090204372"/>
    <x v="0"/>
  </r>
  <r>
    <x v="276"/>
    <n v="5"/>
    <n v="12633"/>
    <n v="2526.6"/>
    <x v="0"/>
    <n v="5195597"/>
    <n v="0.6794391341526903"/>
    <x v="0"/>
  </r>
  <r>
    <x v="277"/>
    <n v="6"/>
    <n v="12627"/>
    <n v="2104.5"/>
    <x v="0"/>
    <n v="5208224"/>
    <n v="0.68109039346840439"/>
    <x v="0"/>
  </r>
  <r>
    <x v="278"/>
    <n v="5"/>
    <n v="12578"/>
    <n v="2515.6"/>
    <x v="0"/>
    <n v="5220802"/>
    <n v="0.68273524495118343"/>
    <x v="0"/>
  </r>
  <r>
    <x v="279"/>
    <n v="6"/>
    <n v="12535"/>
    <n v="2089.1666666666665"/>
    <x v="0"/>
    <n v="5233337"/>
    <n v="0.68437447323363176"/>
    <x v="0"/>
  </r>
  <r>
    <x v="280"/>
    <n v="4"/>
    <n v="12526"/>
    <n v="3131.5"/>
    <x v="0"/>
    <n v="5245863"/>
    <n v="0.68601252456717376"/>
    <x v="0"/>
  </r>
  <r>
    <x v="281"/>
    <n v="6"/>
    <n v="12513"/>
    <n v="2085.5"/>
    <x v="0"/>
    <n v="5258376"/>
    <n v="0.68764887586340639"/>
    <x v="0"/>
  </r>
  <r>
    <x v="282"/>
    <n v="4"/>
    <n v="12512"/>
    <n v="3128"/>
    <x v="0"/>
    <n v="5270888"/>
    <n v="0.68928509638753843"/>
    <x v="0"/>
  </r>
  <r>
    <x v="283"/>
    <n v="5"/>
    <n v="12512"/>
    <n v="2502.4"/>
    <x v="0"/>
    <n v="5283400"/>
    <n v="0.69092131691167036"/>
    <x v="0"/>
  </r>
  <r>
    <x v="284"/>
    <n v="5"/>
    <n v="12501"/>
    <n v="2500.1999999999998"/>
    <x v="0"/>
    <n v="5295901"/>
    <n v="0.69255609894269454"/>
    <x v="0"/>
  </r>
  <r>
    <x v="285"/>
    <n v="5"/>
    <n v="12492"/>
    <n v="2498.4"/>
    <x v="0"/>
    <n v="5308393"/>
    <n v="0.69418970402481217"/>
    <x v="0"/>
  </r>
  <r>
    <x v="286"/>
    <n v="4"/>
    <n v="12471"/>
    <n v="3117.75"/>
    <x v="0"/>
    <n v="5320864"/>
    <n v="0.69582056289281491"/>
    <x v="0"/>
  </r>
  <r>
    <x v="287"/>
    <n v="5"/>
    <n v="12456"/>
    <n v="2491.1999999999998"/>
    <x v="0"/>
    <n v="5333320"/>
    <n v="0.69744946017930687"/>
    <x v="0"/>
  </r>
  <r>
    <x v="288"/>
    <n v="5"/>
    <n v="12440"/>
    <n v="2488"/>
    <x v="0"/>
    <n v="5345760"/>
    <n v="0.69907626511218746"/>
    <x v="0"/>
  </r>
  <r>
    <x v="289"/>
    <n v="6"/>
    <n v="12433"/>
    <n v="2072.1666666666665"/>
    <x v="0"/>
    <n v="5358193"/>
    <n v="0.70070215464036301"/>
    <x v="0"/>
  </r>
  <r>
    <x v="290"/>
    <n v="4"/>
    <n v="12408"/>
    <n v="3102"/>
    <x v="0"/>
    <n v="5370601"/>
    <n v="0.70232477486602074"/>
    <x v="0"/>
  </r>
  <r>
    <x v="291"/>
    <n v="5"/>
    <n v="12364"/>
    <n v="2472.8000000000002"/>
    <x v="0"/>
    <n v="5382965"/>
    <n v="0.70394164111924706"/>
    <x v="0"/>
  </r>
  <r>
    <x v="292"/>
    <n v="6"/>
    <n v="12353"/>
    <n v="2058.8333333333335"/>
    <x v="0"/>
    <n v="5395318"/>
    <n v="0.70555706887936553"/>
    <x v="0"/>
  </r>
  <r>
    <x v="293"/>
    <n v="4"/>
    <n v="12332"/>
    <n v="3083"/>
    <x v="0"/>
    <n v="5407650"/>
    <n v="0.707169750425369"/>
    <x v="0"/>
  </r>
  <r>
    <x v="294"/>
    <n v="7"/>
    <n v="12271"/>
    <n v="1753"/>
    <x v="0"/>
    <n v="5419921"/>
    <n v="0.70877445487322888"/>
    <x v="0"/>
  </r>
  <r>
    <x v="295"/>
    <n v="5"/>
    <n v="12256"/>
    <n v="2451.1999999999998"/>
    <x v="0"/>
    <n v="5432177"/>
    <n v="0.71037719773957808"/>
    <x v="0"/>
  </r>
  <r>
    <x v="296"/>
    <n v="5"/>
    <n v="12234"/>
    <n v="2446.8000000000002"/>
    <x v="0"/>
    <n v="5444411"/>
    <n v="0.71197706361971158"/>
    <x v="0"/>
  </r>
  <r>
    <x v="297"/>
    <n v="6"/>
    <n v="12169"/>
    <n v="2028.1666666666667"/>
    <x v="0"/>
    <n v="5456580"/>
    <n v="0.71356842931329867"/>
    <x v="0"/>
  </r>
  <r>
    <x v="298"/>
    <n v="6"/>
    <n v="12166"/>
    <n v="2027.6666666666667"/>
    <x v="0"/>
    <n v="5468746"/>
    <n v="0.71515940269058365"/>
    <x v="0"/>
  </r>
  <r>
    <x v="299"/>
    <n v="5"/>
    <n v="12155"/>
    <n v="2431"/>
    <x v="0"/>
    <n v="5480901"/>
    <n v="0.71674893757476077"/>
    <x v="0"/>
  </r>
  <r>
    <x v="300"/>
    <n v="5"/>
    <n v="12138"/>
    <n v="2427.6"/>
    <x v="0"/>
    <n v="5493039"/>
    <n v="0.71833624933322571"/>
    <x v="0"/>
  </r>
  <r>
    <x v="301"/>
    <n v="3"/>
    <n v="12138"/>
    <n v="4046"/>
    <x v="0"/>
    <n v="5505177"/>
    <n v="0.71992356109169076"/>
    <x v="0"/>
  </r>
  <r>
    <x v="302"/>
    <n v="5"/>
    <n v="12084"/>
    <n v="2416.8000000000002"/>
    <x v="0"/>
    <n v="5517261"/>
    <n v="0.72150381115671713"/>
    <x v="0"/>
  </r>
  <r>
    <x v="303"/>
    <n v="6"/>
    <n v="12008"/>
    <n v="2001.3333333333333"/>
    <x v="0"/>
    <n v="5529269"/>
    <n v="0.72307412254208936"/>
    <x v="0"/>
  </r>
  <r>
    <x v="304"/>
    <n v="5"/>
    <n v="12007"/>
    <n v="2401.4"/>
    <x v="0"/>
    <n v="5541276"/>
    <n v="0.72464430315536077"/>
    <x v="0"/>
  </r>
  <r>
    <x v="305"/>
    <n v="7"/>
    <n v="11910"/>
    <n v="1701.4285714285713"/>
    <x v="0"/>
    <n v="5553186"/>
    <n v="0.72620179887486302"/>
    <x v="0"/>
  </r>
  <r>
    <x v="306"/>
    <n v="7"/>
    <n v="11882"/>
    <n v="1697.4285714285713"/>
    <x v="0"/>
    <n v="5565068"/>
    <n v="0.72775563297554524"/>
    <x v="0"/>
  </r>
  <r>
    <x v="307"/>
    <n v="4"/>
    <n v="11725"/>
    <n v="2931.25"/>
    <x v="0"/>
    <n v="5576793"/>
    <n v="0.72928893585641541"/>
    <x v="0"/>
  </r>
  <r>
    <x v="308"/>
    <n v="5"/>
    <n v="11720"/>
    <n v="2344"/>
    <x v="0"/>
    <n v="5588513"/>
    <n v="0.73082158487678195"/>
    <x v="0"/>
  </r>
  <r>
    <x v="309"/>
    <n v="5"/>
    <n v="11715"/>
    <n v="2343"/>
    <x v="0"/>
    <n v="5600228"/>
    <n v="0.73235358003664497"/>
    <x v="0"/>
  </r>
  <r>
    <x v="310"/>
    <n v="6"/>
    <n v="11710"/>
    <n v="1951.6666666666667"/>
    <x v="0"/>
    <n v="5611938"/>
    <n v="0.73388492133600436"/>
    <x v="0"/>
  </r>
  <r>
    <x v="311"/>
    <n v="5"/>
    <n v="11698"/>
    <n v="2339.6"/>
    <x v="0"/>
    <n v="5623636"/>
    <n v="0.7354146933701553"/>
    <x v="0"/>
  </r>
  <r>
    <x v="312"/>
    <n v="5"/>
    <n v="11641"/>
    <n v="2328.1999999999998"/>
    <x v="0"/>
    <n v="5635277"/>
    <n v="0.73693701139456547"/>
    <x v="0"/>
  </r>
  <r>
    <x v="313"/>
    <n v="4"/>
    <n v="11641"/>
    <n v="2910.25"/>
    <x v="0"/>
    <n v="5646918"/>
    <n v="0.73845932941897563"/>
    <x v="0"/>
  </r>
  <r>
    <x v="314"/>
    <n v="5"/>
    <n v="11635"/>
    <n v="2327"/>
    <x v="0"/>
    <n v="5658553"/>
    <n v="0.73998086281078157"/>
    <x v="0"/>
  </r>
  <r>
    <x v="315"/>
    <n v="5"/>
    <n v="11630"/>
    <n v="2326"/>
    <x v="0"/>
    <n v="5670183"/>
    <n v="0.74150174234208388"/>
    <x v="0"/>
  </r>
  <r>
    <x v="316"/>
    <n v="4"/>
    <n v="11619"/>
    <n v="2904.75"/>
    <x v="0"/>
    <n v="5681802"/>
    <n v="0.74302118338027834"/>
    <x v="0"/>
  </r>
  <r>
    <x v="317"/>
    <n v="3"/>
    <n v="11579"/>
    <n v="3859.6666666666665"/>
    <x v="0"/>
    <n v="5693381"/>
    <n v="0.74453539353444431"/>
    <x v="0"/>
  </r>
  <r>
    <x v="318"/>
    <n v="4"/>
    <n v="11578"/>
    <n v="2894.5"/>
    <x v="0"/>
    <n v="5704959"/>
    <n v="0.74604947291650947"/>
    <x v="0"/>
  </r>
  <r>
    <x v="319"/>
    <n v="6"/>
    <n v="11572"/>
    <n v="1928.6666666666667"/>
    <x v="0"/>
    <n v="5716531"/>
    <n v="0.74756276766597041"/>
    <x v="0"/>
  </r>
  <r>
    <x v="320"/>
    <n v="4"/>
    <n v="11552"/>
    <n v="2888"/>
    <x v="0"/>
    <n v="5728083"/>
    <n v="0.74907344697341705"/>
    <x v="0"/>
  </r>
  <r>
    <x v="321"/>
    <n v="6"/>
    <n v="11538"/>
    <n v="1923"/>
    <x v="0"/>
    <n v="5739621"/>
    <n v="0.75058229547145372"/>
    <x v="0"/>
  </r>
  <r>
    <x v="322"/>
    <n v="3"/>
    <n v="11434"/>
    <n v="3811.3333333333335"/>
    <x v="0"/>
    <n v="5751055"/>
    <n v="0.75207754367101609"/>
    <x v="0"/>
  </r>
  <r>
    <x v="323"/>
    <n v="3"/>
    <n v="11375"/>
    <n v="3791.6666666666665"/>
    <x v="0"/>
    <n v="5762430"/>
    <n v="0.75356507631663638"/>
    <x v="0"/>
  </r>
  <r>
    <x v="324"/>
    <n v="4"/>
    <n v="11360"/>
    <n v="2840"/>
    <x v="0"/>
    <n v="5773790"/>
    <n v="0.75505064738074601"/>
    <x v="0"/>
  </r>
  <r>
    <x v="325"/>
    <n v="4"/>
    <n v="11346"/>
    <n v="2836.5"/>
    <x v="0"/>
    <n v="5785136"/>
    <n v="0.75653438763544556"/>
    <x v="0"/>
  </r>
  <r>
    <x v="326"/>
    <n v="6"/>
    <n v="11340"/>
    <n v="1890"/>
    <x v="0"/>
    <n v="5796476"/>
    <n v="0.75801734325754089"/>
    <x v="0"/>
  </r>
  <r>
    <x v="327"/>
    <n v="8"/>
    <n v="11308"/>
    <n v="1413.5"/>
    <x v="0"/>
    <n v="5807784"/>
    <n v="0.75949611417241336"/>
    <x v="0"/>
  </r>
  <r>
    <x v="328"/>
    <n v="5"/>
    <n v="11222"/>
    <n v="2244.4"/>
    <x v="0"/>
    <n v="5819006"/>
    <n v="0.76096363868662442"/>
    <x v="0"/>
  </r>
  <r>
    <x v="329"/>
    <n v="4"/>
    <n v="11199"/>
    <n v="2799.75"/>
    <x v="0"/>
    <n v="5830205"/>
    <n v="0.76242815544251907"/>
    <x v="0"/>
  </r>
  <r>
    <x v="330"/>
    <n v="4"/>
    <n v="11150"/>
    <n v="2787.5"/>
    <x v="0"/>
    <n v="5841355"/>
    <n v="0.76388626436547868"/>
    <x v="0"/>
  </r>
  <r>
    <x v="331"/>
    <n v="3"/>
    <n v="11147"/>
    <n v="3715.6666666666665"/>
    <x v="0"/>
    <n v="5852502"/>
    <n v="0.7653439809721363"/>
    <x v="0"/>
  </r>
  <r>
    <x v="332"/>
    <n v="3"/>
    <n v="11124"/>
    <n v="3708"/>
    <x v="0"/>
    <n v="5863626"/>
    <n v="0.76679868982047739"/>
    <x v="0"/>
  </r>
  <r>
    <x v="333"/>
    <n v="5"/>
    <n v="11099"/>
    <n v="2219.8000000000002"/>
    <x v="0"/>
    <n v="5874725"/>
    <n v="0.76825012936630066"/>
    <x v="0"/>
  </r>
  <r>
    <x v="334"/>
    <n v="3"/>
    <n v="11057"/>
    <n v="3685.6666666666665"/>
    <x v="0"/>
    <n v="5885782"/>
    <n v="0.76969607648389393"/>
    <x v="0"/>
  </r>
  <r>
    <x v="335"/>
    <n v="4"/>
    <n v="11020"/>
    <n v="2755"/>
    <x v="0"/>
    <n v="5896802"/>
    <n v="0.77113718503376083"/>
    <x v="0"/>
  </r>
  <r>
    <x v="336"/>
    <n v="6"/>
    <n v="10938"/>
    <n v="1823"/>
    <x v="0"/>
    <n v="5907740"/>
    <n v="0.77256757027136913"/>
    <x v="0"/>
  </r>
  <r>
    <x v="337"/>
    <n v="5"/>
    <n v="10864"/>
    <n v="2172.8000000000002"/>
    <x v="0"/>
    <n v="5918604"/>
    <n v="0.77398827837352457"/>
    <x v="0"/>
  </r>
  <r>
    <x v="338"/>
    <n v="5"/>
    <n v="10837"/>
    <n v="2167.4"/>
    <x v="0"/>
    <n v="5929441"/>
    <n v="0.77540545562896079"/>
    <x v="0"/>
  </r>
  <r>
    <x v="339"/>
    <n v="3"/>
    <n v="10817"/>
    <n v="3605.6666666666665"/>
    <x v="0"/>
    <n v="5940258"/>
    <n v="0.77682001744238283"/>
    <x v="0"/>
  </r>
  <r>
    <x v="340"/>
    <n v="4"/>
    <n v="10773"/>
    <n v="2693.25"/>
    <x v="0"/>
    <n v="5951031"/>
    <n v="0.77822882528337334"/>
    <x v="0"/>
  </r>
  <r>
    <x v="341"/>
    <n v="3"/>
    <n v="10746"/>
    <n v="3582"/>
    <x v="0"/>
    <n v="5961777"/>
    <n v="0.77963410227764463"/>
    <x v="0"/>
  </r>
  <r>
    <x v="342"/>
    <n v="4"/>
    <n v="10693"/>
    <n v="2673.25"/>
    <x v="0"/>
    <n v="5972470"/>
    <n v="0.78103244835057806"/>
    <x v="0"/>
  </r>
  <r>
    <x v="343"/>
    <n v="4"/>
    <n v="10657"/>
    <n v="2664.25"/>
    <x v="0"/>
    <n v="5983127"/>
    <n v="0.78242608662788582"/>
    <x v="0"/>
  </r>
  <r>
    <x v="344"/>
    <n v="5"/>
    <n v="10653"/>
    <n v="2130.6"/>
    <x v="0"/>
    <n v="5993780"/>
    <n v="0.78381920181679066"/>
    <x v="0"/>
  </r>
  <r>
    <x v="345"/>
    <n v="4"/>
    <n v="10635"/>
    <n v="2658.75"/>
    <x v="0"/>
    <n v="6004415"/>
    <n v="0.78520996310788271"/>
    <x v="0"/>
  </r>
  <r>
    <x v="346"/>
    <n v="3"/>
    <n v="10587"/>
    <n v="3529"/>
    <x v="0"/>
    <n v="6015002"/>
    <n v="0.78659444733814043"/>
    <x v="0"/>
  </r>
  <r>
    <x v="347"/>
    <n v="4"/>
    <n v="10570"/>
    <n v="2642.5"/>
    <x v="0"/>
    <n v="6025572"/>
    <n v="0.78797670844268608"/>
    <x v="0"/>
  </r>
  <r>
    <x v="348"/>
    <n v="5"/>
    <n v="10563"/>
    <n v="2112.6"/>
    <x v="0"/>
    <n v="6036135"/>
    <n v="0.78935805414252669"/>
    <x v="0"/>
  </r>
  <r>
    <x v="349"/>
    <n v="5"/>
    <n v="10541"/>
    <n v="2108.1999999999998"/>
    <x v="0"/>
    <n v="6046676"/>
    <n v="0.79073652285615159"/>
    <x v="0"/>
  </r>
  <r>
    <x v="350"/>
    <n v="4"/>
    <n v="10526"/>
    <n v="2631.5"/>
    <x v="0"/>
    <n v="6057202"/>
    <n v="0.79211302998826583"/>
    <x v="0"/>
  </r>
  <r>
    <x v="351"/>
    <n v="5"/>
    <n v="10520"/>
    <n v="2104"/>
    <x v="0"/>
    <n v="6067722"/>
    <n v="0.79348875248777573"/>
    <x v="0"/>
  </r>
  <r>
    <x v="352"/>
    <n v="4"/>
    <n v="10514"/>
    <n v="2628.5"/>
    <x v="0"/>
    <n v="6078236"/>
    <n v="0.79486369035468141"/>
    <x v="0"/>
  </r>
  <r>
    <x v="353"/>
    <n v="5"/>
    <n v="10506"/>
    <n v="2101.1999999999998"/>
    <x v="0"/>
    <n v="6088742"/>
    <n v="0.79623758204478134"/>
    <x v="0"/>
  </r>
  <r>
    <x v="354"/>
    <n v="4"/>
    <n v="10494"/>
    <n v="2623.5"/>
    <x v="0"/>
    <n v="6099236"/>
    <n v="0.79760990446967273"/>
    <x v="0"/>
  </r>
  <r>
    <x v="355"/>
    <n v="3"/>
    <n v="10480"/>
    <n v="3493.3333333333335"/>
    <x v="0"/>
    <n v="6109716"/>
    <n v="0.79898039608515403"/>
    <x v="0"/>
  </r>
  <r>
    <x v="356"/>
    <n v="3"/>
    <n v="10451"/>
    <n v="3483.6666666666665"/>
    <x v="0"/>
    <n v="6120167"/>
    <n v="0.80034709530971471"/>
    <x v="1"/>
  </r>
  <r>
    <x v="357"/>
    <n v="6"/>
    <n v="10425"/>
    <n v="1737.5"/>
    <x v="0"/>
    <n v="6130592"/>
    <n v="0.80171039445965686"/>
    <x v="1"/>
  </r>
  <r>
    <x v="358"/>
    <n v="5"/>
    <n v="10418"/>
    <n v="2083.6"/>
    <x v="0"/>
    <n v="6141010"/>
    <n v="0.80307277820489398"/>
    <x v="1"/>
  </r>
  <r>
    <x v="359"/>
    <n v="5"/>
    <n v="10409"/>
    <n v="2081.8000000000002"/>
    <x v="0"/>
    <n v="6151419"/>
    <n v="0.80443398500122465"/>
    <x v="1"/>
  </r>
  <r>
    <x v="360"/>
    <n v="4"/>
    <n v="10316"/>
    <n v="2579"/>
    <x v="0"/>
    <n v="6161735"/>
    <n v="0.80578302999218898"/>
    <x v="1"/>
  </r>
  <r>
    <x v="361"/>
    <n v="3"/>
    <n v="10284"/>
    <n v="3428"/>
    <x v="0"/>
    <n v="6172019"/>
    <n v="0.80712789027593046"/>
    <x v="1"/>
  </r>
  <r>
    <x v="362"/>
    <n v="4"/>
    <n v="10265"/>
    <n v="2566.25"/>
    <x v="0"/>
    <n v="6182284"/>
    <n v="0.80847026588975834"/>
    <x v="1"/>
  </r>
  <r>
    <x v="363"/>
    <n v="4"/>
    <n v="10240"/>
    <n v="2560"/>
    <x v="0"/>
    <n v="6192524"/>
    <n v="0.80980937220106841"/>
    <x v="1"/>
  </r>
  <r>
    <x v="364"/>
    <n v="4"/>
    <n v="10193"/>
    <n v="2548.25"/>
    <x v="0"/>
    <n v="6202717"/>
    <n v="0.81114233222364485"/>
    <x v="1"/>
  </r>
  <r>
    <x v="365"/>
    <n v="3"/>
    <n v="10143"/>
    <n v="3381"/>
    <x v="0"/>
    <n v="6212860"/>
    <n v="0.81246875364118565"/>
    <x v="1"/>
  </r>
  <r>
    <x v="366"/>
    <n v="3"/>
    <n v="10143"/>
    <n v="3381"/>
    <x v="0"/>
    <n v="6223003"/>
    <n v="0.81379517505872645"/>
    <x v="1"/>
  </r>
  <r>
    <x v="367"/>
    <n v="6"/>
    <n v="10085"/>
    <n v="1680.8333333333333"/>
    <x v="0"/>
    <n v="6233088"/>
    <n v="0.81511401169442588"/>
    <x v="1"/>
  </r>
  <r>
    <x v="368"/>
    <n v="4"/>
    <n v="9994"/>
    <n v="2498.5"/>
    <x v="0"/>
    <n v="6243082"/>
    <n v="0.81642094806896026"/>
    <x v="1"/>
  </r>
  <r>
    <x v="369"/>
    <n v="4"/>
    <n v="9965"/>
    <n v="2491.25"/>
    <x v="0"/>
    <n v="6253047"/>
    <n v="0.81772409205257401"/>
    <x v="1"/>
  </r>
  <r>
    <x v="370"/>
    <n v="4"/>
    <n v="9932"/>
    <n v="2483"/>
    <x v="0"/>
    <n v="6262979"/>
    <n v="0.81902292055686421"/>
    <x v="1"/>
  </r>
  <r>
    <x v="371"/>
    <n v="3"/>
    <n v="9870"/>
    <n v="3290"/>
    <x v="0"/>
    <n v="6272849"/>
    <n v="0.8203136411909101"/>
    <x v="1"/>
  </r>
  <r>
    <x v="372"/>
    <n v="4"/>
    <n v="9868"/>
    <n v="2467"/>
    <x v="0"/>
    <n v="6282717"/>
    <n v="0.82160410028075459"/>
    <x v="1"/>
  </r>
  <r>
    <x v="373"/>
    <n v="4"/>
    <n v="9860"/>
    <n v="2465"/>
    <x v="0"/>
    <n v="6292577"/>
    <n v="0.82289351319379345"/>
    <x v="1"/>
  </r>
  <r>
    <x v="374"/>
    <n v="4"/>
    <n v="9848"/>
    <n v="2462"/>
    <x v="0"/>
    <n v="6302425"/>
    <n v="0.82418135684162364"/>
    <x v="1"/>
  </r>
  <r>
    <x v="375"/>
    <n v="4"/>
    <n v="9846"/>
    <n v="2461.5"/>
    <x v="0"/>
    <n v="6312271"/>
    <n v="0.82546893894525242"/>
    <x v="1"/>
  </r>
  <r>
    <x v="376"/>
    <n v="3"/>
    <n v="9824"/>
    <n v="3274.6666666666665"/>
    <x v="0"/>
    <n v="6322095"/>
    <n v="0.82675364406266549"/>
    <x v="1"/>
  </r>
  <r>
    <x v="377"/>
    <n v="3"/>
    <n v="9673"/>
    <n v="3224.3333333333335"/>
    <x v="0"/>
    <n v="6331768"/>
    <n v="0.82801860259287074"/>
    <x v="1"/>
  </r>
  <r>
    <x v="378"/>
    <n v="4"/>
    <n v="9670"/>
    <n v="2417.5"/>
    <x v="0"/>
    <n v="6341438"/>
    <n v="0.82928316880677388"/>
    <x v="1"/>
  </r>
  <r>
    <x v="379"/>
    <n v="4"/>
    <n v="9634"/>
    <n v="2408.5"/>
    <x v="0"/>
    <n v="6351072"/>
    <n v="0.83054302722505136"/>
    <x v="1"/>
  </r>
  <r>
    <x v="380"/>
    <n v="5"/>
    <n v="9631"/>
    <n v="1926.2"/>
    <x v="0"/>
    <n v="6360703"/>
    <n v="0.8318024933270266"/>
    <x v="1"/>
  </r>
  <r>
    <x v="381"/>
    <n v="3"/>
    <n v="9595"/>
    <n v="3198.3333333333335"/>
    <x v="0"/>
    <n v="6370298"/>
    <n v="0.83305725163337618"/>
    <x v="1"/>
  </r>
  <r>
    <x v="382"/>
    <n v="6"/>
    <n v="9573"/>
    <n v="1595.5"/>
    <x v="0"/>
    <n v="6379871"/>
    <n v="0.83430913295351017"/>
    <x v="1"/>
  </r>
  <r>
    <x v="383"/>
    <n v="4"/>
    <n v="9564"/>
    <n v="2391"/>
    <x v="0"/>
    <n v="6389435"/>
    <n v="0.8355598373247376"/>
    <x v="1"/>
  </r>
  <r>
    <x v="384"/>
    <n v="4"/>
    <n v="9560"/>
    <n v="2390"/>
    <x v="0"/>
    <n v="6398995"/>
    <n v="0.83681001860756221"/>
    <x v="1"/>
  </r>
  <r>
    <x v="385"/>
    <n v="5"/>
    <n v="9503"/>
    <n v="1900.6"/>
    <x v="0"/>
    <n v="6408498"/>
    <n v="0.83805274588064615"/>
    <x v="1"/>
  </r>
  <r>
    <x v="386"/>
    <n v="3"/>
    <n v="9467"/>
    <n v="3155.6666666666665"/>
    <x v="0"/>
    <n v="6417965"/>
    <n v="0.83929076535810432"/>
    <x v="1"/>
  </r>
  <r>
    <x v="387"/>
    <n v="3"/>
    <n v="9439"/>
    <n v="3146.3333333333335"/>
    <x v="0"/>
    <n v="6427404"/>
    <n v="0.84052512321674255"/>
    <x v="1"/>
  </r>
  <r>
    <x v="388"/>
    <n v="3"/>
    <n v="9408"/>
    <n v="3136"/>
    <x v="0"/>
    <n v="6436812"/>
    <n v="0.84175542714025875"/>
    <x v="1"/>
  </r>
  <r>
    <x v="389"/>
    <n v="3"/>
    <n v="9396"/>
    <n v="3132"/>
    <x v="0"/>
    <n v="6446208"/>
    <n v="0.84298416179856628"/>
    <x v="1"/>
  </r>
  <r>
    <x v="390"/>
    <n v="4"/>
    <n v="9380"/>
    <n v="2345"/>
    <x v="0"/>
    <n v="6455588"/>
    <n v="0.84421080410326232"/>
    <x v="1"/>
  </r>
  <r>
    <x v="391"/>
    <n v="4"/>
    <n v="9369"/>
    <n v="2342.25"/>
    <x v="0"/>
    <n v="6464957"/>
    <n v="0.84543600791485063"/>
    <x v="1"/>
  </r>
  <r>
    <x v="392"/>
    <n v="3"/>
    <n v="9303"/>
    <n v="3101"/>
    <x v="0"/>
    <n v="6474260"/>
    <n v="0.84665258076779182"/>
    <x v="1"/>
  </r>
  <r>
    <x v="393"/>
    <n v="2"/>
    <n v="9286"/>
    <n v="4643"/>
    <x v="0"/>
    <n v="6483546"/>
    <n v="0.84786693049502082"/>
    <x v="1"/>
  </r>
  <r>
    <x v="394"/>
    <n v="3"/>
    <n v="9267"/>
    <n v="3089"/>
    <x v="0"/>
    <n v="6492813"/>
    <n v="0.84907879555233623"/>
    <x v="1"/>
  </r>
  <r>
    <x v="395"/>
    <n v="4"/>
    <n v="9223"/>
    <n v="2305.75"/>
    <x v="0"/>
    <n v="6502036"/>
    <n v="0.85028490663722023"/>
    <x v="1"/>
  </r>
  <r>
    <x v="396"/>
    <n v="5"/>
    <n v="9168"/>
    <n v="1833.6"/>
    <x v="0"/>
    <n v="6511204"/>
    <n v="0.85148382525656507"/>
    <x v="1"/>
  </r>
  <r>
    <x v="397"/>
    <n v="3"/>
    <n v="9157"/>
    <n v="3052.3333333333335"/>
    <x v="0"/>
    <n v="6520361"/>
    <n v="0.85268130538280196"/>
    <x v="1"/>
  </r>
  <r>
    <x v="398"/>
    <n v="4"/>
    <n v="9093"/>
    <n v="2273.25"/>
    <x v="0"/>
    <n v="6529454"/>
    <n v="0.85387041609459324"/>
    <x v="1"/>
  </r>
  <r>
    <x v="399"/>
    <n v="4"/>
    <n v="9087"/>
    <n v="2271.75"/>
    <x v="0"/>
    <n v="6538541"/>
    <n v="0.8550587421737802"/>
    <x v="1"/>
  </r>
  <r>
    <x v="400"/>
    <n v="3"/>
    <n v="9052"/>
    <n v="3017.3333333333335"/>
    <x v="0"/>
    <n v="6547593"/>
    <n v="0.85624249122944218"/>
    <x v="1"/>
  </r>
  <r>
    <x v="401"/>
    <n v="4"/>
    <n v="9046"/>
    <n v="2261.5"/>
    <x v="0"/>
    <n v="6556639"/>
    <n v="0.85742545565249983"/>
    <x v="1"/>
  </r>
  <r>
    <x v="402"/>
    <n v="5"/>
    <n v="9023"/>
    <n v="1804.6"/>
    <x v="0"/>
    <n v="6565662"/>
    <n v="0.85860541231724108"/>
    <x v="1"/>
  </r>
  <r>
    <x v="403"/>
    <n v="3"/>
    <n v="9014"/>
    <n v="3004.6666666666665"/>
    <x v="0"/>
    <n v="6574676"/>
    <n v="0.85978419203307588"/>
    <x v="1"/>
  </r>
  <r>
    <x v="404"/>
    <n v="3"/>
    <n v="9008"/>
    <n v="3002.6666666666665"/>
    <x v="0"/>
    <n v="6583684"/>
    <n v="0.86096218711630645"/>
    <x v="1"/>
  </r>
  <r>
    <x v="405"/>
    <n v="4"/>
    <n v="8998"/>
    <n v="2249.5"/>
    <x v="0"/>
    <n v="6592682"/>
    <n v="0.86213887447852988"/>
    <x v="1"/>
  </r>
  <r>
    <x v="406"/>
    <n v="4"/>
    <n v="8974"/>
    <n v="2243.5"/>
    <x v="0"/>
    <n v="6601656"/>
    <n v="0.8633124233103362"/>
    <x v="1"/>
  </r>
  <r>
    <x v="407"/>
    <n v="4"/>
    <n v="8964"/>
    <n v="2241"/>
    <x v="0"/>
    <n v="6610620"/>
    <n v="0.86448466442113536"/>
    <x v="1"/>
  </r>
  <r>
    <x v="408"/>
    <n v="5"/>
    <n v="8952"/>
    <n v="1790.4"/>
    <x v="0"/>
    <n v="6619572"/>
    <n v="0.86565533626672586"/>
    <x v="1"/>
  </r>
  <r>
    <x v="409"/>
    <n v="4"/>
    <n v="8886"/>
    <n v="2221.5"/>
    <x v="0"/>
    <n v="6628458"/>
    <n v="0.86681737715366936"/>
    <x v="1"/>
  </r>
  <r>
    <x v="410"/>
    <n v="3"/>
    <n v="8885"/>
    <n v="2961.6666666666665"/>
    <x v="0"/>
    <n v="6637343"/>
    <n v="0.86797928726851215"/>
    <x v="1"/>
  </r>
  <r>
    <x v="411"/>
    <n v="4"/>
    <n v="8876"/>
    <n v="2219"/>
    <x v="0"/>
    <n v="6646219"/>
    <n v="0.86914002043444849"/>
    <x v="1"/>
  </r>
  <r>
    <x v="412"/>
    <n v="4"/>
    <n v="8787"/>
    <n v="2196.75"/>
    <x v="0"/>
    <n v="6655006"/>
    <n v="0.8702891148834212"/>
    <x v="1"/>
  </r>
  <r>
    <x v="413"/>
    <n v="5"/>
    <n v="8774"/>
    <n v="1754.8"/>
    <x v="0"/>
    <n v="6663780"/>
    <n v="0.87143650929508476"/>
    <x v="1"/>
  </r>
  <r>
    <x v="414"/>
    <n v="3"/>
    <n v="8755"/>
    <n v="2918.3333333333335"/>
    <x v="0"/>
    <n v="6672535"/>
    <n v="0.87258141903683473"/>
    <x v="1"/>
  </r>
  <r>
    <x v="415"/>
    <n v="6"/>
    <n v="8715"/>
    <n v="1452.5"/>
    <x v="0"/>
    <n v="6681250"/>
    <n v="0.8737210978945561"/>
    <x v="1"/>
  </r>
  <r>
    <x v="416"/>
    <n v="3"/>
    <n v="8692"/>
    <n v="2897.3333333333335"/>
    <x v="0"/>
    <n v="6689942"/>
    <n v="0.87485776899396106"/>
    <x v="1"/>
  </r>
  <r>
    <x v="417"/>
    <n v="4"/>
    <n v="8673"/>
    <n v="2168.25"/>
    <x v="0"/>
    <n v="6698615"/>
    <n v="0.87599195542345254"/>
    <x v="1"/>
  </r>
  <r>
    <x v="418"/>
    <n v="3"/>
    <n v="8644"/>
    <n v="2881.3333333333335"/>
    <x v="0"/>
    <n v="6707259"/>
    <n v="0.87712234946202317"/>
    <x v="1"/>
  </r>
  <r>
    <x v="419"/>
    <n v="6"/>
    <n v="8631"/>
    <n v="1438.5"/>
    <x v="0"/>
    <n v="6715890"/>
    <n v="0.87825104346328464"/>
    <x v="1"/>
  </r>
  <r>
    <x v="420"/>
    <n v="5"/>
    <n v="8594"/>
    <n v="1718.8"/>
    <x v="0"/>
    <n v="6724484"/>
    <n v="0.87937489889681963"/>
    <x v="1"/>
  </r>
  <r>
    <x v="421"/>
    <n v="6"/>
    <n v="8543"/>
    <n v="1423.8333333333333"/>
    <x v="0"/>
    <n v="6733027"/>
    <n v="0.88049208495321829"/>
    <x v="1"/>
  </r>
  <r>
    <x v="422"/>
    <n v="4"/>
    <n v="8538"/>
    <n v="2134.5"/>
    <x v="0"/>
    <n v="6741565"/>
    <n v="0.88160861714911332"/>
    <x v="1"/>
  </r>
  <r>
    <x v="423"/>
    <n v="4"/>
    <n v="8523"/>
    <n v="2130.75"/>
    <x v="0"/>
    <n v="6750088"/>
    <n v="0.88272318776349756"/>
    <x v="1"/>
  </r>
  <r>
    <x v="424"/>
    <n v="5"/>
    <n v="8494"/>
    <n v="1698.8"/>
    <x v="0"/>
    <n v="6758582"/>
    <n v="0.88383396598696129"/>
    <x v="1"/>
  </r>
  <r>
    <x v="425"/>
    <n v="4"/>
    <n v="8456"/>
    <n v="2114"/>
    <x v="0"/>
    <n v="6767038"/>
    <n v="0.88493977487059772"/>
    <x v="1"/>
  </r>
  <r>
    <x v="426"/>
    <n v="3"/>
    <n v="8437"/>
    <n v="2812.3333333333335"/>
    <x v="0"/>
    <n v="6775475"/>
    <n v="0.88604309908432066"/>
    <x v="1"/>
  </r>
  <r>
    <x v="427"/>
    <n v="4"/>
    <n v="8431"/>
    <n v="2107.75"/>
    <x v="0"/>
    <n v="6783906"/>
    <n v="0.88714563866543927"/>
    <x v="1"/>
  </r>
  <r>
    <x v="428"/>
    <n v="5"/>
    <n v="8378"/>
    <n v="1675.6"/>
    <x v="0"/>
    <n v="6792284"/>
    <n v="0.88824124732522014"/>
    <x v="1"/>
  </r>
  <r>
    <x v="429"/>
    <n v="3"/>
    <n v="8370"/>
    <n v="2790"/>
    <x v="0"/>
    <n v="6800654"/>
    <n v="0.88933580980819527"/>
    <x v="1"/>
  </r>
  <r>
    <x v="430"/>
    <n v="5"/>
    <n v="8274"/>
    <n v="1654.8"/>
    <x v="0"/>
    <n v="6808928"/>
    <n v="0.89041781816950183"/>
    <x v="1"/>
  </r>
  <r>
    <x v="431"/>
    <n v="4"/>
    <n v="8234"/>
    <n v="2058.5"/>
    <x v="0"/>
    <n v="6817162"/>
    <n v="0.8914945956467798"/>
    <x v="1"/>
  </r>
  <r>
    <x v="432"/>
    <n v="4"/>
    <n v="8199"/>
    <n v="2049.75"/>
    <x v="0"/>
    <n v="6825361"/>
    <n v="0.89256679610053291"/>
    <x v="1"/>
  </r>
  <r>
    <x v="433"/>
    <n v="4"/>
    <n v="8175"/>
    <n v="2043.75"/>
    <x v="0"/>
    <n v="6833536"/>
    <n v="0.8936358580238688"/>
    <x v="1"/>
  </r>
  <r>
    <x v="434"/>
    <n v="3"/>
    <n v="8174"/>
    <n v="2724.6666666666665"/>
    <x v="0"/>
    <n v="6841710"/>
    <n v="0.89470478917510399"/>
    <x v="1"/>
  </r>
  <r>
    <x v="435"/>
    <n v="4"/>
    <n v="8157"/>
    <n v="2039.25"/>
    <x v="0"/>
    <n v="6849867"/>
    <n v="0.89577149720062699"/>
    <x v="1"/>
  </r>
  <r>
    <x v="436"/>
    <n v="4"/>
    <n v="8069"/>
    <n v="2017.25"/>
    <x v="0"/>
    <n v="6857936"/>
    <n v="0.89682669728128728"/>
    <x v="1"/>
  </r>
  <r>
    <x v="437"/>
    <n v="3"/>
    <n v="8012"/>
    <n v="2670.6666666666665"/>
    <x v="0"/>
    <n v="6865948"/>
    <n v="0.89787444335220679"/>
    <x v="1"/>
  </r>
  <r>
    <x v="438"/>
    <n v="4"/>
    <n v="8001"/>
    <n v="2000.25"/>
    <x v="0"/>
    <n v="6873949"/>
    <n v="0.89892075093001844"/>
    <x v="1"/>
  </r>
  <r>
    <x v="439"/>
    <n v="3"/>
    <n v="7987"/>
    <n v="2662.3333333333335"/>
    <x v="0"/>
    <n v="6881936"/>
    <n v="0.89996522769842013"/>
    <x v="1"/>
  </r>
  <r>
    <x v="440"/>
    <n v="3"/>
    <n v="7971"/>
    <n v="2657"/>
    <x v="0"/>
    <n v="6889907"/>
    <n v="0.90100761211321045"/>
    <x v="1"/>
  </r>
  <r>
    <x v="441"/>
    <n v="4"/>
    <n v="7965"/>
    <n v="1991.25"/>
    <x v="0"/>
    <n v="6897872"/>
    <n v="0.90204921189539644"/>
    <x v="1"/>
  </r>
  <r>
    <x v="442"/>
    <n v="3"/>
    <n v="7956"/>
    <n v="2652"/>
    <x v="0"/>
    <n v="6905828"/>
    <n v="0.90308963472867598"/>
    <x v="1"/>
  </r>
  <r>
    <x v="443"/>
    <n v="3"/>
    <n v="7881"/>
    <n v="2627"/>
    <x v="0"/>
    <n v="6913709"/>
    <n v="0.90412024965440208"/>
    <x v="1"/>
  </r>
  <r>
    <x v="444"/>
    <n v="3"/>
    <n v="7877"/>
    <n v="2625.6666666666665"/>
    <x v="0"/>
    <n v="6921586"/>
    <n v="0.90515034149172524"/>
    <x v="1"/>
  </r>
  <r>
    <x v="445"/>
    <n v="4"/>
    <n v="7861"/>
    <n v="1965.25"/>
    <x v="0"/>
    <n v="6929447"/>
    <n v="0.90617834097543692"/>
    <x v="1"/>
  </r>
  <r>
    <x v="446"/>
    <n v="3"/>
    <n v="7836"/>
    <n v="2612"/>
    <x v="0"/>
    <n v="6937283"/>
    <n v="0.90720307115663079"/>
    <x v="1"/>
  </r>
  <r>
    <x v="447"/>
    <n v="4"/>
    <n v="7737"/>
    <n v="1934.25"/>
    <x v="0"/>
    <n v="6945020"/>
    <n v="0.9082148548998541"/>
    <x v="1"/>
  </r>
  <r>
    <x v="448"/>
    <n v="3"/>
    <n v="7707"/>
    <n v="2569"/>
    <x v="0"/>
    <n v="6952727"/>
    <n v="0.90922271548005584"/>
    <x v="1"/>
  </r>
  <r>
    <x v="449"/>
    <n v="2"/>
    <n v="7636"/>
    <n v="3818"/>
    <x v="0"/>
    <n v="6960363"/>
    <n v="0.91022129124110696"/>
    <x v="1"/>
  </r>
  <r>
    <x v="450"/>
    <n v="4"/>
    <n v="7630"/>
    <n v="1907.5"/>
    <x v="0"/>
    <n v="6967993"/>
    <n v="0.91121908236955385"/>
    <x v="1"/>
  </r>
  <r>
    <x v="451"/>
    <n v="3"/>
    <n v="7423"/>
    <n v="2474.3333333333335"/>
    <x v="0"/>
    <n v="6975416"/>
    <n v="0.91218980367315294"/>
    <x v="1"/>
  </r>
  <r>
    <x v="452"/>
    <n v="3"/>
    <n v="7411"/>
    <n v="2470.3333333333335"/>
    <x v="0"/>
    <n v="6982827"/>
    <n v="0.91315895571154337"/>
    <x v="1"/>
  </r>
  <r>
    <x v="453"/>
    <n v="4"/>
    <n v="7391"/>
    <n v="1847.75"/>
    <x v="0"/>
    <n v="6990218"/>
    <n v="0.91412549230791962"/>
    <x v="1"/>
  </r>
  <r>
    <x v="454"/>
    <n v="4"/>
    <n v="7378"/>
    <n v="1844.5"/>
    <x v="0"/>
    <n v="6997596"/>
    <n v="0.9150903288669866"/>
    <x v="1"/>
  </r>
  <r>
    <x v="455"/>
    <n v="3"/>
    <n v="7336"/>
    <n v="2445.3333333333335"/>
    <x v="0"/>
    <n v="7004932"/>
    <n v="0.91604967299782358"/>
    <x v="1"/>
  </r>
  <r>
    <x v="456"/>
    <n v="3"/>
    <n v="7280"/>
    <n v="2426.6666666666665"/>
    <x v="0"/>
    <n v="7012212"/>
    <n v="0.9170016938910206"/>
    <x v="1"/>
  </r>
  <r>
    <x v="457"/>
    <n v="3"/>
    <n v="7272"/>
    <n v="2424"/>
    <x v="0"/>
    <n v="7019484"/>
    <n v="0.91795266860741187"/>
    <x v="1"/>
  </r>
  <r>
    <x v="458"/>
    <n v="4"/>
    <n v="7248"/>
    <n v="1812"/>
    <x v="0"/>
    <n v="7026732"/>
    <n v="0.91890050479338592"/>
    <x v="1"/>
  </r>
  <r>
    <x v="459"/>
    <n v="3"/>
    <n v="7166"/>
    <n v="2388.6666666666665"/>
    <x v="0"/>
    <n v="7033898"/>
    <n v="0.91983761766710159"/>
    <x v="1"/>
  </r>
  <r>
    <x v="460"/>
    <n v="5"/>
    <n v="7153"/>
    <n v="1430.6"/>
    <x v="0"/>
    <n v="7041051"/>
    <n v="0.92077303050350789"/>
    <x v="1"/>
  </r>
  <r>
    <x v="461"/>
    <n v="3"/>
    <n v="7114"/>
    <n v="2371.3333333333335"/>
    <x v="0"/>
    <n v="7048165"/>
    <n v="0.92170334322798642"/>
    <x v="1"/>
  </r>
  <r>
    <x v="462"/>
    <n v="3"/>
    <n v="7090"/>
    <n v="2363.3333333333335"/>
    <x v="0"/>
    <n v="7055255"/>
    <n v="0.92263051742204771"/>
    <x v="1"/>
  </r>
  <r>
    <x v="463"/>
    <n v="4"/>
    <n v="7049"/>
    <n v="1762.25"/>
    <x v="0"/>
    <n v="7062304"/>
    <n v="0.92355232995997982"/>
    <x v="1"/>
  </r>
  <r>
    <x v="464"/>
    <n v="3"/>
    <n v="6995"/>
    <n v="2331.6666666666665"/>
    <x v="0"/>
    <n v="7069299"/>
    <n v="0.92446708080447337"/>
    <x v="1"/>
  </r>
  <r>
    <x v="465"/>
    <n v="3"/>
    <n v="6931"/>
    <n v="2310.3333333333335"/>
    <x v="0"/>
    <n v="7076230"/>
    <n v="0.92537346223452122"/>
    <x v="1"/>
  </r>
  <r>
    <x v="466"/>
    <n v="3"/>
    <n v="6910"/>
    <n v="2303.3333333333335"/>
    <x v="0"/>
    <n v="7083140"/>
    <n v="0.92627709745045406"/>
    <x v="1"/>
  </r>
  <r>
    <x v="467"/>
    <n v="3"/>
    <n v="6898"/>
    <n v="2299.3333333333335"/>
    <x v="0"/>
    <n v="7090038"/>
    <n v="0.92717916340117834"/>
    <x v="1"/>
  </r>
  <r>
    <x v="468"/>
    <n v="4"/>
    <n v="6877"/>
    <n v="1719.25"/>
    <x v="0"/>
    <n v="7096915"/>
    <n v="0.92807848313778762"/>
    <x v="1"/>
  </r>
  <r>
    <x v="469"/>
    <n v="2"/>
    <n v="6835"/>
    <n v="3417.5"/>
    <x v="0"/>
    <n v="7103750"/>
    <n v="0.9289723104461669"/>
    <x v="1"/>
  </r>
  <r>
    <x v="470"/>
    <n v="3"/>
    <n v="6827"/>
    <n v="2275.6666666666665"/>
    <x v="0"/>
    <n v="7110577"/>
    <n v="0.92986509157774055"/>
    <x v="1"/>
  </r>
  <r>
    <x v="471"/>
    <n v="4"/>
    <n v="6774"/>
    <n v="1693.5"/>
    <x v="0"/>
    <n v="7117351"/>
    <n v="0.93075094178797635"/>
    <x v="1"/>
  </r>
  <r>
    <x v="472"/>
    <n v="3"/>
    <n v="6761"/>
    <n v="2253.6666666666665"/>
    <x v="0"/>
    <n v="7124112"/>
    <n v="0.93163509196090277"/>
    <x v="1"/>
  </r>
  <r>
    <x v="473"/>
    <n v="5"/>
    <n v="6743"/>
    <n v="1348.6"/>
    <x v="0"/>
    <n v="7130855"/>
    <n v="0.93251688823601642"/>
    <x v="1"/>
  </r>
  <r>
    <x v="474"/>
    <n v="3"/>
    <n v="6729"/>
    <n v="2243"/>
    <x v="0"/>
    <n v="7137584"/>
    <n v="0.9333968537017201"/>
    <x v="1"/>
  </r>
  <r>
    <x v="475"/>
    <n v="3"/>
    <n v="6702"/>
    <n v="2234"/>
    <x v="0"/>
    <n v="7144286"/>
    <n v="0.93427328832070444"/>
    <x v="1"/>
  </r>
  <r>
    <x v="476"/>
    <n v="3"/>
    <n v="6695"/>
    <n v="2231.6666666666665"/>
    <x v="0"/>
    <n v="7150981"/>
    <n v="0.93514880753498386"/>
    <x v="1"/>
  </r>
  <r>
    <x v="477"/>
    <n v="5"/>
    <n v="6681"/>
    <n v="1336.2"/>
    <x v="0"/>
    <n v="7157662"/>
    <n v="0.93602249593985321"/>
    <x v="1"/>
  </r>
  <r>
    <x v="478"/>
    <n v="3"/>
    <n v="6558"/>
    <n v="2186"/>
    <x v="0"/>
    <n v="7164220"/>
    <n v="0.93688009937633476"/>
    <x v="1"/>
  </r>
  <r>
    <x v="479"/>
    <n v="3"/>
    <n v="6543"/>
    <n v="2181"/>
    <x v="0"/>
    <n v="7170763"/>
    <n v="0.93773574123130565"/>
    <x v="1"/>
  </r>
  <r>
    <x v="480"/>
    <n v="3"/>
    <n v="6501"/>
    <n v="2167"/>
    <x v="0"/>
    <n v="7177264"/>
    <n v="0.93858589065804654"/>
    <x v="1"/>
  </r>
  <r>
    <x v="481"/>
    <n v="4"/>
    <n v="6473"/>
    <n v="1618.25"/>
    <x v="0"/>
    <n v="7183737"/>
    <n v="0.93943237846596739"/>
    <x v="1"/>
  </r>
  <r>
    <x v="482"/>
    <n v="3"/>
    <n v="6473"/>
    <n v="2157.6666666666665"/>
    <x v="0"/>
    <n v="7190210"/>
    <n v="0.94027886627388835"/>
    <x v="1"/>
  </r>
  <r>
    <x v="483"/>
    <n v="2"/>
    <n v="6443"/>
    <n v="3221.5"/>
    <x v="0"/>
    <n v="7196653"/>
    <n v="0.94112143091878775"/>
    <x v="1"/>
  </r>
  <r>
    <x v="484"/>
    <n v="2"/>
    <n v="6440"/>
    <n v="3220"/>
    <x v="0"/>
    <n v="7203093"/>
    <n v="0.94196360324738515"/>
    <x v="1"/>
  </r>
  <r>
    <x v="485"/>
    <n v="2"/>
    <n v="6402"/>
    <n v="3201"/>
    <x v="0"/>
    <n v="7209495"/>
    <n v="0.94280080623615536"/>
    <x v="1"/>
  </r>
  <r>
    <x v="486"/>
    <n v="3"/>
    <n v="6269"/>
    <n v="2089.6666666666665"/>
    <x v="0"/>
    <n v="7215764"/>
    <n v="0.94362061653553053"/>
    <x v="1"/>
  </r>
  <r>
    <x v="487"/>
    <n v="4"/>
    <n v="6228"/>
    <n v="1557"/>
    <x v="0"/>
    <n v="7221992"/>
    <n v="0.94443506517877662"/>
    <x v="1"/>
  </r>
  <r>
    <x v="488"/>
    <n v="3"/>
    <n v="6226"/>
    <n v="2075.3333333333335"/>
    <x v="0"/>
    <n v="7228218"/>
    <n v="0.94524925227782119"/>
    <x v="1"/>
  </r>
  <r>
    <x v="489"/>
    <n v="3"/>
    <n v="6196"/>
    <n v="2065.3333333333335"/>
    <x v="0"/>
    <n v="7234414"/>
    <n v="0.94605951621384432"/>
    <x v="1"/>
  </r>
  <r>
    <x v="490"/>
    <n v="5"/>
    <n v="6186"/>
    <n v="1237.2"/>
    <x v="0"/>
    <n v="7240600"/>
    <n v="0.9468684724288603"/>
    <x v="1"/>
  </r>
  <r>
    <x v="491"/>
    <n v="3"/>
    <n v="6169"/>
    <n v="2056.3333333333335"/>
    <x v="0"/>
    <n v="7246769"/>
    <n v="0.9476752055181642"/>
    <x v="1"/>
  </r>
  <r>
    <x v="492"/>
    <n v="2"/>
    <n v="6125"/>
    <n v="3062.5"/>
    <x v="0"/>
    <n v="7252894"/>
    <n v="0.94847618463503669"/>
    <x v="1"/>
  </r>
  <r>
    <x v="493"/>
    <n v="4"/>
    <n v="6054"/>
    <n v="1513.5"/>
    <x v="0"/>
    <n v="7258948"/>
    <n v="0.94926787893275844"/>
    <x v="1"/>
  </r>
  <r>
    <x v="494"/>
    <n v="2"/>
    <n v="6029"/>
    <n v="3014.5"/>
    <x v="0"/>
    <n v="7264977"/>
    <n v="0.95005630392796236"/>
    <x v="1"/>
  </r>
  <r>
    <x v="495"/>
    <n v="2"/>
    <n v="6016"/>
    <n v="3008"/>
    <x v="0"/>
    <n v="7270993"/>
    <n v="0.95084302888585703"/>
    <x v="1"/>
  </r>
  <r>
    <x v="496"/>
    <n v="3"/>
    <n v="5985"/>
    <n v="1995"/>
    <x v="0"/>
    <n v="7276978"/>
    <n v="0.95162569990862955"/>
    <x v="1"/>
  </r>
  <r>
    <x v="497"/>
    <n v="3"/>
    <n v="5867"/>
    <n v="1955.6666666666667"/>
    <x v="0"/>
    <n v="7282845"/>
    <n v="0.9523929398235178"/>
    <x v="1"/>
  </r>
  <r>
    <x v="498"/>
    <n v="2"/>
    <n v="5855"/>
    <n v="2927.5"/>
    <x v="0"/>
    <n v="7288700"/>
    <n v="0.9531586104731975"/>
    <x v="1"/>
  </r>
  <r>
    <x v="499"/>
    <n v="5"/>
    <n v="5791"/>
    <n v="1158.2"/>
    <x v="0"/>
    <n v="7294491"/>
    <n v="0.9539159117084316"/>
    <x v="1"/>
  </r>
  <r>
    <x v="500"/>
    <n v="3"/>
    <n v="5778"/>
    <n v="1926"/>
    <x v="0"/>
    <n v="7300269"/>
    <n v="0.95467151290635632"/>
    <x v="1"/>
  </r>
  <r>
    <x v="501"/>
    <n v="2"/>
    <n v="5765"/>
    <n v="2882.5"/>
    <x v="0"/>
    <n v="7306034"/>
    <n v="0.95542541406697179"/>
    <x v="1"/>
  </r>
  <r>
    <x v="502"/>
    <n v="3"/>
    <n v="5744"/>
    <n v="1914.6666666666667"/>
    <x v="0"/>
    <n v="7311778"/>
    <n v="0.95617656901347226"/>
    <x v="1"/>
  </r>
  <r>
    <x v="503"/>
    <n v="3"/>
    <n v="5628"/>
    <n v="1876"/>
    <x v="0"/>
    <n v="7317406"/>
    <n v="0.95691255439628997"/>
    <x v="1"/>
  </r>
  <r>
    <x v="504"/>
    <n v="3"/>
    <n v="5574"/>
    <n v="1858"/>
    <x v="0"/>
    <n v="7322980"/>
    <n v="0.95764147808566902"/>
    <x v="1"/>
  </r>
  <r>
    <x v="505"/>
    <n v="3"/>
    <n v="5573"/>
    <n v="1857.6666666666667"/>
    <x v="0"/>
    <n v="7328553"/>
    <n v="0.95837027100294747"/>
    <x v="1"/>
  </r>
  <r>
    <x v="506"/>
    <n v="2"/>
    <n v="5523"/>
    <n v="2761.5"/>
    <x v="0"/>
    <n v="7334076"/>
    <n v="0.95909252531519018"/>
    <x v="1"/>
  </r>
  <r>
    <x v="507"/>
    <n v="2"/>
    <n v="5490"/>
    <n v="2745"/>
    <x v="0"/>
    <n v="7339566"/>
    <n v="0.95981046414810933"/>
    <x v="1"/>
  </r>
  <r>
    <x v="508"/>
    <n v="3"/>
    <n v="5474"/>
    <n v="1824.6666666666667"/>
    <x v="0"/>
    <n v="7345040"/>
    <n v="0.96052631062741711"/>
    <x v="1"/>
  </r>
  <r>
    <x v="509"/>
    <n v="3"/>
    <n v="5428"/>
    <n v="1809.3333333333333"/>
    <x v="0"/>
    <n v="7350468"/>
    <n v="0.96123614159009196"/>
    <x v="1"/>
  </r>
  <r>
    <x v="510"/>
    <n v="3"/>
    <n v="5367"/>
    <n v="1789"/>
    <x v="0"/>
    <n v="7355835"/>
    <n v="0.96193799545462333"/>
    <x v="1"/>
  </r>
  <r>
    <x v="511"/>
    <n v="2"/>
    <n v="5358"/>
    <n v="2679"/>
    <x v="0"/>
    <n v="7361193"/>
    <n v="0.96263867237024825"/>
    <x v="1"/>
  </r>
  <r>
    <x v="512"/>
    <n v="4"/>
    <n v="5311"/>
    <n v="1327.75"/>
    <x v="0"/>
    <n v="7366504"/>
    <n v="0.96333320299713965"/>
    <x v="1"/>
  </r>
  <r>
    <x v="513"/>
    <n v="3"/>
    <n v="5290"/>
    <n v="1763.3333333333333"/>
    <x v="0"/>
    <n v="7371794"/>
    <n v="0.96402498740991605"/>
    <x v="1"/>
  </r>
  <r>
    <x v="514"/>
    <n v="3"/>
    <n v="5260"/>
    <n v="1753.3333333333333"/>
    <x v="0"/>
    <n v="7377054"/>
    <n v="0.964712848659671"/>
    <x v="1"/>
  </r>
  <r>
    <x v="515"/>
    <n v="4"/>
    <n v="5258"/>
    <n v="1314.5"/>
    <x v="0"/>
    <n v="7382312"/>
    <n v="0.96540044836522454"/>
    <x v="1"/>
  </r>
  <r>
    <x v="516"/>
    <n v="3"/>
    <n v="5241"/>
    <n v="1747"/>
    <x v="0"/>
    <n v="7387553"/>
    <n v="0.9660858249450659"/>
    <x v="1"/>
  </r>
  <r>
    <x v="517"/>
    <n v="2"/>
    <n v="5236"/>
    <n v="2618"/>
    <x v="0"/>
    <n v="7392789"/>
    <n v="0.96677054766440373"/>
    <x v="1"/>
  </r>
  <r>
    <x v="518"/>
    <n v="3"/>
    <n v="5205"/>
    <n v="1735"/>
    <x v="0"/>
    <n v="7397994"/>
    <n v="0.96745121644861942"/>
    <x v="1"/>
  </r>
  <r>
    <x v="519"/>
    <n v="2"/>
    <n v="5073"/>
    <n v="2536.5"/>
    <x v="0"/>
    <n v="7403067"/>
    <n v="0.96811462331554088"/>
    <x v="1"/>
  </r>
  <r>
    <x v="520"/>
    <n v="3"/>
    <n v="5002"/>
    <n v="1667.3333333333333"/>
    <x v="0"/>
    <n v="7408069"/>
    <n v="0.9687687453633117"/>
    <x v="1"/>
  </r>
  <r>
    <x v="521"/>
    <n v="1"/>
    <n v="4986"/>
    <n v="4986"/>
    <x v="1"/>
    <n v="7413055"/>
    <n v="0.96942077505747104"/>
    <x v="1"/>
  </r>
  <r>
    <x v="522"/>
    <n v="3"/>
    <n v="4939"/>
    <n v="1646.3333333333333"/>
    <x v="0"/>
    <n v="7417994"/>
    <n v="0.97006665846289686"/>
    <x v="1"/>
  </r>
  <r>
    <x v="523"/>
    <n v="1"/>
    <n v="4921"/>
    <n v="4921"/>
    <x v="1"/>
    <n v="7422915"/>
    <n v="0.9707101879705099"/>
    <x v="1"/>
  </r>
  <r>
    <x v="524"/>
    <n v="3"/>
    <n v="4891"/>
    <n v="1630.3333333333333"/>
    <x v="0"/>
    <n v="7427806"/>
    <n v="0.97134979431510138"/>
    <x v="1"/>
  </r>
  <r>
    <x v="525"/>
    <n v="2"/>
    <n v="4870"/>
    <n v="2435"/>
    <x v="0"/>
    <n v="7432676"/>
    <n v="0.97198665444557797"/>
    <x v="1"/>
  </r>
  <r>
    <x v="526"/>
    <n v="1"/>
    <n v="4854"/>
    <n v="4854"/>
    <x v="1"/>
    <n v="7437530"/>
    <n v="0.97262142222244308"/>
    <x v="1"/>
  </r>
  <r>
    <x v="527"/>
    <n v="4"/>
    <n v="4851"/>
    <n v="1212.75"/>
    <x v="0"/>
    <n v="7442381"/>
    <n v="0.97325579768300607"/>
    <x v="1"/>
  </r>
  <r>
    <x v="528"/>
    <n v="4"/>
    <n v="4734"/>
    <n v="1183.5"/>
    <x v="0"/>
    <n v="7447115"/>
    <n v="0.97387487280778551"/>
    <x v="1"/>
  </r>
  <r>
    <x v="529"/>
    <n v="1"/>
    <n v="4713"/>
    <n v="4713"/>
    <x v="1"/>
    <n v="7451828"/>
    <n v="0.97449120171845005"/>
    <x v="1"/>
  </r>
  <r>
    <x v="530"/>
    <n v="2"/>
    <n v="4695"/>
    <n v="2347.5"/>
    <x v="0"/>
    <n v="7456523"/>
    <n v="0.9751051767313017"/>
    <x v="1"/>
  </r>
  <r>
    <x v="531"/>
    <n v="2"/>
    <n v="4672"/>
    <n v="2336"/>
    <x v="0"/>
    <n v="7461195"/>
    <n v="0.97571614398583684"/>
    <x v="1"/>
  </r>
  <r>
    <x v="532"/>
    <n v="2"/>
    <n v="4590"/>
    <n v="2295"/>
    <x v="0"/>
    <n v="7465785"/>
    <n v="0.97631638792811348"/>
    <x v="1"/>
  </r>
  <r>
    <x v="533"/>
    <n v="1"/>
    <n v="4574"/>
    <n v="4574"/>
    <x v="1"/>
    <n v="7470359"/>
    <n v="0.97691453951677876"/>
    <x v="1"/>
  </r>
  <r>
    <x v="534"/>
    <n v="2"/>
    <n v="4558"/>
    <n v="2279"/>
    <x v="0"/>
    <n v="7474917"/>
    <n v="0.97751059875183266"/>
    <x v="1"/>
  </r>
  <r>
    <x v="535"/>
    <n v="2"/>
    <n v="4540"/>
    <n v="2270"/>
    <x v="0"/>
    <n v="7479457"/>
    <n v="0.97810430408907356"/>
    <x v="1"/>
  </r>
  <r>
    <x v="536"/>
    <n v="2"/>
    <n v="4457"/>
    <n v="2228.5"/>
    <x v="0"/>
    <n v="7483914"/>
    <n v="0.97868715534195527"/>
    <x v="1"/>
  </r>
  <r>
    <x v="537"/>
    <n v="3"/>
    <n v="4387"/>
    <n v="1462.3333333333333"/>
    <x v="0"/>
    <n v="7488301"/>
    <n v="0.97926085254778705"/>
    <x v="1"/>
  </r>
  <r>
    <x v="538"/>
    <n v="2"/>
    <n v="4298"/>
    <n v="2149"/>
    <x v="0"/>
    <n v="7492599"/>
    <n v="0.97982291103665531"/>
    <x v="1"/>
  </r>
  <r>
    <x v="539"/>
    <n v="3"/>
    <n v="4252"/>
    <n v="1417.3333333333333"/>
    <x v="0"/>
    <n v="7496851"/>
    <n v="0.98037895400889064"/>
    <x v="1"/>
  </r>
  <r>
    <x v="540"/>
    <n v="2"/>
    <n v="4136"/>
    <n v="2068"/>
    <x v="0"/>
    <n v="7500987"/>
    <n v="0.98091982741744321"/>
    <x v="1"/>
  </r>
  <r>
    <x v="541"/>
    <n v="1"/>
    <n v="4035"/>
    <n v="4035"/>
    <x v="1"/>
    <n v="7505022"/>
    <n v="0.98144749284382371"/>
    <x v="1"/>
  </r>
  <r>
    <x v="542"/>
    <n v="2"/>
    <n v="4012"/>
    <n v="2006"/>
    <x v="0"/>
    <n v="7509034"/>
    <n v="0.9819721505118878"/>
    <x v="1"/>
  </r>
  <r>
    <x v="543"/>
    <n v="4"/>
    <n v="4003"/>
    <n v="1000.75"/>
    <x v="0"/>
    <n v="7513037"/>
    <n v="0.98249563123104544"/>
    <x v="1"/>
  </r>
  <r>
    <x v="544"/>
    <n v="2"/>
    <n v="3999"/>
    <n v="1999.5"/>
    <x v="0"/>
    <n v="7517036"/>
    <n v="0.98301858886180016"/>
    <x v="1"/>
  </r>
  <r>
    <x v="545"/>
    <n v="1"/>
    <n v="3942"/>
    <n v="3942"/>
    <x v="1"/>
    <n v="7520978"/>
    <n v="0.9835340924828142"/>
    <x v="1"/>
  </r>
  <r>
    <x v="546"/>
    <n v="3"/>
    <n v="3927"/>
    <n v="1309"/>
    <x v="0"/>
    <n v="7524905"/>
    <n v="0.98404763452231758"/>
    <x v="1"/>
  </r>
  <r>
    <x v="547"/>
    <n v="1"/>
    <n v="3891"/>
    <n v="3891"/>
    <x v="1"/>
    <n v="7528796"/>
    <n v="0.98455646876619529"/>
    <x v="1"/>
  </r>
  <r>
    <x v="548"/>
    <n v="3"/>
    <n v="3887"/>
    <n v="1295.6666666666667"/>
    <x v="0"/>
    <n v="7532683"/>
    <n v="0.98506477992167008"/>
    <x v="1"/>
  </r>
  <r>
    <x v="549"/>
    <n v="1"/>
    <n v="3830"/>
    <n v="3830"/>
    <x v="1"/>
    <n v="7536513"/>
    <n v="0.9855656370674043"/>
    <x v="1"/>
  </r>
  <r>
    <x v="550"/>
    <n v="1"/>
    <n v="3811"/>
    <n v="3811"/>
    <x v="1"/>
    <n v="7540324"/>
    <n v="0.98606400954322482"/>
    <x v="1"/>
  </r>
  <r>
    <x v="551"/>
    <n v="3"/>
    <n v="3779"/>
    <n v="1259.6666666666667"/>
    <x v="0"/>
    <n v="7544103"/>
    <n v="0.98655819731182259"/>
    <x v="1"/>
  </r>
  <r>
    <x v="552"/>
    <n v="1"/>
    <n v="3693"/>
    <n v="3693"/>
    <x v="1"/>
    <n v="7547796"/>
    <n v="0.98704113867975884"/>
    <x v="1"/>
  </r>
  <r>
    <x v="553"/>
    <n v="1"/>
    <n v="3678"/>
    <n v="3678"/>
    <x v="1"/>
    <n v="7551474"/>
    <n v="0.98752211846618454"/>
    <x v="1"/>
  </r>
  <r>
    <x v="554"/>
    <n v="3"/>
    <n v="3671"/>
    <n v="1223.6666666666667"/>
    <x v="0"/>
    <n v="7555145"/>
    <n v="0.98800218284790509"/>
    <x v="1"/>
  </r>
  <r>
    <x v="555"/>
    <n v="2"/>
    <n v="3667"/>
    <n v="1833.5"/>
    <x v="0"/>
    <n v="7558812"/>
    <n v="0.98848172414122293"/>
    <x v="1"/>
  </r>
  <r>
    <x v="556"/>
    <n v="2"/>
    <n v="3625"/>
    <n v="1812.5"/>
    <x v="0"/>
    <n v="7562437"/>
    <n v="0.98895577300631066"/>
    <x v="1"/>
  </r>
  <r>
    <x v="557"/>
    <n v="2"/>
    <n v="3587"/>
    <n v="1793.5"/>
    <x v="0"/>
    <n v="7566024"/>
    <n v="0.98942485253157131"/>
    <x v="1"/>
  </r>
  <r>
    <x v="558"/>
    <n v="2"/>
    <n v="3528"/>
    <n v="1764"/>
    <x v="0"/>
    <n v="7569552"/>
    <n v="0.98988621650288988"/>
    <x v="1"/>
  </r>
  <r>
    <x v="559"/>
    <n v="2"/>
    <n v="3500"/>
    <n v="1750"/>
    <x v="0"/>
    <n v="7573052"/>
    <n v="0.99034391885538842"/>
    <x v="1"/>
  </r>
  <r>
    <x v="560"/>
    <n v="3"/>
    <n v="3408"/>
    <n v="1136"/>
    <x v="0"/>
    <n v="7576460"/>
    <n v="0.99078959017462132"/>
    <x v="1"/>
  </r>
  <r>
    <x v="561"/>
    <n v="3"/>
    <n v="3323"/>
    <n v="1107.6666666666667"/>
    <x v="0"/>
    <n v="7579783"/>
    <n v="0.9912241458652935"/>
    <x v="1"/>
  </r>
  <r>
    <x v="562"/>
    <n v="3"/>
    <n v="3190"/>
    <n v="1063.3333333333333"/>
    <x v="0"/>
    <n v="7582973"/>
    <n v="0.99164130886657076"/>
    <x v="1"/>
  </r>
  <r>
    <x v="563"/>
    <n v="2"/>
    <n v="3190"/>
    <n v="1595"/>
    <x v="0"/>
    <n v="7586163"/>
    <n v="0.99205847186784801"/>
    <x v="1"/>
  </r>
  <r>
    <x v="564"/>
    <n v="3"/>
    <n v="3175"/>
    <n v="1058.3333333333333"/>
    <x v="0"/>
    <n v="7589338"/>
    <n v="0.99247367328761449"/>
    <x v="1"/>
  </r>
  <r>
    <x v="565"/>
    <n v="1"/>
    <n v="3147"/>
    <n v="3147"/>
    <x v="1"/>
    <n v="7592485"/>
    <n v="0.99288521308856104"/>
    <x v="1"/>
  </r>
  <r>
    <x v="566"/>
    <n v="2"/>
    <n v="3109"/>
    <n v="1554.5"/>
    <x v="0"/>
    <n v="7595594"/>
    <n v="0.99329178354968051"/>
    <x v="1"/>
  </r>
  <r>
    <x v="567"/>
    <n v="1"/>
    <n v="3046"/>
    <n v="3046"/>
    <x v="1"/>
    <n v="7598640"/>
    <n v="0.99369011536845497"/>
    <x v="1"/>
  </r>
  <r>
    <x v="568"/>
    <n v="3"/>
    <n v="2994"/>
    <n v="998"/>
    <x v="0"/>
    <n v="7601634"/>
    <n v="0.99408164703799229"/>
    <x v="1"/>
  </r>
  <r>
    <x v="569"/>
    <n v="3"/>
    <n v="2919"/>
    <n v="973"/>
    <x v="0"/>
    <n v="7604553"/>
    <n v="0.99446337079997604"/>
    <x v="1"/>
  </r>
  <r>
    <x v="570"/>
    <n v="1"/>
    <n v="2750"/>
    <n v="2750"/>
    <x v="1"/>
    <n v="7607303"/>
    <n v="0.99482299407693919"/>
    <x v="1"/>
  </r>
  <r>
    <x v="571"/>
    <n v="3"/>
    <n v="2710"/>
    <n v="903.33333333333337"/>
    <x v="0"/>
    <n v="7610013"/>
    <n v="0.99517738646987386"/>
    <x v="1"/>
  </r>
  <r>
    <x v="572"/>
    <n v="3"/>
    <n v="2620"/>
    <n v="873.33333333333337"/>
    <x v="0"/>
    <n v="7612633"/>
    <n v="0.99552000937374419"/>
    <x v="1"/>
  </r>
  <r>
    <x v="573"/>
    <n v="1"/>
    <n v="2609"/>
    <n v="2609"/>
    <x v="1"/>
    <n v="7615242"/>
    <n v="0.99586119378450666"/>
    <x v="1"/>
  </r>
  <r>
    <x v="574"/>
    <n v="2"/>
    <n v="2607"/>
    <n v="1303.5"/>
    <x v="0"/>
    <n v="7617849"/>
    <n v="0.99620211665106773"/>
    <x v="1"/>
  </r>
  <r>
    <x v="575"/>
    <n v="2"/>
    <n v="2576"/>
    <n v="1288"/>
    <x v="0"/>
    <n v="7620425"/>
    <n v="0.99653898558250664"/>
    <x v="1"/>
  </r>
  <r>
    <x v="576"/>
    <n v="2"/>
    <n v="2446"/>
    <n v="1223"/>
    <x v="0"/>
    <n v="7622871"/>
    <n v="0.99685885414085285"/>
    <x v="1"/>
  </r>
  <r>
    <x v="577"/>
    <n v="1"/>
    <n v="2396"/>
    <n v="2396"/>
    <x v="1"/>
    <n v="7625267"/>
    <n v="0.99717218409416319"/>
    <x v="1"/>
  </r>
  <r>
    <x v="578"/>
    <n v="2"/>
    <n v="2343"/>
    <n v="1171.5"/>
    <x v="0"/>
    <n v="7627610"/>
    <n v="0.9974785831261358"/>
    <x v="1"/>
  </r>
  <r>
    <x v="579"/>
    <n v="2"/>
    <n v="2282"/>
    <n v="1141"/>
    <x v="0"/>
    <n v="7629892"/>
    <n v="0.99777700505996492"/>
    <x v="1"/>
  </r>
  <r>
    <x v="580"/>
    <n v="1"/>
    <n v="2102"/>
    <n v="2102"/>
    <x v="1"/>
    <n v="7631994"/>
    <n v="0.99805188801566547"/>
    <x v="1"/>
  </r>
  <r>
    <x v="581"/>
    <n v="3"/>
    <n v="2058"/>
    <n v="686"/>
    <x v="0"/>
    <n v="7634052"/>
    <n v="0.99832101699893461"/>
    <x v="1"/>
  </r>
  <r>
    <x v="582"/>
    <n v="1"/>
    <n v="1944"/>
    <n v="1944"/>
    <x v="1"/>
    <n v="7635996"/>
    <n v="0.99857523796272241"/>
    <x v="1"/>
  </r>
  <r>
    <x v="583"/>
    <n v="2"/>
    <n v="1637"/>
    <n v="818.5"/>
    <x v="0"/>
    <n v="7637633"/>
    <n v="0.99878931189159093"/>
    <x v="1"/>
  </r>
  <r>
    <x v="584"/>
    <n v="1"/>
    <n v="1584"/>
    <n v="1584"/>
    <x v="1"/>
    <n v="7639217"/>
    <n v="0.9989964548991217"/>
    <x v="1"/>
  </r>
  <r>
    <x v="585"/>
    <n v="1"/>
    <n v="1582"/>
    <n v="1582"/>
    <x v="1"/>
    <n v="7640799"/>
    <n v="0.99920333636245107"/>
    <x v="1"/>
  </r>
  <r>
    <x v="586"/>
    <n v="1"/>
    <n v="1380"/>
    <n v="1380"/>
    <x v="1"/>
    <n v="7642179"/>
    <n v="0.99938380186143627"/>
    <x v="1"/>
  </r>
  <r>
    <x v="587"/>
    <n v="1"/>
    <n v="999"/>
    <n v="999"/>
    <x v="1"/>
    <n v="7643178"/>
    <n v="0.99951444319004934"/>
    <x v="1"/>
  </r>
  <r>
    <x v="588"/>
    <n v="2"/>
    <n v="976"/>
    <n v="488"/>
    <x v="0"/>
    <n v="7644154"/>
    <n v="0.99964207676034611"/>
    <x v="1"/>
  </r>
  <r>
    <x v="589"/>
    <n v="1"/>
    <n v="957"/>
    <n v="957"/>
    <x v="1"/>
    <n v="7645111"/>
    <n v="0.99976722566072929"/>
    <x v="1"/>
  </r>
  <r>
    <x v="590"/>
    <n v="1"/>
    <n v="693"/>
    <n v="693"/>
    <x v="1"/>
    <n v="7645804"/>
    <n v="0.999857850726524"/>
    <x v="1"/>
  </r>
  <r>
    <x v="591"/>
    <n v="1"/>
    <n v="446"/>
    <n v="446"/>
    <x v="1"/>
    <n v="7646250"/>
    <n v="0.99991617508344244"/>
    <x v="1"/>
  </r>
  <r>
    <x v="592"/>
    <n v="1"/>
    <n v="416"/>
    <n v="416"/>
    <x v="1"/>
    <n v="7646666"/>
    <n v="0.99997057627733943"/>
    <x v="1"/>
  </r>
  <r>
    <x v="593"/>
    <n v="1"/>
    <n v="225"/>
    <n v="225"/>
    <x v="1"/>
    <n v="7646891"/>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98D4B-1CDB-40DD-88D3-C167A898D1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7">
    <pivotField showAll="0"/>
    <pivotField showAll="0"/>
    <pivotField numFmtId="164" showAll="0"/>
    <pivotField showAll="0"/>
    <pivotField showAll="0"/>
    <pivotField axis="axisRow" showAll="0">
      <items count="5">
        <item x="1"/>
        <item x="0"/>
        <item x="3"/>
        <item x="2"/>
        <item t="default"/>
      </items>
    </pivotField>
    <pivotField dataField="1" showAll="0"/>
  </pivotFields>
  <rowFields count="1">
    <field x="5"/>
  </rowFields>
  <rowItems count="5">
    <i>
      <x/>
    </i>
    <i>
      <x v="1"/>
    </i>
    <i>
      <x v="2"/>
    </i>
    <i>
      <x v="3"/>
    </i>
    <i t="grand">
      <x/>
    </i>
  </rowItems>
  <colItems count="1">
    <i/>
  </colItems>
  <dataFields count="1">
    <dataField name="Total Sales" fld="6" baseField="5" baseItem="0"/>
  </dataFields>
  <formats count="6">
    <format dxfId="3">
      <pivotArea dataOnly="0" labelOnly="1" outline="0" axis="axisValues" fieldPosition="0"/>
    </format>
    <format dxfId="4">
      <pivotArea collapsedLevelsAreSubtotals="1" fieldPosition="0">
        <references count="1">
          <reference field="5" count="1">
            <x v="0"/>
          </reference>
        </references>
      </pivotArea>
    </format>
    <format dxfId="5">
      <pivotArea collapsedLevelsAreSubtotals="1" fieldPosition="0">
        <references count="1">
          <reference field="5" count="1">
            <x v="1"/>
          </reference>
        </references>
      </pivotArea>
    </format>
    <format dxfId="6">
      <pivotArea collapsedLevelsAreSubtotals="1" fieldPosition="0">
        <references count="1">
          <reference field="5" count="1">
            <x v="2"/>
          </reference>
        </references>
      </pivotArea>
    </format>
    <format dxfId="7">
      <pivotArea collapsedLevelsAreSubtotals="1" fieldPosition="0">
        <references count="1">
          <reference field="5" count="1">
            <x v="3"/>
          </reference>
        </references>
      </pivotArea>
    </format>
    <format dxfId="8">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9A3E62-1F5A-4F08-9183-99E07BB2454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5">
    <pivotField dataField="1" showAll="0"/>
    <pivotField showAll="0"/>
    <pivotField showAll="0"/>
    <pivotField showAll="0"/>
    <pivotField axis="axisRow" showAll="0">
      <items count="3">
        <item x="1"/>
        <item x="0"/>
        <item t="default"/>
      </items>
    </pivotField>
  </pivotFields>
  <rowFields count="1">
    <field x="4"/>
  </rowFields>
  <rowItems count="3">
    <i>
      <x/>
    </i>
    <i>
      <x v="1"/>
    </i>
    <i t="grand">
      <x/>
    </i>
  </rowItems>
  <colItems count="1">
    <i/>
  </colItems>
  <dataFields count="1">
    <dataField name="Sum of CustomerID" fld="0" baseField="0" baseItem="0"/>
  </dataFields>
  <formats count="3">
    <format dxfId="11">
      <pivotArea collapsedLevelsAreSubtotals="1" fieldPosition="0">
        <references count="1">
          <reference field="4" count="1">
            <x v="0"/>
          </reference>
        </references>
      </pivotArea>
    </format>
    <format dxfId="10">
      <pivotArea collapsedLevelsAreSubtotals="1" fieldPosition="0">
        <references count="1">
          <reference field="4" count="1">
            <x v="1"/>
          </reference>
        </references>
      </pivotArea>
    </format>
    <format dxfId="9">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0D68B-64FB-41D6-AF48-00E4F6506FB9}" name="PivotTable1"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C5" firstHeaderRow="0" firstDataRow="1" firstDataCol="1"/>
  <pivotFields count="8">
    <pivotField dataField="1" showAll="0"/>
    <pivotField numFmtId="2" showAll="0"/>
    <pivotField dataField="1" numFmtId="2" showAll="0"/>
    <pivotField numFmtId="2" showAll="0"/>
    <pivotField showAll="0">
      <items count="3">
        <item x="1"/>
        <item x="0"/>
        <item t="default"/>
      </items>
    </pivotField>
    <pivotField numFmtId="2" showAll="0"/>
    <pivotField numFmtId="10" showAll="0"/>
    <pivotField axis="axisRow" showAll="0">
      <items count="3">
        <item x="1"/>
        <item x="0"/>
        <item t="default"/>
      </items>
    </pivotField>
  </pivotFields>
  <rowFields count="1">
    <field x="7"/>
  </rowFields>
  <rowItems count="2">
    <i>
      <x/>
    </i>
    <i>
      <x v="1"/>
    </i>
  </rowItems>
  <colFields count="1">
    <field x="-2"/>
  </colFields>
  <colItems count="2">
    <i>
      <x/>
    </i>
    <i i="1">
      <x v="1"/>
    </i>
  </colItems>
  <dataFields count="2">
    <dataField name="Sum of Total_Revenue" fld="2" baseField="0" baseItem="0"/>
    <dataField name="Sum of CustomerID" fld="0" baseField="0" baseItem="0"/>
  </dataFields>
  <formats count="3">
    <format dxfId="2">
      <pivotArea dataOnly="0" labelOnly="1" outline="0" axis="axisValues" fieldPosition="0"/>
    </format>
    <format dxfId="1">
      <pivotArea collapsedLevelsAreSubtotals="1" fieldPosition="0">
        <references count="1">
          <reference field="7" count="1">
            <x v="0"/>
          </reference>
        </references>
      </pivotArea>
    </format>
    <format dxfId="0">
      <pivotArea collapsedLevelsAreSubtotals="1" fieldPosition="0">
        <references count="1">
          <reference field="7"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7" count="1" selected="0">
            <x v="0"/>
          </reference>
        </references>
      </pivotArea>
    </chartFormat>
    <chartFormat chart="2" format="13">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63A402-8DED-496A-B04A-F2D93AE5BCF8}" name="PivotTable2"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5" firstHeaderRow="1" firstDataRow="1" firstDataCol="1"/>
  <pivotFields count="8">
    <pivotField showAll="0"/>
    <pivotField numFmtId="2" showAll="0"/>
    <pivotField dataField="1" numFmtId="2" showAll="0"/>
    <pivotField numFmtId="2" showAll="0"/>
    <pivotField axis="axisRow" showAll="0">
      <items count="3">
        <item x="1"/>
        <item x="0"/>
        <item t="default"/>
      </items>
    </pivotField>
    <pivotField numFmtId="2" showAll="0"/>
    <pivotField numFmtId="10" showAll="0"/>
    <pivotField showAll="0"/>
  </pivotFields>
  <rowFields count="1">
    <field x="4"/>
  </rowFields>
  <rowItems count="2">
    <i>
      <x/>
    </i>
    <i>
      <x v="1"/>
    </i>
  </rowItems>
  <colItems count="1">
    <i/>
  </colItems>
  <dataFields count="1">
    <dataField name="Sum of Total_Revenue"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5DEF8F-8F11-438D-8D36-A138B332CB7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98" firstHeaderRow="1" firstDataRow="1" firstDataCol="1"/>
  <pivotFields count="8">
    <pivotField axis="axisRow" showAll="0">
      <items count="595">
        <item x="228"/>
        <item x="180"/>
        <item x="423"/>
        <item x="556"/>
        <item x="214"/>
        <item x="565"/>
        <item x="116"/>
        <item x="140"/>
        <item x="514"/>
        <item x="94"/>
        <item x="368"/>
        <item x="27"/>
        <item x="251"/>
        <item x="120"/>
        <item x="269"/>
        <item x="499"/>
        <item x="91"/>
        <item x="583"/>
        <item x="99"/>
        <item x="129"/>
        <item x="195"/>
        <item x="64"/>
        <item x="72"/>
        <item x="589"/>
        <item x="263"/>
        <item x="348"/>
        <item x="307"/>
        <item x="246"/>
        <item x="113"/>
        <item x="446"/>
        <item x="472"/>
        <item x="557"/>
        <item x="539"/>
        <item x="397"/>
        <item x="194"/>
        <item x="406"/>
        <item x="428"/>
        <item x="516"/>
        <item x="34"/>
        <item x="177"/>
        <item x="38"/>
        <item x="344"/>
        <item x="95"/>
        <item x="491"/>
        <item x="586"/>
        <item x="217"/>
        <item x="26"/>
        <item x="569"/>
        <item x="225"/>
        <item x="507"/>
        <item x="326"/>
        <item x="97"/>
        <item x="402"/>
        <item x="216"/>
        <item x="356"/>
        <item x="513"/>
        <item x="134"/>
        <item x="297"/>
        <item x="384"/>
        <item x="439"/>
        <item x="378"/>
        <item x="158"/>
        <item x="494"/>
        <item x="279"/>
        <item x="382"/>
        <item x="548"/>
        <item x="467"/>
        <item x="148"/>
        <item x="313"/>
        <item x="527"/>
        <item x="178"/>
        <item x="426"/>
        <item x="6"/>
        <item x="358"/>
        <item x="469"/>
        <item x="145"/>
        <item x="395"/>
        <item x="555"/>
        <item x="220"/>
        <item x="487"/>
        <item x="249"/>
        <item x="11"/>
        <item x="443"/>
        <item x="110"/>
        <item x="218"/>
        <item x="253"/>
        <item x="261"/>
        <item x="359"/>
        <item x="483"/>
        <item x="73"/>
        <item x="504"/>
        <item x="570"/>
        <item x="243"/>
        <item x="295"/>
        <item x="444"/>
        <item x="196"/>
        <item x="35"/>
        <item x="466"/>
        <item x="372"/>
        <item x="82"/>
        <item x="267"/>
        <item x="136"/>
        <item x="404"/>
        <item x="229"/>
        <item x="250"/>
        <item x="287"/>
        <item x="67"/>
        <item x="580"/>
        <item x="260"/>
        <item x="392"/>
        <item x="23"/>
        <item x="156"/>
        <item x="417"/>
        <item x="318"/>
        <item x="100"/>
        <item x="14"/>
        <item x="89"/>
        <item x="198"/>
        <item x="574"/>
        <item x="76"/>
        <item x="544"/>
        <item x="213"/>
        <item x="524"/>
        <item x="232"/>
        <item x="142"/>
        <item x="179"/>
        <item x="128"/>
        <item x="17"/>
        <item x="133"/>
        <item x="190"/>
        <item x="114"/>
        <item x="416"/>
        <item x="578"/>
        <item x="575"/>
        <item x="59"/>
        <item x="461"/>
        <item x="219"/>
        <item x="451"/>
        <item x="272"/>
        <item x="445"/>
        <item x="68"/>
        <item x="37"/>
        <item x="164"/>
        <item x="289"/>
        <item x="31"/>
        <item x="421"/>
        <item x="106"/>
        <item x="573"/>
        <item x="363"/>
        <item x="471"/>
        <item x="188"/>
        <item x="0"/>
        <item x="479"/>
        <item x="81"/>
        <item x="259"/>
        <item x="508"/>
        <item x="57"/>
        <item x="8"/>
        <item x="24"/>
        <item x="203"/>
        <item x="47"/>
        <item x="266"/>
        <item x="71"/>
        <item x="376"/>
        <item x="224"/>
        <item x="132"/>
        <item x="526"/>
        <item x="245"/>
        <item x="588"/>
        <item x="169"/>
        <item x="101"/>
        <item x="371"/>
        <item x="480"/>
        <item x="457"/>
        <item x="477"/>
        <item x="234"/>
        <item x="339"/>
        <item x="486"/>
        <item x="590"/>
        <item x="192"/>
        <item x="7"/>
        <item x="380"/>
        <item x="547"/>
        <item x="520"/>
        <item x="518"/>
        <item x="22"/>
        <item x="533"/>
        <item x="32"/>
        <item x="349"/>
        <item x="62"/>
        <item x="566"/>
        <item x="199"/>
        <item x="413"/>
        <item x="28"/>
        <item x="117"/>
        <item x="563"/>
        <item x="455"/>
        <item x="49"/>
        <item x="168"/>
        <item x="115"/>
        <item x="256"/>
        <item x="482"/>
        <item x="528"/>
        <item x="329"/>
        <item x="458"/>
        <item x="347"/>
        <item x="419"/>
        <item x="435"/>
        <item x="585"/>
        <item x="112"/>
        <item x="124"/>
        <item x="412"/>
        <item x="40"/>
        <item x="175"/>
        <item x="96"/>
        <item x="577"/>
        <item x="44"/>
        <item x="510"/>
        <item x="342"/>
        <item x="4"/>
        <item x="315"/>
        <item x="310"/>
        <item x="42"/>
        <item x="103"/>
        <item x="328"/>
        <item x="173"/>
        <item x="365"/>
        <item x="102"/>
        <item x="465"/>
        <item x="13"/>
        <item x="361"/>
        <item x="375"/>
        <item x="433"/>
        <item x="383"/>
        <item x="522"/>
        <item x="201"/>
        <item x="549"/>
        <item x="394"/>
        <item x="48"/>
        <item x="211"/>
        <item x="316"/>
        <item x="511"/>
        <item x="405"/>
        <item x="323"/>
        <item x="525"/>
        <item x="534"/>
        <item x="302"/>
        <item x="121"/>
        <item x="576"/>
        <item x="78"/>
        <item x="88"/>
        <item x="584"/>
        <item x="335"/>
        <item x="515"/>
        <item x="400"/>
        <item x="298"/>
        <item x="61"/>
        <item x="41"/>
        <item x="311"/>
        <item x="293"/>
        <item x="292"/>
        <item x="324"/>
        <item x="265"/>
        <item x="554"/>
        <item x="16"/>
        <item x="501"/>
        <item x="415"/>
        <item x="432"/>
        <item x="561"/>
        <item x="45"/>
        <item x="252"/>
        <item x="495"/>
        <item x="322"/>
        <item x="46"/>
        <item x="391"/>
        <item x="396"/>
        <item x="242"/>
        <item x="197"/>
        <item x="496"/>
        <item x="172"/>
        <item x="296"/>
        <item x="55"/>
        <item x="157"/>
        <item x="303"/>
        <item x="10"/>
        <item x="79"/>
        <item x="398"/>
        <item x="390"/>
        <item x="478"/>
        <item x="276"/>
        <item x="230"/>
        <item x="351"/>
        <item x="153"/>
        <item x="519"/>
        <item x="381"/>
        <item x="456"/>
        <item x="104"/>
        <item x="5"/>
        <item x="43"/>
        <item x="312"/>
        <item x="84"/>
        <item x="202"/>
        <item x="500"/>
        <item x="448"/>
        <item x="364"/>
        <item x="560"/>
        <item x="333"/>
        <item x="399"/>
        <item x="85"/>
        <item x="137"/>
        <item x="529"/>
        <item x="360"/>
        <item x="592"/>
        <item x="20"/>
        <item x="581"/>
        <item x="105"/>
        <item x="273"/>
        <item x="531"/>
        <item x="138"/>
        <item x="327"/>
        <item x="352"/>
        <item x="255"/>
        <item x="314"/>
        <item x="387"/>
        <item x="238"/>
        <item x="221"/>
        <item x="346"/>
        <item x="490"/>
        <item x="567"/>
        <item x="226"/>
        <item x="151"/>
        <item x="223"/>
        <item x="160"/>
        <item x="90"/>
        <item x="517"/>
        <item x="386"/>
        <item x="408"/>
        <item x="3"/>
        <item x="284"/>
        <item x="9"/>
        <item x="385"/>
        <item x="176"/>
        <item x="559"/>
        <item x="212"/>
        <item x="33"/>
        <item x="236"/>
        <item x="498"/>
        <item x="572"/>
        <item x="277"/>
        <item x="165"/>
        <item x="552"/>
        <item x="210"/>
        <item x="488"/>
        <item x="308"/>
        <item x="206"/>
        <item x="209"/>
        <item x="208"/>
        <item x="475"/>
        <item x="54"/>
        <item x="86"/>
        <item x="74"/>
        <item x="370"/>
        <item x="409"/>
        <item x="582"/>
        <item x="374"/>
        <item x="401"/>
        <item x="257"/>
        <item x="393"/>
        <item x="338"/>
        <item x="56"/>
        <item x="150"/>
        <item x="60"/>
        <item x="189"/>
        <item x="75"/>
        <item x="330"/>
        <item x="65"/>
        <item x="58"/>
        <item x="336"/>
        <item x="452"/>
        <item x="468"/>
        <item x="215"/>
        <item x="98"/>
        <item x="149"/>
        <item x="497"/>
        <item x="538"/>
        <item x="309"/>
        <item x="167"/>
        <item x="162"/>
        <item x="305"/>
        <item x="442"/>
        <item x="306"/>
        <item x="427"/>
        <item x="147"/>
        <item x="345"/>
        <item x="53"/>
        <item x="240"/>
        <item x="18"/>
        <item x="460"/>
        <item x="447"/>
        <item x="317"/>
        <item x="125"/>
        <item x="233"/>
        <item x="92"/>
        <item x="262"/>
        <item x="521"/>
        <item x="341"/>
        <item x="509"/>
        <item x="474"/>
        <item x="579"/>
        <item x="135"/>
        <item x="241"/>
        <item x="291"/>
        <item x="350"/>
        <item x="420"/>
        <item x="294"/>
        <item x="70"/>
        <item x="505"/>
        <item x="139"/>
        <item x="530"/>
        <item x="200"/>
        <item x="275"/>
        <item x="244"/>
        <item x="107"/>
        <item x="300"/>
        <item x="340"/>
        <item x="470"/>
        <item x="436"/>
        <item x="69"/>
        <item x="449"/>
        <item x="1"/>
        <item x="63"/>
        <item x="207"/>
        <item x="453"/>
        <item x="492"/>
        <item x="288"/>
        <item x="50"/>
        <item x="185"/>
        <item x="186"/>
        <item x="536"/>
        <item x="237"/>
        <item x="407"/>
        <item x="325"/>
        <item x="366"/>
        <item x="143"/>
        <item x="111"/>
        <item x="410"/>
        <item x="462"/>
        <item x="367"/>
        <item x="357"/>
        <item x="51"/>
        <item x="152"/>
        <item x="343"/>
        <item x="532"/>
        <item x="126"/>
        <item x="181"/>
        <item x="379"/>
        <item x="411"/>
        <item x="235"/>
        <item x="587"/>
        <item x="564"/>
        <item x="77"/>
        <item x="193"/>
        <item x="558"/>
        <item x="205"/>
        <item x="418"/>
        <item x="187"/>
        <item x="459"/>
        <item x="170"/>
        <item x="80"/>
        <item x="320"/>
        <item x="2"/>
        <item x="66"/>
        <item x="568"/>
        <item x="541"/>
        <item x="542"/>
        <item x="441"/>
        <item x="430"/>
        <item x="130"/>
        <item x="489"/>
        <item x="163"/>
        <item x="334"/>
        <item x="545"/>
        <item x="274"/>
        <item x="299"/>
        <item x="239"/>
        <item x="369"/>
        <item x="285"/>
        <item x="278"/>
        <item x="25"/>
        <item x="301"/>
        <item x="553"/>
        <item x="36"/>
        <item x="546"/>
        <item x="247"/>
        <item x="30"/>
        <item x="123"/>
        <item x="355"/>
        <item x="248"/>
        <item x="286"/>
        <item x="231"/>
        <item x="93"/>
        <item x="502"/>
        <item x="271"/>
        <item x="425"/>
        <item x="493"/>
        <item x="183"/>
        <item x="543"/>
        <item x="473"/>
        <item x="373"/>
        <item x="161"/>
        <item x="109"/>
        <item x="21"/>
        <item x="331"/>
        <item x="290"/>
        <item x="146"/>
        <item x="119"/>
        <item x="434"/>
        <item x="403"/>
        <item x="39"/>
        <item x="304"/>
        <item x="12"/>
        <item x="512"/>
        <item x="523"/>
        <item x="270"/>
        <item x="535"/>
        <item x="551"/>
        <item x="222"/>
        <item x="204"/>
        <item x="506"/>
        <item x="484"/>
        <item x="440"/>
        <item x="29"/>
        <item x="282"/>
        <item x="454"/>
        <item x="481"/>
        <item x="571"/>
        <item x="258"/>
        <item x="562"/>
        <item x="362"/>
        <item x="593"/>
        <item x="155"/>
        <item x="141"/>
        <item x="122"/>
        <item x="424"/>
        <item x="131"/>
        <item x="83"/>
        <item x="437"/>
        <item x="280"/>
        <item x="15"/>
        <item x="550"/>
        <item x="319"/>
        <item x="182"/>
        <item x="166"/>
        <item x="127"/>
        <item x="464"/>
        <item x="19"/>
        <item x="281"/>
        <item x="118"/>
        <item x="144"/>
        <item x="438"/>
        <item x="52"/>
        <item x="353"/>
        <item x="429"/>
        <item x="389"/>
        <item x="431"/>
        <item x="191"/>
        <item x="171"/>
        <item x="108"/>
        <item x="87"/>
        <item x="159"/>
        <item x="450"/>
        <item x="354"/>
        <item x="264"/>
        <item x="254"/>
        <item x="321"/>
        <item x="268"/>
        <item x="337"/>
        <item x="540"/>
        <item x="154"/>
        <item x="332"/>
        <item x="388"/>
        <item x="377"/>
        <item x="227"/>
        <item x="463"/>
        <item x="414"/>
        <item x="503"/>
        <item x="476"/>
        <item x="422"/>
        <item x="184"/>
        <item x="591"/>
        <item x="283"/>
        <item x="485"/>
        <item x="174"/>
        <item x="537"/>
        <item t="default"/>
      </items>
    </pivotField>
    <pivotField numFmtId="2" showAll="0"/>
    <pivotField numFmtId="2" showAll="0"/>
    <pivotField numFmtId="2" showAll="0"/>
    <pivotField showAll="0"/>
    <pivotField dataField="1" numFmtId="2" showAll="0"/>
    <pivotField numFmtId="10" showAll="0"/>
    <pivotField showAll="0"/>
  </pivotFields>
  <rowFields count="1">
    <field x="0"/>
  </rowFields>
  <rowItems count="5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t="grand">
      <x/>
    </i>
  </rowItems>
  <colItems count="1">
    <i/>
  </colItems>
  <dataFields count="1">
    <dataField name="Sum of Cumulative_Revenue" fld="5" baseField="0" baseItem="0"/>
  </dataFields>
  <chartFormats count="5">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C7C423-884F-41E6-B650-04E867F1BFFC}" name="PivotTable5"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B2" firstHeaderRow="1" firstDataRow="1" firstDataCol="1"/>
  <pivotFields count="8">
    <pivotField showAll="0"/>
    <pivotField numFmtId="2" showAll="0"/>
    <pivotField numFmtId="2" showAll="0"/>
    <pivotField dataField="1" numFmtId="2" showAll="0"/>
    <pivotField axis="axisRow" showAll="0">
      <items count="3">
        <item x="1"/>
        <item h="1" x="0"/>
        <item t="default"/>
      </items>
    </pivotField>
    <pivotField numFmtId="2" showAll="0"/>
    <pivotField numFmtId="10" showAll="0"/>
    <pivotField showAll="0">
      <items count="3">
        <item x="1"/>
        <item h="1" x="0"/>
        <item t="default"/>
      </items>
    </pivotField>
  </pivotFields>
  <rowFields count="1">
    <field x="4"/>
  </rowFields>
  <rowItems count="1">
    <i>
      <x/>
    </i>
  </rowItems>
  <colItems count="1">
    <i/>
  </colItems>
  <dataFields count="1">
    <dataField name="Sum of Avg_Order_Value" fld="3"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ld_Vs_New_Customer" xr10:uid="{752DD04C-771A-43BD-AFC0-08285E2F19C0}" sourceName="Old_Vs_New_Customer">
  <pivotTables>
    <pivotTable tabId="9" name="PivotTable5"/>
  </pivotTables>
  <data>
    <tabular pivotCacheId="1875830415">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20" xr10:uid="{61B1CB29-2002-4E1F-B30A-1CAF81AD2A5A}" sourceName="Top_20%">
  <pivotTables>
    <pivotTable tabId="9" name="PivotTable5"/>
  </pivotTables>
  <data>
    <tabular pivotCacheId="1875830415">
      <items count="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ld_Vs_New_Customer" xr10:uid="{58DF2BDD-47BA-4F38-8425-6E4380FFDCC5}" cache="Slicer_Old_Vs_New_Customer" caption="Old_Vs_New_Customer" rowHeight="241300"/>
  <slicer name="Top_20%" xr10:uid="{07DE479D-E8F4-48E8-BCC3-03FFC0B31CE9}" cache="Slicer_Top_20" caption="Top_20%"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AC30A-846A-4E02-BB50-FBE0F658C006}">
  <dimension ref="A3:B8"/>
  <sheetViews>
    <sheetView zoomScaleNormal="100" workbookViewId="0">
      <selection activeCell="L4" sqref="L4"/>
    </sheetView>
  </sheetViews>
  <sheetFormatPr defaultRowHeight="15" x14ac:dyDescent="0.25"/>
  <cols>
    <col min="1" max="1" width="13.140625" bestFit="1" customWidth="1"/>
    <col min="2" max="2" width="12.7109375" bestFit="1" customWidth="1"/>
  </cols>
  <sheetData>
    <row r="3" spans="1:2" x14ac:dyDescent="0.25">
      <c r="A3" s="3" t="s">
        <v>17</v>
      </c>
      <c r="B3" s="5" t="s">
        <v>25</v>
      </c>
    </row>
    <row r="4" spans="1:2" x14ac:dyDescent="0.25">
      <c r="A4" s="4" t="s">
        <v>10</v>
      </c>
      <c r="B4" s="5">
        <v>1861378</v>
      </c>
    </row>
    <row r="5" spans="1:2" x14ac:dyDescent="0.25">
      <c r="A5" s="4" t="s">
        <v>9</v>
      </c>
      <c r="B5" s="5">
        <v>2018159</v>
      </c>
    </row>
    <row r="6" spans="1:2" x14ac:dyDescent="0.25">
      <c r="A6" s="4" t="s">
        <v>12</v>
      </c>
      <c r="B6" s="5">
        <v>1889789</v>
      </c>
    </row>
    <row r="7" spans="1:2" x14ac:dyDescent="0.25">
      <c r="A7" s="4" t="s">
        <v>11</v>
      </c>
      <c r="B7" s="5">
        <v>1877565</v>
      </c>
    </row>
    <row r="8" spans="1:2" x14ac:dyDescent="0.25">
      <c r="A8" s="4" t="s">
        <v>18</v>
      </c>
      <c r="B8" s="5">
        <v>7646891</v>
      </c>
    </row>
  </sheetData>
  <pageMargins left="0.7" right="0.7" top="0.75" bottom="0.75" header="0.3" footer="0.3"/>
  <pageSetup paperSize="0" orientation="portrait" horizontalDpi="0" verticalDpi="0" copie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01"/>
  <sheetViews>
    <sheetView workbookViewId="0">
      <selection activeCell="A2" sqref="A2"/>
    </sheetView>
  </sheetViews>
  <sheetFormatPr defaultRowHeight="15" x14ac:dyDescent="0.25"/>
  <cols>
    <col min="3" max="3" width="18.28515625" bestFit="1" customWidth="1"/>
  </cols>
  <sheetData>
    <row r="1" spans="1:7" x14ac:dyDescent="0.25">
      <c r="A1" s="1" t="s">
        <v>0</v>
      </c>
      <c r="B1" s="1" t="s">
        <v>1</v>
      </c>
      <c r="C1" s="1" t="s">
        <v>2</v>
      </c>
      <c r="D1" s="1" t="s">
        <v>3</v>
      </c>
      <c r="E1" s="1" t="s">
        <v>4</v>
      </c>
      <c r="F1" s="1" t="s">
        <v>5</v>
      </c>
      <c r="G1" s="1" t="s">
        <v>6</v>
      </c>
    </row>
    <row r="2" spans="1:7" x14ac:dyDescent="0.25">
      <c r="A2">
        <v>1103</v>
      </c>
      <c r="B2">
        <v>50001</v>
      </c>
      <c r="C2" s="2">
        <v>44927</v>
      </c>
      <c r="D2">
        <v>38</v>
      </c>
      <c r="E2" t="s">
        <v>7</v>
      </c>
      <c r="F2" t="s">
        <v>9</v>
      </c>
      <c r="G2">
        <v>3435</v>
      </c>
    </row>
    <row r="3" spans="1:7" x14ac:dyDescent="0.25">
      <c r="A3">
        <v>1436</v>
      </c>
      <c r="B3">
        <v>50002</v>
      </c>
      <c r="C3" s="2">
        <v>44927.243414471479</v>
      </c>
      <c r="D3">
        <v>38</v>
      </c>
      <c r="E3" t="s">
        <v>7</v>
      </c>
      <c r="F3" t="s">
        <v>10</v>
      </c>
      <c r="G3">
        <v>4776</v>
      </c>
    </row>
    <row r="4" spans="1:7" x14ac:dyDescent="0.25">
      <c r="A4">
        <v>1271</v>
      </c>
      <c r="B4">
        <v>50003</v>
      </c>
      <c r="C4" s="2">
        <v>44927.486828942972</v>
      </c>
      <c r="D4">
        <v>60</v>
      </c>
      <c r="E4" t="s">
        <v>7</v>
      </c>
      <c r="F4" t="s">
        <v>11</v>
      </c>
      <c r="G4">
        <v>2331</v>
      </c>
    </row>
    <row r="5" spans="1:7" x14ac:dyDescent="0.25">
      <c r="A5">
        <v>1107</v>
      </c>
      <c r="B5">
        <v>50004</v>
      </c>
      <c r="C5" s="2">
        <v>44927.730243414473</v>
      </c>
      <c r="D5">
        <v>30</v>
      </c>
      <c r="E5" t="s">
        <v>8</v>
      </c>
      <c r="F5" t="s">
        <v>11</v>
      </c>
      <c r="G5">
        <v>1300</v>
      </c>
    </row>
    <row r="6" spans="1:7" x14ac:dyDescent="0.25">
      <c r="A6">
        <v>1072</v>
      </c>
      <c r="B6">
        <v>50005</v>
      </c>
      <c r="C6" s="2">
        <v>44927.973657885959</v>
      </c>
      <c r="D6">
        <v>54</v>
      </c>
      <c r="E6" t="s">
        <v>7</v>
      </c>
      <c r="F6" t="s">
        <v>11</v>
      </c>
      <c r="G6">
        <v>872</v>
      </c>
    </row>
    <row r="7" spans="1:7" x14ac:dyDescent="0.25">
      <c r="A7">
        <v>1021</v>
      </c>
      <c r="B7">
        <v>50006</v>
      </c>
      <c r="C7" s="2">
        <v>44928.217072357453</v>
      </c>
      <c r="D7">
        <v>50</v>
      </c>
      <c r="E7" t="s">
        <v>7</v>
      </c>
      <c r="F7" t="s">
        <v>10</v>
      </c>
      <c r="G7">
        <v>716</v>
      </c>
    </row>
    <row r="8" spans="1:7" x14ac:dyDescent="0.25">
      <c r="A8">
        <v>1122</v>
      </c>
      <c r="B8">
        <v>50007</v>
      </c>
      <c r="C8" s="2">
        <v>44928.460486828932</v>
      </c>
      <c r="D8">
        <v>41</v>
      </c>
      <c r="E8" t="s">
        <v>8</v>
      </c>
      <c r="F8" t="s">
        <v>10</v>
      </c>
      <c r="G8">
        <v>2732</v>
      </c>
    </row>
    <row r="9" spans="1:7" x14ac:dyDescent="0.25">
      <c r="A9">
        <v>1467</v>
      </c>
      <c r="B9">
        <v>50008</v>
      </c>
      <c r="C9" s="2">
        <v>44928.703901300432</v>
      </c>
      <c r="D9">
        <v>61</v>
      </c>
      <c r="E9" t="s">
        <v>8</v>
      </c>
      <c r="F9" t="s">
        <v>9</v>
      </c>
      <c r="G9">
        <v>3870</v>
      </c>
    </row>
    <row r="10" spans="1:7" x14ac:dyDescent="0.25">
      <c r="A10">
        <v>1215</v>
      </c>
      <c r="B10">
        <v>50009</v>
      </c>
      <c r="C10" s="2">
        <v>44928.947315771919</v>
      </c>
      <c r="D10">
        <v>28</v>
      </c>
      <c r="E10" t="s">
        <v>7</v>
      </c>
      <c r="F10" t="s">
        <v>12</v>
      </c>
      <c r="G10">
        <v>981</v>
      </c>
    </row>
    <row r="11" spans="1:7" x14ac:dyDescent="0.25">
      <c r="A11">
        <v>1331</v>
      </c>
      <c r="B11">
        <v>50010</v>
      </c>
      <c r="C11" s="2">
        <v>44929.190730243412</v>
      </c>
      <c r="D11">
        <v>34</v>
      </c>
      <c r="E11" t="s">
        <v>8</v>
      </c>
      <c r="F11" t="s">
        <v>10</v>
      </c>
      <c r="G11">
        <v>3723</v>
      </c>
    </row>
    <row r="12" spans="1:7" x14ac:dyDescent="0.25">
      <c r="A12">
        <v>1459</v>
      </c>
      <c r="B12">
        <v>50011</v>
      </c>
      <c r="C12" s="2">
        <v>44929.434144714898</v>
      </c>
      <c r="D12">
        <v>21</v>
      </c>
      <c r="E12" t="s">
        <v>7</v>
      </c>
      <c r="F12" t="s">
        <v>12</v>
      </c>
      <c r="G12">
        <v>3758</v>
      </c>
    </row>
    <row r="13" spans="1:7" x14ac:dyDescent="0.25">
      <c r="A13">
        <v>1088</v>
      </c>
      <c r="B13">
        <v>50012</v>
      </c>
      <c r="C13" s="2">
        <v>44929.677559186392</v>
      </c>
      <c r="D13">
        <v>64</v>
      </c>
      <c r="E13" t="s">
        <v>7</v>
      </c>
      <c r="F13" t="s">
        <v>12</v>
      </c>
      <c r="G13">
        <v>2586</v>
      </c>
    </row>
    <row r="14" spans="1:7" x14ac:dyDescent="0.25">
      <c r="A14">
        <v>1373</v>
      </c>
      <c r="B14">
        <v>50013</v>
      </c>
      <c r="C14" s="2">
        <v>44929.920973657892</v>
      </c>
      <c r="D14">
        <v>42</v>
      </c>
      <c r="E14" t="s">
        <v>8</v>
      </c>
      <c r="F14" t="s">
        <v>10</v>
      </c>
      <c r="G14">
        <v>4982</v>
      </c>
    </row>
    <row r="15" spans="1:7" x14ac:dyDescent="0.25">
      <c r="A15">
        <v>1100</v>
      </c>
      <c r="B15">
        <v>50014</v>
      </c>
      <c r="C15" s="2">
        <v>44930.164388129378</v>
      </c>
      <c r="D15">
        <v>47</v>
      </c>
      <c r="E15" t="s">
        <v>7</v>
      </c>
      <c r="F15" t="s">
        <v>11</v>
      </c>
      <c r="G15">
        <v>1789</v>
      </c>
    </row>
    <row r="16" spans="1:7" x14ac:dyDescent="0.25">
      <c r="A16">
        <v>1131</v>
      </c>
      <c r="B16">
        <v>50015</v>
      </c>
      <c r="C16" s="2">
        <v>44930.407802600857</v>
      </c>
      <c r="D16">
        <v>26</v>
      </c>
      <c r="E16" t="s">
        <v>8</v>
      </c>
      <c r="F16" t="s">
        <v>9</v>
      </c>
      <c r="G16">
        <v>1701</v>
      </c>
    </row>
    <row r="17" spans="1:7" x14ac:dyDescent="0.25">
      <c r="A17">
        <v>1309</v>
      </c>
      <c r="B17">
        <v>50016</v>
      </c>
      <c r="C17" s="2">
        <v>44930.651217072351</v>
      </c>
      <c r="D17">
        <v>38</v>
      </c>
      <c r="E17" t="s">
        <v>8</v>
      </c>
      <c r="F17" t="s">
        <v>12</v>
      </c>
      <c r="G17">
        <v>3994</v>
      </c>
    </row>
    <row r="18" spans="1:7" x14ac:dyDescent="0.25">
      <c r="A18">
        <v>1344</v>
      </c>
      <c r="B18">
        <v>50017</v>
      </c>
      <c r="C18" s="2">
        <v>44930.894631543837</v>
      </c>
      <c r="D18">
        <v>37</v>
      </c>
      <c r="E18" t="s">
        <v>8</v>
      </c>
      <c r="F18" t="s">
        <v>11</v>
      </c>
      <c r="G18">
        <v>4518</v>
      </c>
    </row>
    <row r="19" spans="1:7" x14ac:dyDescent="0.25">
      <c r="A19">
        <v>1492</v>
      </c>
      <c r="B19">
        <v>50018</v>
      </c>
      <c r="C19" s="2">
        <v>44931.138046015338</v>
      </c>
      <c r="D19">
        <v>36</v>
      </c>
      <c r="E19" t="s">
        <v>7</v>
      </c>
      <c r="F19" t="s">
        <v>10</v>
      </c>
      <c r="G19">
        <v>3280</v>
      </c>
    </row>
    <row r="20" spans="1:7" x14ac:dyDescent="0.25">
      <c r="A20">
        <v>1414</v>
      </c>
      <c r="B20">
        <v>50019</v>
      </c>
      <c r="C20" s="2">
        <v>44931.381460486831</v>
      </c>
      <c r="D20">
        <v>36</v>
      </c>
      <c r="E20" t="s">
        <v>8</v>
      </c>
      <c r="F20" t="s">
        <v>12</v>
      </c>
      <c r="G20">
        <v>1276</v>
      </c>
    </row>
    <row r="21" spans="1:7" x14ac:dyDescent="0.25">
      <c r="A21">
        <v>1386</v>
      </c>
      <c r="B21">
        <v>50020</v>
      </c>
      <c r="C21" s="2">
        <v>44931.62487495831</v>
      </c>
      <c r="D21">
        <v>29</v>
      </c>
      <c r="E21" t="s">
        <v>8</v>
      </c>
      <c r="F21" t="s">
        <v>12</v>
      </c>
      <c r="G21">
        <v>1300</v>
      </c>
    </row>
    <row r="22" spans="1:7" x14ac:dyDescent="0.25">
      <c r="A22">
        <v>1192</v>
      </c>
      <c r="B22">
        <v>50021</v>
      </c>
      <c r="C22" s="2">
        <v>44931.868289429804</v>
      </c>
      <c r="D22">
        <v>54</v>
      </c>
      <c r="E22" t="s">
        <v>7</v>
      </c>
      <c r="F22" t="s">
        <v>12</v>
      </c>
      <c r="G22">
        <v>702</v>
      </c>
    </row>
    <row r="23" spans="1:7" x14ac:dyDescent="0.25">
      <c r="A23">
        <v>1277</v>
      </c>
      <c r="B23">
        <v>50022</v>
      </c>
      <c r="C23" s="2">
        <v>44932.111703901297</v>
      </c>
      <c r="D23">
        <v>59</v>
      </c>
      <c r="E23" t="s">
        <v>7</v>
      </c>
      <c r="F23" t="s">
        <v>11</v>
      </c>
      <c r="G23">
        <v>1539</v>
      </c>
    </row>
    <row r="24" spans="1:7" x14ac:dyDescent="0.25">
      <c r="A24">
        <v>1161</v>
      </c>
      <c r="B24">
        <v>50023</v>
      </c>
      <c r="C24" s="2">
        <v>44932.35511837279</v>
      </c>
      <c r="D24">
        <v>34</v>
      </c>
      <c r="E24" t="s">
        <v>7</v>
      </c>
      <c r="F24" t="s">
        <v>11</v>
      </c>
      <c r="G24">
        <v>4085</v>
      </c>
    </row>
    <row r="25" spans="1:7" x14ac:dyDescent="0.25">
      <c r="A25">
        <v>1460</v>
      </c>
      <c r="B25">
        <v>50024</v>
      </c>
      <c r="C25" s="2">
        <v>44932.598532844269</v>
      </c>
      <c r="D25">
        <v>54</v>
      </c>
      <c r="E25" t="s">
        <v>7</v>
      </c>
      <c r="F25" t="s">
        <v>11</v>
      </c>
      <c r="G25">
        <v>823</v>
      </c>
    </row>
    <row r="26" spans="1:7" x14ac:dyDescent="0.25">
      <c r="A26">
        <v>1314</v>
      </c>
      <c r="B26">
        <v>50025</v>
      </c>
      <c r="C26" s="2">
        <v>44932.841947315763</v>
      </c>
      <c r="D26">
        <v>56</v>
      </c>
      <c r="E26" t="s">
        <v>8</v>
      </c>
      <c r="F26" t="s">
        <v>12</v>
      </c>
      <c r="G26">
        <v>2086</v>
      </c>
    </row>
    <row r="27" spans="1:7" x14ac:dyDescent="0.25">
      <c r="A27">
        <v>1022</v>
      </c>
      <c r="B27">
        <v>50026</v>
      </c>
      <c r="C27" s="2">
        <v>44933.085361787264</v>
      </c>
      <c r="D27">
        <v>45</v>
      </c>
      <c r="E27" t="s">
        <v>8</v>
      </c>
      <c r="F27" t="s">
        <v>12</v>
      </c>
      <c r="G27">
        <v>3550</v>
      </c>
    </row>
    <row r="28" spans="1:7" x14ac:dyDescent="0.25">
      <c r="A28">
        <v>1253</v>
      </c>
      <c r="B28">
        <v>50027</v>
      </c>
      <c r="C28" s="2">
        <v>44933.32877625875</v>
      </c>
      <c r="D28">
        <v>58</v>
      </c>
      <c r="E28" t="s">
        <v>8</v>
      </c>
      <c r="F28" t="s">
        <v>9</v>
      </c>
      <c r="G28">
        <v>1250</v>
      </c>
    </row>
    <row r="29" spans="1:7" x14ac:dyDescent="0.25">
      <c r="A29">
        <v>1561</v>
      </c>
      <c r="B29">
        <v>50028</v>
      </c>
      <c r="C29" s="2">
        <v>44933.572190730243</v>
      </c>
      <c r="D29">
        <v>52</v>
      </c>
      <c r="E29" t="s">
        <v>7</v>
      </c>
      <c r="F29" t="s">
        <v>9</v>
      </c>
      <c r="G29">
        <v>3972</v>
      </c>
    </row>
    <row r="30" spans="1:7" x14ac:dyDescent="0.25">
      <c r="A30">
        <v>1475</v>
      </c>
      <c r="B30">
        <v>50029</v>
      </c>
      <c r="C30" s="2">
        <v>44933.815605201722</v>
      </c>
      <c r="D30">
        <v>64</v>
      </c>
      <c r="E30" t="s">
        <v>7</v>
      </c>
      <c r="F30" t="s">
        <v>11</v>
      </c>
      <c r="G30">
        <v>4116</v>
      </c>
    </row>
    <row r="31" spans="1:7" x14ac:dyDescent="0.25">
      <c r="A31">
        <v>1059</v>
      </c>
      <c r="B31">
        <v>50030</v>
      </c>
      <c r="C31" s="2">
        <v>44934.059019673223</v>
      </c>
      <c r="D31">
        <v>35</v>
      </c>
      <c r="E31" t="s">
        <v>8</v>
      </c>
      <c r="F31" t="s">
        <v>11</v>
      </c>
      <c r="G31">
        <v>4218</v>
      </c>
    </row>
    <row r="32" spans="1:7" x14ac:dyDescent="0.25">
      <c r="A32">
        <v>1511</v>
      </c>
      <c r="B32">
        <v>50031</v>
      </c>
      <c r="C32" s="2">
        <v>44934.302434144709</v>
      </c>
      <c r="D32">
        <v>31</v>
      </c>
      <c r="E32" t="s">
        <v>7</v>
      </c>
      <c r="F32" t="s">
        <v>10</v>
      </c>
      <c r="G32">
        <v>1529</v>
      </c>
    </row>
    <row r="33" spans="1:7" x14ac:dyDescent="0.25">
      <c r="A33">
        <v>1476</v>
      </c>
      <c r="B33">
        <v>50032</v>
      </c>
      <c r="C33" s="2">
        <v>44934.545848616202</v>
      </c>
      <c r="D33">
        <v>52</v>
      </c>
      <c r="E33" t="s">
        <v>7</v>
      </c>
      <c r="F33" t="s">
        <v>11</v>
      </c>
      <c r="G33">
        <v>4314</v>
      </c>
    </row>
    <row r="34" spans="1:7" x14ac:dyDescent="0.25">
      <c r="A34">
        <v>1190</v>
      </c>
      <c r="B34">
        <v>50033</v>
      </c>
      <c r="C34" s="2">
        <v>44934.789263087689</v>
      </c>
      <c r="D34">
        <v>61</v>
      </c>
      <c r="E34" t="s">
        <v>8</v>
      </c>
      <c r="F34" t="s">
        <v>9</v>
      </c>
      <c r="G34">
        <v>3567</v>
      </c>
    </row>
    <row r="35" spans="1:7" x14ac:dyDescent="0.25">
      <c r="A35">
        <v>1563</v>
      </c>
      <c r="B35">
        <v>50034</v>
      </c>
      <c r="C35" s="2">
        <v>44935.032677559167</v>
      </c>
      <c r="D35">
        <v>58</v>
      </c>
      <c r="E35" t="s">
        <v>8</v>
      </c>
      <c r="F35" t="s">
        <v>9</v>
      </c>
      <c r="G35">
        <v>4151</v>
      </c>
    </row>
    <row r="36" spans="1:7" x14ac:dyDescent="0.25">
      <c r="A36">
        <v>1567</v>
      </c>
      <c r="B36">
        <v>50035</v>
      </c>
      <c r="C36" s="2">
        <v>44935.276092030668</v>
      </c>
      <c r="D36">
        <v>24</v>
      </c>
      <c r="E36" t="s">
        <v>7</v>
      </c>
      <c r="F36" t="s">
        <v>9</v>
      </c>
      <c r="G36">
        <v>2697</v>
      </c>
    </row>
    <row r="37" spans="1:7" x14ac:dyDescent="0.25">
      <c r="A37">
        <v>1244</v>
      </c>
      <c r="B37">
        <v>50036</v>
      </c>
      <c r="C37" s="2">
        <v>44935.519506502162</v>
      </c>
      <c r="D37">
        <v>58</v>
      </c>
      <c r="E37" t="s">
        <v>7</v>
      </c>
      <c r="F37" t="s">
        <v>12</v>
      </c>
      <c r="G37">
        <v>1773</v>
      </c>
    </row>
    <row r="38" spans="1:7" x14ac:dyDescent="0.25">
      <c r="A38">
        <v>1505</v>
      </c>
      <c r="B38">
        <v>50037</v>
      </c>
      <c r="C38" s="2">
        <v>44935.762920973662</v>
      </c>
      <c r="D38">
        <v>30</v>
      </c>
      <c r="E38" t="s">
        <v>7</v>
      </c>
      <c r="F38" t="s">
        <v>12</v>
      </c>
      <c r="G38">
        <v>2834</v>
      </c>
    </row>
    <row r="39" spans="1:7" x14ac:dyDescent="0.25">
      <c r="A39">
        <v>1131</v>
      </c>
      <c r="B39">
        <v>50038</v>
      </c>
      <c r="C39" s="2">
        <v>44936.006335445141</v>
      </c>
      <c r="D39">
        <v>35</v>
      </c>
      <c r="E39" t="s">
        <v>8</v>
      </c>
      <c r="F39" t="s">
        <v>11</v>
      </c>
      <c r="G39">
        <v>2968</v>
      </c>
    </row>
    <row r="40" spans="1:7" x14ac:dyDescent="0.25">
      <c r="A40">
        <v>1485</v>
      </c>
      <c r="B40">
        <v>50039</v>
      </c>
      <c r="C40" s="2">
        <v>44936.249749916627</v>
      </c>
      <c r="D40">
        <v>54</v>
      </c>
      <c r="E40" t="s">
        <v>8</v>
      </c>
      <c r="F40" t="s">
        <v>10</v>
      </c>
      <c r="G40">
        <v>1411</v>
      </c>
    </row>
    <row r="41" spans="1:7" x14ac:dyDescent="0.25">
      <c r="A41">
        <v>1021</v>
      </c>
      <c r="B41">
        <v>50040</v>
      </c>
      <c r="C41" s="2">
        <v>44936.493164388128</v>
      </c>
      <c r="D41">
        <v>30</v>
      </c>
      <c r="E41" t="s">
        <v>8</v>
      </c>
      <c r="F41" t="s">
        <v>10</v>
      </c>
      <c r="G41">
        <v>975</v>
      </c>
    </row>
    <row r="42" spans="1:7" x14ac:dyDescent="0.25">
      <c r="A42">
        <v>1167</v>
      </c>
      <c r="B42">
        <v>50041</v>
      </c>
      <c r="C42" s="2">
        <v>44936.736578859622</v>
      </c>
      <c r="D42">
        <v>53</v>
      </c>
      <c r="E42" t="s">
        <v>8</v>
      </c>
      <c r="F42" t="s">
        <v>10</v>
      </c>
      <c r="G42">
        <v>1360</v>
      </c>
    </row>
    <row r="43" spans="1:7" x14ac:dyDescent="0.25">
      <c r="A43">
        <v>1274</v>
      </c>
      <c r="B43">
        <v>50042</v>
      </c>
      <c r="C43" s="2">
        <v>44936.979993331101</v>
      </c>
      <c r="D43">
        <v>48</v>
      </c>
      <c r="E43" t="s">
        <v>8</v>
      </c>
      <c r="F43" t="s">
        <v>12</v>
      </c>
      <c r="G43">
        <v>2583</v>
      </c>
    </row>
    <row r="44" spans="1:7" x14ac:dyDescent="0.25">
      <c r="A44">
        <v>1388</v>
      </c>
      <c r="B44">
        <v>50043</v>
      </c>
      <c r="C44" s="2">
        <v>44937.223407802587</v>
      </c>
      <c r="D44">
        <v>19</v>
      </c>
      <c r="E44" t="s">
        <v>7</v>
      </c>
      <c r="F44" t="s">
        <v>9</v>
      </c>
      <c r="G44">
        <v>2854</v>
      </c>
    </row>
    <row r="45" spans="1:7" x14ac:dyDescent="0.25">
      <c r="A45">
        <v>1316</v>
      </c>
      <c r="B45">
        <v>50044</v>
      </c>
      <c r="C45" s="2">
        <v>44937.466822274087</v>
      </c>
      <c r="D45">
        <v>33</v>
      </c>
      <c r="E45" t="s">
        <v>7</v>
      </c>
      <c r="F45" t="s">
        <v>9</v>
      </c>
      <c r="G45">
        <v>3740</v>
      </c>
    </row>
    <row r="46" spans="1:7" x14ac:dyDescent="0.25">
      <c r="A46">
        <v>1014</v>
      </c>
      <c r="B46">
        <v>50045</v>
      </c>
      <c r="C46" s="2">
        <v>44937.710236745581</v>
      </c>
      <c r="D46">
        <v>26</v>
      </c>
      <c r="E46" t="s">
        <v>7</v>
      </c>
      <c r="F46" t="s">
        <v>12</v>
      </c>
      <c r="G46">
        <v>4897</v>
      </c>
    </row>
    <row r="47" spans="1:7" x14ac:dyDescent="0.25">
      <c r="A47">
        <v>1242</v>
      </c>
      <c r="B47">
        <v>50046</v>
      </c>
      <c r="C47" s="2">
        <v>44937.953651217067</v>
      </c>
      <c r="D47">
        <v>26</v>
      </c>
      <c r="E47" t="s">
        <v>8</v>
      </c>
      <c r="F47" t="s">
        <v>10</v>
      </c>
      <c r="G47">
        <v>4835</v>
      </c>
    </row>
    <row r="48" spans="1:7" x14ac:dyDescent="0.25">
      <c r="A48">
        <v>1346</v>
      </c>
      <c r="B48">
        <v>50047</v>
      </c>
      <c r="C48" s="2">
        <v>44938.197065688553</v>
      </c>
      <c r="D48">
        <v>55</v>
      </c>
      <c r="E48" t="s">
        <v>8</v>
      </c>
      <c r="F48" t="s">
        <v>10</v>
      </c>
      <c r="G48">
        <v>1295</v>
      </c>
    </row>
    <row r="49" spans="1:7" x14ac:dyDescent="0.25">
      <c r="A49">
        <v>1565</v>
      </c>
      <c r="B49">
        <v>50048</v>
      </c>
      <c r="C49" s="2">
        <v>44938.440480160047</v>
      </c>
      <c r="D49">
        <v>28</v>
      </c>
      <c r="E49" t="s">
        <v>8</v>
      </c>
      <c r="F49" t="s">
        <v>11</v>
      </c>
      <c r="G49">
        <v>223</v>
      </c>
    </row>
    <row r="50" spans="1:7" x14ac:dyDescent="0.25">
      <c r="A50">
        <v>1340</v>
      </c>
      <c r="B50">
        <v>50049</v>
      </c>
      <c r="C50" s="2">
        <v>44938.68389463154</v>
      </c>
      <c r="D50">
        <v>39</v>
      </c>
      <c r="E50" t="s">
        <v>7</v>
      </c>
      <c r="F50" t="s">
        <v>11</v>
      </c>
      <c r="G50">
        <v>4919</v>
      </c>
    </row>
    <row r="51" spans="1:7" x14ac:dyDescent="0.25">
      <c r="A51">
        <v>1092</v>
      </c>
      <c r="B51">
        <v>50050</v>
      </c>
      <c r="C51" s="2">
        <v>44938.927309103034</v>
      </c>
      <c r="D51">
        <v>50</v>
      </c>
      <c r="E51" t="s">
        <v>8</v>
      </c>
      <c r="F51" t="s">
        <v>10</v>
      </c>
      <c r="G51">
        <v>3756</v>
      </c>
    </row>
    <row r="52" spans="1:7" x14ac:dyDescent="0.25">
      <c r="A52">
        <v>1367</v>
      </c>
      <c r="B52">
        <v>50051</v>
      </c>
      <c r="C52" s="2">
        <v>44939.170723574513</v>
      </c>
      <c r="D52">
        <v>53</v>
      </c>
      <c r="E52" t="s">
        <v>8</v>
      </c>
      <c r="F52" t="s">
        <v>12</v>
      </c>
      <c r="G52">
        <v>1279</v>
      </c>
    </row>
    <row r="53" spans="1:7" x14ac:dyDescent="0.25">
      <c r="A53">
        <v>1455</v>
      </c>
      <c r="B53">
        <v>50052</v>
      </c>
      <c r="C53" s="2">
        <v>44939.414138046013</v>
      </c>
      <c r="D53">
        <v>62</v>
      </c>
      <c r="E53" t="s">
        <v>7</v>
      </c>
      <c r="F53" t="s">
        <v>10</v>
      </c>
      <c r="G53">
        <v>4518</v>
      </c>
    </row>
    <row r="54" spans="1:7" x14ac:dyDescent="0.25">
      <c r="A54">
        <v>1428</v>
      </c>
      <c r="B54">
        <v>50053</v>
      </c>
      <c r="C54" s="2">
        <v>44939.657552517499</v>
      </c>
      <c r="D54">
        <v>40</v>
      </c>
      <c r="E54" t="s">
        <v>8</v>
      </c>
      <c r="F54" t="s">
        <v>11</v>
      </c>
      <c r="G54">
        <v>378</v>
      </c>
    </row>
    <row r="55" spans="1:7" x14ac:dyDescent="0.25">
      <c r="A55">
        <v>1509</v>
      </c>
      <c r="B55">
        <v>50054</v>
      </c>
      <c r="C55" s="2">
        <v>44939.900966988993</v>
      </c>
      <c r="D55">
        <v>62</v>
      </c>
      <c r="E55" t="s">
        <v>7</v>
      </c>
      <c r="F55" t="s">
        <v>10</v>
      </c>
      <c r="G55">
        <v>3047</v>
      </c>
    </row>
    <row r="56" spans="1:7" x14ac:dyDescent="0.25">
      <c r="A56">
        <v>1035</v>
      </c>
      <c r="B56">
        <v>50055</v>
      </c>
      <c r="C56" s="2">
        <v>44940.144381460494</v>
      </c>
      <c r="D56">
        <v>62</v>
      </c>
      <c r="E56" t="s">
        <v>8</v>
      </c>
      <c r="F56" t="s">
        <v>12</v>
      </c>
      <c r="G56">
        <v>2160</v>
      </c>
    </row>
    <row r="57" spans="1:7" x14ac:dyDescent="0.25">
      <c r="A57">
        <v>1206</v>
      </c>
      <c r="B57">
        <v>50056</v>
      </c>
      <c r="C57" s="2">
        <v>44940.387795931973</v>
      </c>
      <c r="D57">
        <v>51</v>
      </c>
      <c r="E57" t="s">
        <v>8</v>
      </c>
      <c r="F57" t="s">
        <v>9</v>
      </c>
      <c r="G57">
        <v>1673</v>
      </c>
    </row>
    <row r="58" spans="1:7" x14ac:dyDescent="0.25">
      <c r="A58">
        <v>1081</v>
      </c>
      <c r="B58">
        <v>50057</v>
      </c>
      <c r="C58" s="2">
        <v>44940.631210403459</v>
      </c>
      <c r="D58">
        <v>26</v>
      </c>
      <c r="E58" t="s">
        <v>7</v>
      </c>
      <c r="F58" t="s">
        <v>12</v>
      </c>
      <c r="G58">
        <v>1412</v>
      </c>
    </row>
    <row r="59" spans="1:7" x14ac:dyDescent="0.25">
      <c r="A59">
        <v>1562</v>
      </c>
      <c r="B59">
        <v>50058</v>
      </c>
      <c r="C59" s="2">
        <v>44940.874624874952</v>
      </c>
      <c r="D59">
        <v>41</v>
      </c>
      <c r="E59" t="s">
        <v>7</v>
      </c>
      <c r="F59" t="s">
        <v>12</v>
      </c>
      <c r="G59">
        <v>1009</v>
      </c>
    </row>
    <row r="60" spans="1:7" x14ac:dyDescent="0.25">
      <c r="A60">
        <v>1388</v>
      </c>
      <c r="B60">
        <v>50059</v>
      </c>
      <c r="C60" s="2">
        <v>44941.118039346453</v>
      </c>
      <c r="D60">
        <v>25</v>
      </c>
      <c r="E60" t="s">
        <v>7</v>
      </c>
      <c r="F60" t="s">
        <v>11</v>
      </c>
      <c r="G60">
        <v>619</v>
      </c>
    </row>
    <row r="61" spans="1:7" x14ac:dyDescent="0.25">
      <c r="A61">
        <v>1002</v>
      </c>
      <c r="B61">
        <v>50060</v>
      </c>
      <c r="C61" s="2">
        <v>44941.361453817932</v>
      </c>
      <c r="D61">
        <v>24</v>
      </c>
      <c r="E61" t="s">
        <v>7</v>
      </c>
      <c r="F61" t="s">
        <v>12</v>
      </c>
      <c r="G61">
        <v>3859</v>
      </c>
    </row>
    <row r="62" spans="1:7" x14ac:dyDescent="0.25">
      <c r="A62">
        <v>1390</v>
      </c>
      <c r="B62">
        <v>50061</v>
      </c>
      <c r="C62" s="2">
        <v>44941.604868289418</v>
      </c>
      <c r="D62">
        <v>53</v>
      </c>
      <c r="E62" t="s">
        <v>7</v>
      </c>
      <c r="F62" t="s">
        <v>12</v>
      </c>
      <c r="G62">
        <v>4016</v>
      </c>
    </row>
    <row r="63" spans="1:7" x14ac:dyDescent="0.25">
      <c r="A63">
        <v>1566</v>
      </c>
      <c r="B63">
        <v>50062</v>
      </c>
      <c r="C63" s="2">
        <v>44941.848282760911</v>
      </c>
      <c r="D63">
        <v>35</v>
      </c>
      <c r="E63" t="s">
        <v>7</v>
      </c>
      <c r="F63" t="s">
        <v>11</v>
      </c>
      <c r="G63">
        <v>1478</v>
      </c>
    </row>
    <row r="64" spans="1:7" x14ac:dyDescent="0.25">
      <c r="A64">
        <v>1106</v>
      </c>
      <c r="B64">
        <v>50063</v>
      </c>
      <c r="C64" s="2">
        <v>44942.091697232398</v>
      </c>
      <c r="D64">
        <v>20</v>
      </c>
      <c r="E64" t="s">
        <v>8</v>
      </c>
      <c r="F64" t="s">
        <v>11</v>
      </c>
      <c r="G64">
        <v>2723</v>
      </c>
    </row>
    <row r="65" spans="1:7" x14ac:dyDescent="0.25">
      <c r="A65">
        <v>1477</v>
      </c>
      <c r="B65">
        <v>50064</v>
      </c>
      <c r="C65" s="2">
        <v>44942.335111703898</v>
      </c>
      <c r="D65">
        <v>45</v>
      </c>
      <c r="E65" t="s">
        <v>8</v>
      </c>
      <c r="F65" t="s">
        <v>9</v>
      </c>
      <c r="G65">
        <v>1640</v>
      </c>
    </row>
    <row r="66" spans="1:7" x14ac:dyDescent="0.25">
      <c r="A66">
        <v>1402</v>
      </c>
      <c r="B66">
        <v>50065</v>
      </c>
      <c r="C66" s="2">
        <v>44942.578526175377</v>
      </c>
      <c r="D66">
        <v>23</v>
      </c>
      <c r="E66" t="s">
        <v>7</v>
      </c>
      <c r="F66" t="s">
        <v>10</v>
      </c>
      <c r="G66">
        <v>1540</v>
      </c>
    </row>
    <row r="67" spans="1:7" x14ac:dyDescent="0.25">
      <c r="A67">
        <v>1556</v>
      </c>
      <c r="B67">
        <v>50066</v>
      </c>
      <c r="C67" s="2">
        <v>44942.821940646878</v>
      </c>
      <c r="D67">
        <v>61</v>
      </c>
      <c r="E67" t="s">
        <v>8</v>
      </c>
      <c r="F67" t="s">
        <v>12</v>
      </c>
      <c r="G67">
        <v>2421</v>
      </c>
    </row>
    <row r="68" spans="1:7" x14ac:dyDescent="0.25">
      <c r="A68">
        <v>1162</v>
      </c>
      <c r="B68">
        <v>50067</v>
      </c>
      <c r="C68" s="2">
        <v>44943.065355118371</v>
      </c>
      <c r="D68">
        <v>61</v>
      </c>
      <c r="E68" t="s">
        <v>7</v>
      </c>
      <c r="F68" t="s">
        <v>11</v>
      </c>
      <c r="G68">
        <v>2592</v>
      </c>
    </row>
    <row r="69" spans="1:7" x14ac:dyDescent="0.25">
      <c r="A69">
        <v>1202</v>
      </c>
      <c r="B69">
        <v>50068</v>
      </c>
      <c r="C69" s="2">
        <v>44943.308769589858</v>
      </c>
      <c r="D69">
        <v>38</v>
      </c>
      <c r="E69" t="s">
        <v>8</v>
      </c>
      <c r="F69" t="s">
        <v>9</v>
      </c>
      <c r="G69">
        <v>1561</v>
      </c>
    </row>
    <row r="70" spans="1:7" x14ac:dyDescent="0.25">
      <c r="A70">
        <v>1270</v>
      </c>
      <c r="B70">
        <v>50069</v>
      </c>
      <c r="C70" s="2">
        <v>44943.552184061336</v>
      </c>
      <c r="D70">
        <v>45</v>
      </c>
      <c r="E70" t="s">
        <v>7</v>
      </c>
      <c r="F70" t="s">
        <v>10</v>
      </c>
      <c r="G70">
        <v>791</v>
      </c>
    </row>
    <row r="71" spans="1:7" x14ac:dyDescent="0.25">
      <c r="A71">
        <v>1271</v>
      </c>
      <c r="B71">
        <v>50070</v>
      </c>
      <c r="C71" s="2">
        <v>44943.795598532837</v>
      </c>
      <c r="D71">
        <v>57</v>
      </c>
      <c r="E71" t="s">
        <v>8</v>
      </c>
      <c r="F71" t="s">
        <v>11</v>
      </c>
      <c r="G71">
        <v>726</v>
      </c>
    </row>
    <row r="72" spans="1:7" x14ac:dyDescent="0.25">
      <c r="A72">
        <v>1456</v>
      </c>
      <c r="B72">
        <v>50071</v>
      </c>
      <c r="C72" s="2">
        <v>44944.039013004331</v>
      </c>
      <c r="D72">
        <v>18</v>
      </c>
      <c r="E72" t="s">
        <v>8</v>
      </c>
      <c r="F72" t="s">
        <v>10</v>
      </c>
      <c r="G72">
        <v>2703</v>
      </c>
    </row>
    <row r="73" spans="1:7" x14ac:dyDescent="0.25">
      <c r="A73">
        <v>1462</v>
      </c>
      <c r="B73">
        <v>50072</v>
      </c>
      <c r="C73" s="2">
        <v>44944.282427475817</v>
      </c>
      <c r="D73">
        <v>53</v>
      </c>
      <c r="E73" t="s">
        <v>8</v>
      </c>
      <c r="F73" t="s">
        <v>10</v>
      </c>
      <c r="G73">
        <v>1492</v>
      </c>
    </row>
    <row r="74" spans="1:7" x14ac:dyDescent="0.25">
      <c r="A74">
        <v>1252</v>
      </c>
      <c r="B74">
        <v>50073</v>
      </c>
      <c r="C74" s="2">
        <v>44944.525841947318</v>
      </c>
      <c r="D74">
        <v>38</v>
      </c>
      <c r="E74" t="s">
        <v>8</v>
      </c>
      <c r="F74" t="s">
        <v>12</v>
      </c>
      <c r="G74">
        <v>1854</v>
      </c>
    </row>
    <row r="75" spans="1:7" x14ac:dyDescent="0.25">
      <c r="A75">
        <v>1296</v>
      </c>
      <c r="B75">
        <v>50074</v>
      </c>
      <c r="C75" s="2">
        <v>44944.769256418796</v>
      </c>
      <c r="D75">
        <v>60</v>
      </c>
      <c r="E75" t="s">
        <v>8</v>
      </c>
      <c r="F75" t="s">
        <v>12</v>
      </c>
      <c r="G75">
        <v>387</v>
      </c>
    </row>
    <row r="76" spans="1:7" x14ac:dyDescent="0.25">
      <c r="A76">
        <v>1338</v>
      </c>
      <c r="B76">
        <v>50075</v>
      </c>
      <c r="C76" s="2">
        <v>44945.01267089029</v>
      </c>
      <c r="D76">
        <v>52</v>
      </c>
      <c r="E76" t="s">
        <v>7</v>
      </c>
      <c r="F76" t="s">
        <v>11</v>
      </c>
      <c r="G76">
        <v>2958</v>
      </c>
    </row>
    <row r="77" spans="1:7" x14ac:dyDescent="0.25">
      <c r="A77">
        <v>1053</v>
      </c>
      <c r="B77">
        <v>50076</v>
      </c>
      <c r="C77" s="2">
        <v>44945.256085361783</v>
      </c>
      <c r="D77">
        <v>30</v>
      </c>
      <c r="E77" t="s">
        <v>7</v>
      </c>
      <c r="F77" t="s">
        <v>10</v>
      </c>
      <c r="G77">
        <v>728</v>
      </c>
    </row>
    <row r="78" spans="1:7" x14ac:dyDescent="0.25">
      <c r="A78">
        <v>1217</v>
      </c>
      <c r="B78">
        <v>50077</v>
      </c>
      <c r="C78" s="2">
        <v>44945.499499833277</v>
      </c>
      <c r="D78">
        <v>27</v>
      </c>
      <c r="E78" t="s">
        <v>7</v>
      </c>
      <c r="F78" t="s">
        <v>11</v>
      </c>
      <c r="G78">
        <v>633</v>
      </c>
    </row>
    <row r="79" spans="1:7" x14ac:dyDescent="0.25">
      <c r="A79">
        <v>1188</v>
      </c>
      <c r="B79">
        <v>50078</v>
      </c>
      <c r="C79" s="2">
        <v>44945.742914304763</v>
      </c>
      <c r="D79">
        <v>61</v>
      </c>
      <c r="E79" t="s">
        <v>8</v>
      </c>
      <c r="F79" t="s">
        <v>11</v>
      </c>
      <c r="G79">
        <v>3712</v>
      </c>
    </row>
    <row r="80" spans="1:7" x14ac:dyDescent="0.25">
      <c r="A80">
        <v>1380</v>
      </c>
      <c r="B80">
        <v>50079</v>
      </c>
      <c r="C80" s="2">
        <v>44945.986328776249</v>
      </c>
      <c r="D80">
        <v>64</v>
      </c>
      <c r="E80" t="s">
        <v>7</v>
      </c>
      <c r="F80" t="s">
        <v>10</v>
      </c>
      <c r="G80">
        <v>2004</v>
      </c>
    </row>
    <row r="81" spans="1:7" x14ac:dyDescent="0.25">
      <c r="A81">
        <v>1493</v>
      </c>
      <c r="B81">
        <v>50080</v>
      </c>
      <c r="C81" s="2">
        <v>44946.229743247743</v>
      </c>
      <c r="D81">
        <v>27</v>
      </c>
      <c r="E81" t="s">
        <v>8</v>
      </c>
      <c r="F81" t="s">
        <v>11</v>
      </c>
      <c r="G81">
        <v>502</v>
      </c>
    </row>
    <row r="82" spans="1:7" x14ac:dyDescent="0.25">
      <c r="A82">
        <v>1041</v>
      </c>
      <c r="B82">
        <v>50081</v>
      </c>
      <c r="C82" s="2">
        <v>44946.473157719243</v>
      </c>
      <c r="D82">
        <v>63</v>
      </c>
      <c r="E82" t="s">
        <v>8</v>
      </c>
      <c r="F82" t="s">
        <v>10</v>
      </c>
      <c r="G82">
        <v>4382</v>
      </c>
    </row>
    <row r="83" spans="1:7" x14ac:dyDescent="0.25">
      <c r="A83">
        <v>1157</v>
      </c>
      <c r="B83">
        <v>50082</v>
      </c>
      <c r="C83" s="2">
        <v>44946.716572190729</v>
      </c>
      <c r="D83">
        <v>30</v>
      </c>
      <c r="E83" t="s">
        <v>8</v>
      </c>
      <c r="F83" t="s">
        <v>10</v>
      </c>
      <c r="G83">
        <v>637</v>
      </c>
    </row>
    <row r="84" spans="1:7" x14ac:dyDescent="0.25">
      <c r="A84">
        <v>1015</v>
      </c>
      <c r="B84">
        <v>50083</v>
      </c>
      <c r="C84" s="2">
        <v>44946.959986662208</v>
      </c>
      <c r="D84">
        <v>54</v>
      </c>
      <c r="E84" t="s">
        <v>7</v>
      </c>
      <c r="F84" t="s">
        <v>10</v>
      </c>
      <c r="G84">
        <v>2788</v>
      </c>
    </row>
    <row r="85" spans="1:7" x14ac:dyDescent="0.25">
      <c r="A85">
        <v>1065</v>
      </c>
      <c r="B85">
        <v>50084</v>
      </c>
      <c r="C85" s="2">
        <v>44947.203401133702</v>
      </c>
      <c r="D85">
        <v>55</v>
      </c>
      <c r="E85" t="s">
        <v>8</v>
      </c>
      <c r="F85" t="s">
        <v>10</v>
      </c>
      <c r="G85">
        <v>1032</v>
      </c>
    </row>
    <row r="86" spans="1:7" x14ac:dyDescent="0.25">
      <c r="A86">
        <v>1521</v>
      </c>
      <c r="B86">
        <v>50085</v>
      </c>
      <c r="C86" s="2">
        <v>44947.446815605203</v>
      </c>
      <c r="D86">
        <v>41</v>
      </c>
      <c r="E86" t="s">
        <v>7</v>
      </c>
      <c r="F86" t="s">
        <v>9</v>
      </c>
      <c r="G86">
        <v>996</v>
      </c>
    </row>
    <row r="87" spans="1:7" x14ac:dyDescent="0.25">
      <c r="A87">
        <v>1344</v>
      </c>
      <c r="B87">
        <v>50086</v>
      </c>
      <c r="C87" s="2">
        <v>44947.690230076689</v>
      </c>
      <c r="D87">
        <v>19</v>
      </c>
      <c r="E87" t="s">
        <v>7</v>
      </c>
      <c r="F87" t="s">
        <v>10</v>
      </c>
      <c r="G87">
        <v>759</v>
      </c>
    </row>
    <row r="88" spans="1:7" x14ac:dyDescent="0.25">
      <c r="A88">
        <v>1129</v>
      </c>
      <c r="B88">
        <v>50087</v>
      </c>
      <c r="C88" s="2">
        <v>44947.933644548168</v>
      </c>
      <c r="D88">
        <v>39</v>
      </c>
      <c r="E88" t="s">
        <v>8</v>
      </c>
      <c r="F88" t="s">
        <v>12</v>
      </c>
      <c r="G88">
        <v>3788</v>
      </c>
    </row>
    <row r="89" spans="1:7" x14ac:dyDescent="0.25">
      <c r="A89">
        <v>1472</v>
      </c>
      <c r="B89">
        <v>50088</v>
      </c>
      <c r="C89" s="2">
        <v>44948.177059019661</v>
      </c>
      <c r="D89">
        <v>34</v>
      </c>
      <c r="E89" t="s">
        <v>8</v>
      </c>
      <c r="F89" t="s">
        <v>12</v>
      </c>
      <c r="G89">
        <v>961</v>
      </c>
    </row>
    <row r="90" spans="1:7" x14ac:dyDescent="0.25">
      <c r="A90">
        <v>1063</v>
      </c>
      <c r="B90">
        <v>50089</v>
      </c>
      <c r="C90" s="2">
        <v>44948.420473491147</v>
      </c>
      <c r="D90">
        <v>53</v>
      </c>
      <c r="E90" t="s">
        <v>7</v>
      </c>
      <c r="F90" t="s">
        <v>12</v>
      </c>
      <c r="G90">
        <v>3774</v>
      </c>
    </row>
    <row r="91" spans="1:7" x14ac:dyDescent="0.25">
      <c r="A91">
        <v>1139</v>
      </c>
      <c r="B91">
        <v>50090</v>
      </c>
      <c r="C91" s="2">
        <v>44948.663887962648</v>
      </c>
      <c r="D91">
        <v>31</v>
      </c>
      <c r="E91" t="s">
        <v>7</v>
      </c>
      <c r="F91" t="s">
        <v>10</v>
      </c>
      <c r="G91">
        <v>3985</v>
      </c>
    </row>
    <row r="92" spans="1:7" x14ac:dyDescent="0.25">
      <c r="A92">
        <v>1499</v>
      </c>
      <c r="B92">
        <v>50091</v>
      </c>
      <c r="C92" s="2">
        <v>44948.907302434141</v>
      </c>
      <c r="D92">
        <v>27</v>
      </c>
      <c r="E92" t="s">
        <v>7</v>
      </c>
      <c r="F92" t="s">
        <v>12</v>
      </c>
      <c r="G92">
        <v>2714</v>
      </c>
    </row>
    <row r="93" spans="1:7" x14ac:dyDescent="0.25">
      <c r="A93">
        <v>1593</v>
      </c>
      <c r="B93">
        <v>50092</v>
      </c>
      <c r="C93" s="2">
        <v>44949.150716905628</v>
      </c>
      <c r="D93">
        <v>52</v>
      </c>
      <c r="E93" t="s">
        <v>7</v>
      </c>
      <c r="F93" t="s">
        <v>9</v>
      </c>
      <c r="G93">
        <v>884</v>
      </c>
    </row>
    <row r="94" spans="1:7" x14ac:dyDescent="0.25">
      <c r="A94">
        <v>1392</v>
      </c>
      <c r="B94">
        <v>50093</v>
      </c>
      <c r="C94" s="2">
        <v>44949.394131377121</v>
      </c>
      <c r="D94">
        <v>42</v>
      </c>
      <c r="E94" t="s">
        <v>7</v>
      </c>
      <c r="F94" t="s">
        <v>11</v>
      </c>
      <c r="G94">
        <v>4433</v>
      </c>
    </row>
    <row r="95" spans="1:7" x14ac:dyDescent="0.25">
      <c r="A95">
        <v>1419</v>
      </c>
      <c r="B95">
        <v>50094</v>
      </c>
      <c r="C95" s="2">
        <v>44949.637545848607</v>
      </c>
      <c r="D95">
        <v>20</v>
      </c>
      <c r="E95" t="s">
        <v>7</v>
      </c>
      <c r="F95" t="s">
        <v>10</v>
      </c>
      <c r="G95">
        <v>777</v>
      </c>
    </row>
    <row r="96" spans="1:7" x14ac:dyDescent="0.25">
      <c r="A96">
        <v>1289</v>
      </c>
      <c r="B96">
        <v>50095</v>
      </c>
      <c r="C96" s="2">
        <v>44949.880960320101</v>
      </c>
      <c r="D96">
        <v>64</v>
      </c>
      <c r="E96" t="s">
        <v>8</v>
      </c>
      <c r="F96" t="s">
        <v>12</v>
      </c>
      <c r="G96">
        <v>427</v>
      </c>
    </row>
    <row r="97" spans="1:7" x14ac:dyDescent="0.25">
      <c r="A97">
        <v>1379</v>
      </c>
      <c r="B97">
        <v>50096</v>
      </c>
      <c r="C97" s="2">
        <v>44950.124374791587</v>
      </c>
      <c r="D97">
        <v>55</v>
      </c>
      <c r="E97" t="s">
        <v>7</v>
      </c>
      <c r="F97" t="s">
        <v>9</v>
      </c>
      <c r="G97">
        <v>2528</v>
      </c>
    </row>
    <row r="98" spans="1:7" x14ac:dyDescent="0.25">
      <c r="A98">
        <v>1490</v>
      </c>
      <c r="B98">
        <v>50097</v>
      </c>
      <c r="C98" s="2">
        <v>44950.36778926308</v>
      </c>
      <c r="D98">
        <v>34</v>
      </c>
      <c r="E98" t="s">
        <v>7</v>
      </c>
      <c r="F98" t="s">
        <v>11</v>
      </c>
      <c r="G98">
        <v>2931</v>
      </c>
    </row>
    <row r="99" spans="1:7" x14ac:dyDescent="0.25">
      <c r="A99">
        <v>1231</v>
      </c>
      <c r="B99">
        <v>50098</v>
      </c>
      <c r="C99" s="2">
        <v>44950.611203734567</v>
      </c>
      <c r="D99">
        <v>29</v>
      </c>
      <c r="E99" t="s">
        <v>7</v>
      </c>
      <c r="F99" t="s">
        <v>9</v>
      </c>
      <c r="G99">
        <v>1027</v>
      </c>
    </row>
    <row r="100" spans="1:7" x14ac:dyDescent="0.25">
      <c r="A100">
        <v>1041</v>
      </c>
      <c r="B100">
        <v>50099</v>
      </c>
      <c r="C100" s="2">
        <v>44950.854618206067</v>
      </c>
      <c r="D100">
        <v>41</v>
      </c>
      <c r="E100" t="s">
        <v>7</v>
      </c>
      <c r="F100" t="s">
        <v>12</v>
      </c>
      <c r="G100">
        <v>630</v>
      </c>
    </row>
    <row r="101" spans="1:7" x14ac:dyDescent="0.25">
      <c r="A101">
        <v>1028</v>
      </c>
      <c r="B101">
        <v>50100</v>
      </c>
      <c r="C101" s="2">
        <v>44951.098032677561</v>
      </c>
      <c r="D101">
        <v>46</v>
      </c>
      <c r="E101" t="s">
        <v>8</v>
      </c>
      <c r="F101" t="s">
        <v>9</v>
      </c>
      <c r="G101">
        <v>1263</v>
      </c>
    </row>
    <row r="102" spans="1:7" x14ac:dyDescent="0.25">
      <c r="A102">
        <v>1135</v>
      </c>
      <c r="B102">
        <v>50101</v>
      </c>
      <c r="C102" s="2">
        <v>44951.34144714904</v>
      </c>
      <c r="D102">
        <v>60</v>
      </c>
      <c r="E102" t="s">
        <v>8</v>
      </c>
      <c r="F102" t="s">
        <v>11</v>
      </c>
      <c r="G102">
        <v>1909</v>
      </c>
    </row>
    <row r="103" spans="1:7" x14ac:dyDescent="0.25">
      <c r="A103">
        <v>1201</v>
      </c>
      <c r="B103">
        <v>50102</v>
      </c>
      <c r="C103" s="2">
        <v>44951.584861620533</v>
      </c>
      <c r="D103">
        <v>42</v>
      </c>
      <c r="E103" t="s">
        <v>7</v>
      </c>
      <c r="F103" t="s">
        <v>12</v>
      </c>
      <c r="G103">
        <v>1434</v>
      </c>
    </row>
    <row r="104" spans="1:7" x14ac:dyDescent="0.25">
      <c r="A104">
        <v>1033</v>
      </c>
      <c r="B104">
        <v>50103</v>
      </c>
      <c r="C104" s="2">
        <v>44951.828276092026</v>
      </c>
      <c r="D104">
        <v>53</v>
      </c>
      <c r="E104" t="s">
        <v>7</v>
      </c>
      <c r="F104" t="s">
        <v>11</v>
      </c>
      <c r="G104">
        <v>501</v>
      </c>
    </row>
    <row r="105" spans="1:7" x14ac:dyDescent="0.25">
      <c r="A105">
        <v>1048</v>
      </c>
      <c r="B105">
        <v>50104</v>
      </c>
      <c r="C105" s="2">
        <v>44952.07169056352</v>
      </c>
      <c r="D105">
        <v>43</v>
      </c>
      <c r="E105" t="s">
        <v>7</v>
      </c>
      <c r="F105" t="s">
        <v>9</v>
      </c>
      <c r="G105">
        <v>1620</v>
      </c>
    </row>
    <row r="106" spans="1:7" x14ac:dyDescent="0.25">
      <c r="A106">
        <v>1503</v>
      </c>
      <c r="B106">
        <v>50105</v>
      </c>
      <c r="C106" s="2">
        <v>44952.315105035013</v>
      </c>
      <c r="D106">
        <v>55</v>
      </c>
      <c r="E106" t="s">
        <v>8</v>
      </c>
      <c r="F106" t="s">
        <v>10</v>
      </c>
      <c r="G106">
        <v>4828</v>
      </c>
    </row>
    <row r="107" spans="1:7" x14ac:dyDescent="0.25">
      <c r="A107">
        <v>1407</v>
      </c>
      <c r="B107">
        <v>50106</v>
      </c>
      <c r="C107" s="2">
        <v>44952.558519506492</v>
      </c>
      <c r="D107">
        <v>18</v>
      </c>
      <c r="E107" t="s">
        <v>8</v>
      </c>
      <c r="F107" t="s">
        <v>10</v>
      </c>
      <c r="G107">
        <v>968</v>
      </c>
    </row>
    <row r="108" spans="1:7" x14ac:dyDescent="0.25">
      <c r="A108">
        <v>1574</v>
      </c>
      <c r="B108">
        <v>50107</v>
      </c>
      <c r="C108" s="2">
        <v>44952.801933977993</v>
      </c>
      <c r="D108">
        <v>37</v>
      </c>
      <c r="E108" t="s">
        <v>8</v>
      </c>
      <c r="F108" t="s">
        <v>10</v>
      </c>
      <c r="G108">
        <v>1604</v>
      </c>
    </row>
    <row r="109" spans="1:7" x14ac:dyDescent="0.25">
      <c r="A109">
        <v>1099</v>
      </c>
      <c r="B109">
        <v>50108</v>
      </c>
      <c r="C109" s="2">
        <v>44953.045348449479</v>
      </c>
      <c r="D109">
        <v>45</v>
      </c>
      <c r="E109" t="s">
        <v>8</v>
      </c>
      <c r="F109" t="s">
        <v>10</v>
      </c>
      <c r="G109">
        <v>643</v>
      </c>
    </row>
    <row r="110" spans="1:7" x14ac:dyDescent="0.25">
      <c r="A110">
        <v>1547</v>
      </c>
      <c r="B110">
        <v>50109</v>
      </c>
      <c r="C110" s="2">
        <v>44953.288762920973</v>
      </c>
      <c r="D110">
        <v>33</v>
      </c>
      <c r="E110" t="s">
        <v>8</v>
      </c>
      <c r="F110" t="s">
        <v>11</v>
      </c>
      <c r="G110">
        <v>3304</v>
      </c>
    </row>
    <row r="111" spans="1:7" x14ac:dyDescent="0.25">
      <c r="A111">
        <v>1462</v>
      </c>
      <c r="B111">
        <v>50110</v>
      </c>
      <c r="C111" s="2">
        <v>44953.532177392452</v>
      </c>
      <c r="D111">
        <v>64</v>
      </c>
      <c r="E111" t="s">
        <v>8</v>
      </c>
      <c r="F111" t="s">
        <v>10</v>
      </c>
      <c r="G111">
        <v>4555</v>
      </c>
    </row>
    <row r="112" spans="1:7" x14ac:dyDescent="0.25">
      <c r="A112">
        <v>1005</v>
      </c>
      <c r="B112">
        <v>50111</v>
      </c>
      <c r="C112" s="2">
        <v>44953.775591863952</v>
      </c>
      <c r="D112">
        <v>34</v>
      </c>
      <c r="E112" t="s">
        <v>7</v>
      </c>
      <c r="F112" t="s">
        <v>11</v>
      </c>
      <c r="G112">
        <v>3505</v>
      </c>
    </row>
    <row r="113" spans="1:7" x14ac:dyDescent="0.25">
      <c r="A113">
        <v>1218</v>
      </c>
      <c r="B113">
        <v>50112</v>
      </c>
      <c r="C113" s="2">
        <v>44954.019006335438</v>
      </c>
      <c r="D113">
        <v>57</v>
      </c>
      <c r="E113" t="s">
        <v>8</v>
      </c>
      <c r="F113" t="s">
        <v>12</v>
      </c>
      <c r="G113">
        <v>1738</v>
      </c>
    </row>
    <row r="114" spans="1:7" x14ac:dyDescent="0.25">
      <c r="A114">
        <v>1503</v>
      </c>
      <c r="B114">
        <v>50113</v>
      </c>
      <c r="C114" s="2">
        <v>44954.262420806932</v>
      </c>
      <c r="D114">
        <v>45</v>
      </c>
      <c r="E114" t="s">
        <v>8</v>
      </c>
      <c r="F114" t="s">
        <v>10</v>
      </c>
      <c r="G114">
        <v>4130</v>
      </c>
    </row>
    <row r="115" spans="1:7" x14ac:dyDescent="0.25">
      <c r="A115">
        <v>1398</v>
      </c>
      <c r="B115">
        <v>50114</v>
      </c>
      <c r="C115" s="2">
        <v>44954.505835278433</v>
      </c>
      <c r="D115">
        <v>29</v>
      </c>
      <c r="E115" t="s">
        <v>7</v>
      </c>
      <c r="F115" t="s">
        <v>11</v>
      </c>
      <c r="G115">
        <v>1531</v>
      </c>
    </row>
    <row r="116" spans="1:7" x14ac:dyDescent="0.25">
      <c r="A116">
        <v>1393</v>
      </c>
      <c r="B116">
        <v>50115</v>
      </c>
      <c r="C116" s="2">
        <v>44954.749249749897</v>
      </c>
      <c r="D116">
        <v>44</v>
      </c>
      <c r="E116" t="s">
        <v>8</v>
      </c>
      <c r="F116" t="s">
        <v>10</v>
      </c>
      <c r="G116">
        <v>269</v>
      </c>
    </row>
    <row r="117" spans="1:7" x14ac:dyDescent="0.25">
      <c r="A117">
        <v>1207</v>
      </c>
      <c r="B117">
        <v>50116</v>
      </c>
      <c r="C117" s="2">
        <v>44954.992664221398</v>
      </c>
      <c r="D117">
        <v>59</v>
      </c>
      <c r="E117" t="s">
        <v>7</v>
      </c>
      <c r="F117" t="s">
        <v>10</v>
      </c>
      <c r="G117">
        <v>3635</v>
      </c>
    </row>
    <row r="118" spans="1:7" x14ac:dyDescent="0.25">
      <c r="A118">
        <v>1015</v>
      </c>
      <c r="B118">
        <v>50117</v>
      </c>
      <c r="C118" s="2">
        <v>44955.236078692891</v>
      </c>
      <c r="D118">
        <v>64</v>
      </c>
      <c r="E118" t="s">
        <v>8</v>
      </c>
      <c r="F118" t="s">
        <v>10</v>
      </c>
      <c r="G118">
        <v>680</v>
      </c>
    </row>
    <row r="119" spans="1:7" x14ac:dyDescent="0.25">
      <c r="A119">
        <v>1554</v>
      </c>
      <c r="B119">
        <v>50118</v>
      </c>
      <c r="C119" s="2">
        <v>44955.479493164377</v>
      </c>
      <c r="D119">
        <v>47</v>
      </c>
      <c r="E119" t="s">
        <v>7</v>
      </c>
      <c r="F119" t="s">
        <v>11</v>
      </c>
      <c r="G119">
        <v>4294</v>
      </c>
    </row>
    <row r="120" spans="1:7" x14ac:dyDescent="0.25">
      <c r="A120">
        <v>1461</v>
      </c>
      <c r="B120">
        <v>50119</v>
      </c>
      <c r="C120" s="2">
        <v>44955.722907635871</v>
      </c>
      <c r="D120">
        <v>58</v>
      </c>
      <c r="E120" t="s">
        <v>7</v>
      </c>
      <c r="F120" t="s">
        <v>9</v>
      </c>
      <c r="G120">
        <v>3696</v>
      </c>
    </row>
    <row r="121" spans="1:7" x14ac:dyDescent="0.25">
      <c r="A121">
        <v>1575</v>
      </c>
      <c r="B121">
        <v>50120</v>
      </c>
      <c r="C121" s="2">
        <v>44955.966322107357</v>
      </c>
      <c r="D121">
        <v>51</v>
      </c>
      <c r="E121" t="s">
        <v>7</v>
      </c>
      <c r="F121" t="s">
        <v>10</v>
      </c>
      <c r="G121">
        <v>2993</v>
      </c>
    </row>
    <row r="122" spans="1:7" x14ac:dyDescent="0.25">
      <c r="A122">
        <v>1241</v>
      </c>
      <c r="B122">
        <v>50121</v>
      </c>
      <c r="C122" s="2">
        <v>44956.209736578858</v>
      </c>
      <c r="D122">
        <v>54</v>
      </c>
      <c r="E122" t="s">
        <v>7</v>
      </c>
      <c r="F122" t="s">
        <v>10</v>
      </c>
      <c r="G122">
        <v>3092</v>
      </c>
    </row>
    <row r="123" spans="1:7" x14ac:dyDescent="0.25">
      <c r="A123">
        <v>1564</v>
      </c>
      <c r="B123">
        <v>50122</v>
      </c>
      <c r="C123" s="2">
        <v>44956.453151050337</v>
      </c>
      <c r="D123">
        <v>23</v>
      </c>
      <c r="E123" t="s">
        <v>7</v>
      </c>
      <c r="F123" t="s">
        <v>12</v>
      </c>
      <c r="G123">
        <v>1398</v>
      </c>
    </row>
    <row r="124" spans="1:7" x14ac:dyDescent="0.25">
      <c r="A124">
        <v>1096</v>
      </c>
      <c r="B124">
        <v>50123</v>
      </c>
      <c r="C124" s="2">
        <v>44956.696565521837</v>
      </c>
      <c r="D124">
        <v>24</v>
      </c>
      <c r="E124" t="s">
        <v>8</v>
      </c>
      <c r="F124" t="s">
        <v>9</v>
      </c>
      <c r="G124">
        <v>2572</v>
      </c>
    </row>
    <row r="125" spans="1:7" x14ac:dyDescent="0.25">
      <c r="A125">
        <v>1485</v>
      </c>
      <c r="B125">
        <v>50124</v>
      </c>
      <c r="C125" s="2">
        <v>44956.939979993324</v>
      </c>
      <c r="D125">
        <v>49</v>
      </c>
      <c r="E125" t="s">
        <v>8</v>
      </c>
      <c r="F125" t="s">
        <v>11</v>
      </c>
      <c r="G125">
        <v>2092</v>
      </c>
    </row>
    <row r="126" spans="1:7" x14ac:dyDescent="0.25">
      <c r="A126">
        <v>1407</v>
      </c>
      <c r="B126">
        <v>50125</v>
      </c>
      <c r="C126" s="2">
        <v>44957.183394464817</v>
      </c>
      <c r="D126">
        <v>49</v>
      </c>
      <c r="E126" t="s">
        <v>7</v>
      </c>
      <c r="F126" t="s">
        <v>12</v>
      </c>
      <c r="G126">
        <v>2083</v>
      </c>
    </row>
    <row r="127" spans="1:7" x14ac:dyDescent="0.25">
      <c r="A127">
        <v>1231</v>
      </c>
      <c r="B127">
        <v>50126</v>
      </c>
      <c r="C127" s="2">
        <v>44957.42680893631</v>
      </c>
      <c r="D127">
        <v>42</v>
      </c>
      <c r="E127" t="s">
        <v>7</v>
      </c>
      <c r="F127" t="s">
        <v>10</v>
      </c>
      <c r="G127">
        <v>997</v>
      </c>
    </row>
    <row r="128" spans="1:7" x14ac:dyDescent="0.25">
      <c r="A128">
        <v>1171</v>
      </c>
      <c r="B128">
        <v>50127</v>
      </c>
      <c r="C128" s="2">
        <v>44957.670223407797</v>
      </c>
      <c r="D128">
        <v>50</v>
      </c>
      <c r="E128" t="s">
        <v>7</v>
      </c>
      <c r="F128" t="s">
        <v>12</v>
      </c>
      <c r="G128">
        <v>217</v>
      </c>
    </row>
    <row r="129" spans="1:7" x14ac:dyDescent="0.25">
      <c r="A129">
        <v>1541</v>
      </c>
      <c r="B129">
        <v>50128</v>
      </c>
      <c r="C129" s="2">
        <v>44957.913637879283</v>
      </c>
      <c r="D129">
        <v>24</v>
      </c>
      <c r="E129" t="s">
        <v>8</v>
      </c>
      <c r="F129" t="s">
        <v>12</v>
      </c>
      <c r="G129">
        <v>243</v>
      </c>
    </row>
    <row r="130" spans="1:7" x14ac:dyDescent="0.25">
      <c r="A130">
        <v>1036</v>
      </c>
      <c r="B130">
        <v>50129</v>
      </c>
      <c r="C130" s="2">
        <v>44958.157052350783</v>
      </c>
      <c r="D130">
        <v>29</v>
      </c>
      <c r="E130" t="s">
        <v>7</v>
      </c>
      <c r="F130" t="s">
        <v>10</v>
      </c>
      <c r="G130">
        <v>354</v>
      </c>
    </row>
    <row r="131" spans="1:7" x14ac:dyDescent="0.25">
      <c r="A131">
        <v>1525</v>
      </c>
      <c r="B131">
        <v>50130</v>
      </c>
      <c r="C131" s="2">
        <v>44958.40046682227</v>
      </c>
      <c r="D131">
        <v>33</v>
      </c>
      <c r="E131" t="s">
        <v>7</v>
      </c>
      <c r="F131" t="s">
        <v>9</v>
      </c>
      <c r="G131">
        <v>3648</v>
      </c>
    </row>
    <row r="132" spans="1:7" x14ac:dyDescent="0.25">
      <c r="A132">
        <v>1160</v>
      </c>
      <c r="B132">
        <v>50131</v>
      </c>
      <c r="C132" s="2">
        <v>44958.643881293763</v>
      </c>
      <c r="D132">
        <v>33</v>
      </c>
      <c r="E132" t="s">
        <v>7</v>
      </c>
      <c r="F132" t="s">
        <v>9</v>
      </c>
      <c r="G132">
        <v>4280</v>
      </c>
    </row>
    <row r="133" spans="1:7" x14ac:dyDescent="0.25">
      <c r="A133">
        <v>1243</v>
      </c>
      <c r="B133">
        <v>50132</v>
      </c>
      <c r="C133" s="2">
        <v>44958.887295765257</v>
      </c>
      <c r="D133">
        <v>60</v>
      </c>
      <c r="E133" t="s">
        <v>7</v>
      </c>
      <c r="F133" t="s">
        <v>12</v>
      </c>
      <c r="G133">
        <v>1625</v>
      </c>
    </row>
    <row r="134" spans="1:7" x14ac:dyDescent="0.25">
      <c r="A134">
        <v>1086</v>
      </c>
      <c r="B134">
        <v>50133</v>
      </c>
      <c r="C134" s="2">
        <v>44959.130710236743</v>
      </c>
      <c r="D134">
        <v>53</v>
      </c>
      <c r="E134" t="s">
        <v>8</v>
      </c>
      <c r="F134" t="s">
        <v>10</v>
      </c>
      <c r="G134">
        <v>4520</v>
      </c>
    </row>
    <row r="135" spans="1:7" x14ac:dyDescent="0.25">
      <c r="A135">
        <v>1578</v>
      </c>
      <c r="B135">
        <v>50134</v>
      </c>
      <c r="C135" s="2">
        <v>44959.374124708229</v>
      </c>
      <c r="D135">
        <v>30</v>
      </c>
      <c r="E135" t="s">
        <v>7</v>
      </c>
      <c r="F135" t="s">
        <v>11</v>
      </c>
      <c r="G135">
        <v>4512</v>
      </c>
    </row>
    <row r="136" spans="1:7" x14ac:dyDescent="0.25">
      <c r="A136">
        <v>1557</v>
      </c>
      <c r="B136">
        <v>50135</v>
      </c>
      <c r="C136" s="2">
        <v>44959.617539179722</v>
      </c>
      <c r="D136">
        <v>24</v>
      </c>
      <c r="E136" t="s">
        <v>7</v>
      </c>
      <c r="F136" t="s">
        <v>12</v>
      </c>
      <c r="G136">
        <v>3839</v>
      </c>
    </row>
    <row r="137" spans="1:7" x14ac:dyDescent="0.25">
      <c r="A137">
        <v>1574</v>
      </c>
      <c r="B137">
        <v>50136</v>
      </c>
      <c r="C137" s="2">
        <v>44959.860953651223</v>
      </c>
      <c r="D137">
        <v>53</v>
      </c>
      <c r="E137" t="s">
        <v>8</v>
      </c>
      <c r="F137" t="s">
        <v>11</v>
      </c>
      <c r="G137">
        <v>4326</v>
      </c>
    </row>
    <row r="138" spans="1:7" x14ac:dyDescent="0.25">
      <c r="A138">
        <v>1028</v>
      </c>
      <c r="B138">
        <v>50137</v>
      </c>
      <c r="C138" s="2">
        <v>44960.104368122687</v>
      </c>
      <c r="D138">
        <v>64</v>
      </c>
      <c r="E138" t="s">
        <v>7</v>
      </c>
      <c r="F138" t="s">
        <v>12</v>
      </c>
      <c r="G138">
        <v>2092</v>
      </c>
    </row>
    <row r="139" spans="1:7" x14ac:dyDescent="0.25">
      <c r="A139">
        <v>1556</v>
      </c>
      <c r="B139">
        <v>50138</v>
      </c>
      <c r="C139" s="2">
        <v>44960.347782594188</v>
      </c>
      <c r="D139">
        <v>26</v>
      </c>
      <c r="E139" t="s">
        <v>7</v>
      </c>
      <c r="F139" t="s">
        <v>12</v>
      </c>
      <c r="G139">
        <v>1097</v>
      </c>
    </row>
    <row r="140" spans="1:7" x14ac:dyDescent="0.25">
      <c r="A140">
        <v>1340</v>
      </c>
      <c r="B140">
        <v>50139</v>
      </c>
      <c r="C140" s="2">
        <v>44960.591197065682</v>
      </c>
      <c r="D140">
        <v>49</v>
      </c>
      <c r="E140" t="s">
        <v>8</v>
      </c>
      <c r="F140" t="s">
        <v>10</v>
      </c>
      <c r="G140">
        <v>3624</v>
      </c>
    </row>
    <row r="141" spans="1:7" x14ac:dyDescent="0.25">
      <c r="A141">
        <v>1331</v>
      </c>
      <c r="B141">
        <v>50140</v>
      </c>
      <c r="C141" s="2">
        <v>44960.834611537182</v>
      </c>
      <c r="D141">
        <v>28</v>
      </c>
      <c r="E141" t="s">
        <v>8</v>
      </c>
      <c r="F141" t="s">
        <v>10</v>
      </c>
      <c r="G141">
        <v>4740</v>
      </c>
    </row>
    <row r="142" spans="1:7" x14ac:dyDescent="0.25">
      <c r="A142">
        <v>1506</v>
      </c>
      <c r="B142">
        <v>50141</v>
      </c>
      <c r="C142" s="2">
        <v>44961.078026008669</v>
      </c>
      <c r="D142">
        <v>25</v>
      </c>
      <c r="E142" t="s">
        <v>8</v>
      </c>
      <c r="F142" t="s">
        <v>11</v>
      </c>
      <c r="G142">
        <v>1458</v>
      </c>
    </row>
    <row r="143" spans="1:7" x14ac:dyDescent="0.25">
      <c r="A143">
        <v>1348</v>
      </c>
      <c r="B143">
        <v>50142</v>
      </c>
      <c r="C143" s="2">
        <v>44961.321440480147</v>
      </c>
      <c r="D143">
        <v>50</v>
      </c>
      <c r="E143" t="s">
        <v>7</v>
      </c>
      <c r="F143" t="s">
        <v>11</v>
      </c>
      <c r="G143">
        <v>2215</v>
      </c>
    </row>
    <row r="144" spans="1:7" x14ac:dyDescent="0.25">
      <c r="A144">
        <v>1473</v>
      </c>
      <c r="B144">
        <v>50143</v>
      </c>
      <c r="C144" s="2">
        <v>44961.564854951641</v>
      </c>
      <c r="D144">
        <v>40</v>
      </c>
      <c r="E144" t="s">
        <v>7</v>
      </c>
      <c r="F144" t="s">
        <v>9</v>
      </c>
      <c r="G144">
        <v>1902</v>
      </c>
    </row>
    <row r="145" spans="1:7" x14ac:dyDescent="0.25">
      <c r="A145">
        <v>1231</v>
      </c>
      <c r="B145">
        <v>50144</v>
      </c>
      <c r="C145" s="2">
        <v>44961.808269423127</v>
      </c>
      <c r="D145">
        <v>42</v>
      </c>
      <c r="E145" t="s">
        <v>8</v>
      </c>
      <c r="F145" t="s">
        <v>10</v>
      </c>
      <c r="G145">
        <v>1073</v>
      </c>
    </row>
    <row r="146" spans="1:7" x14ac:dyDescent="0.25">
      <c r="A146">
        <v>1190</v>
      </c>
      <c r="B146">
        <v>50145</v>
      </c>
      <c r="C146" s="2">
        <v>44962.051683894628</v>
      </c>
      <c r="D146">
        <v>25</v>
      </c>
      <c r="E146" t="s">
        <v>8</v>
      </c>
      <c r="F146" t="s">
        <v>12</v>
      </c>
      <c r="G146">
        <v>765</v>
      </c>
    </row>
    <row r="147" spans="1:7" x14ac:dyDescent="0.25">
      <c r="A147">
        <v>1225</v>
      </c>
      <c r="B147">
        <v>50146</v>
      </c>
      <c r="C147" s="2">
        <v>44962.295098366107</v>
      </c>
      <c r="D147">
        <v>62</v>
      </c>
      <c r="E147" t="s">
        <v>8</v>
      </c>
      <c r="F147" t="s">
        <v>12</v>
      </c>
      <c r="G147">
        <v>2218</v>
      </c>
    </row>
    <row r="148" spans="1:7" x14ac:dyDescent="0.25">
      <c r="A148">
        <v>1385</v>
      </c>
      <c r="B148">
        <v>50147</v>
      </c>
      <c r="C148" s="2">
        <v>44962.538512837607</v>
      </c>
      <c r="D148">
        <v>39</v>
      </c>
      <c r="E148" t="s">
        <v>7</v>
      </c>
      <c r="F148" t="s">
        <v>9</v>
      </c>
      <c r="G148">
        <v>2085</v>
      </c>
    </row>
    <row r="149" spans="1:7" x14ac:dyDescent="0.25">
      <c r="A149">
        <v>1377</v>
      </c>
      <c r="B149">
        <v>50148</v>
      </c>
      <c r="C149" s="2">
        <v>44962.781927309094</v>
      </c>
      <c r="D149">
        <v>21</v>
      </c>
      <c r="E149" t="s">
        <v>7</v>
      </c>
      <c r="F149" t="s">
        <v>10</v>
      </c>
      <c r="G149">
        <v>2323</v>
      </c>
    </row>
    <row r="150" spans="1:7" x14ac:dyDescent="0.25">
      <c r="A150">
        <v>1283</v>
      </c>
      <c r="B150">
        <v>50149</v>
      </c>
      <c r="C150" s="2">
        <v>44963.025341780587</v>
      </c>
      <c r="D150">
        <v>57</v>
      </c>
      <c r="E150" t="s">
        <v>8</v>
      </c>
      <c r="F150" t="s">
        <v>12</v>
      </c>
      <c r="G150">
        <v>4842</v>
      </c>
    </row>
    <row r="151" spans="1:7" x14ac:dyDescent="0.25">
      <c r="A151">
        <v>1259</v>
      </c>
      <c r="B151">
        <v>50150</v>
      </c>
      <c r="C151" s="2">
        <v>44963.26875625208</v>
      </c>
      <c r="D151">
        <v>20</v>
      </c>
      <c r="E151" t="s">
        <v>7</v>
      </c>
      <c r="F151" t="s">
        <v>9</v>
      </c>
      <c r="G151">
        <v>2514</v>
      </c>
    </row>
    <row r="152" spans="1:7" x14ac:dyDescent="0.25">
      <c r="A152">
        <v>1359</v>
      </c>
      <c r="B152">
        <v>50151</v>
      </c>
      <c r="C152" s="2">
        <v>44963.512170723567</v>
      </c>
      <c r="D152">
        <v>46</v>
      </c>
      <c r="E152" t="s">
        <v>8</v>
      </c>
      <c r="F152" t="s">
        <v>9</v>
      </c>
      <c r="G152">
        <v>4612</v>
      </c>
    </row>
    <row r="153" spans="1:7" x14ac:dyDescent="0.25">
      <c r="A153">
        <v>1456</v>
      </c>
      <c r="B153">
        <v>50152</v>
      </c>
      <c r="C153" s="2">
        <v>44963.75558519506</v>
      </c>
      <c r="D153">
        <v>58</v>
      </c>
      <c r="E153" t="s">
        <v>7</v>
      </c>
      <c r="F153" t="s">
        <v>12</v>
      </c>
      <c r="G153">
        <v>4083</v>
      </c>
    </row>
    <row r="154" spans="1:7" x14ac:dyDescent="0.25">
      <c r="A154">
        <v>1411</v>
      </c>
      <c r="B154">
        <v>50153</v>
      </c>
      <c r="C154" s="2">
        <v>44963.998999666554</v>
      </c>
      <c r="D154">
        <v>46</v>
      </c>
      <c r="E154" t="s">
        <v>7</v>
      </c>
      <c r="F154" t="s">
        <v>12</v>
      </c>
      <c r="G154">
        <v>3392</v>
      </c>
    </row>
    <row r="155" spans="1:7" x14ac:dyDescent="0.25">
      <c r="A155">
        <v>1318</v>
      </c>
      <c r="B155">
        <v>50154</v>
      </c>
      <c r="C155" s="2">
        <v>44964.242414138047</v>
      </c>
      <c r="D155">
        <v>51</v>
      </c>
      <c r="E155" t="s">
        <v>7</v>
      </c>
      <c r="F155" t="s">
        <v>11</v>
      </c>
      <c r="G155">
        <v>2059</v>
      </c>
    </row>
    <row r="156" spans="1:7" x14ac:dyDescent="0.25">
      <c r="A156">
        <v>1225</v>
      </c>
      <c r="B156">
        <v>50155</v>
      </c>
      <c r="C156" s="2">
        <v>44964.485828609533</v>
      </c>
      <c r="D156">
        <v>51</v>
      </c>
      <c r="E156" t="s">
        <v>7</v>
      </c>
      <c r="F156" t="s">
        <v>10</v>
      </c>
      <c r="G156">
        <v>224</v>
      </c>
    </row>
    <row r="157" spans="1:7" x14ac:dyDescent="0.25">
      <c r="A157">
        <v>1234</v>
      </c>
      <c r="B157">
        <v>50156</v>
      </c>
      <c r="C157" s="2">
        <v>44964.729243081019</v>
      </c>
      <c r="D157">
        <v>45</v>
      </c>
      <c r="E157" t="s">
        <v>8</v>
      </c>
      <c r="F157" t="s">
        <v>11</v>
      </c>
      <c r="G157">
        <v>3703</v>
      </c>
    </row>
    <row r="158" spans="1:7" x14ac:dyDescent="0.25">
      <c r="A158">
        <v>1374</v>
      </c>
      <c r="B158">
        <v>50157</v>
      </c>
      <c r="C158" s="2">
        <v>44964.972657552513</v>
      </c>
      <c r="D158">
        <v>30</v>
      </c>
      <c r="E158" t="s">
        <v>7</v>
      </c>
      <c r="F158" t="s">
        <v>9</v>
      </c>
      <c r="G158">
        <v>4455</v>
      </c>
    </row>
    <row r="159" spans="1:7" x14ac:dyDescent="0.25">
      <c r="A159">
        <v>1472</v>
      </c>
      <c r="B159">
        <v>50158</v>
      </c>
      <c r="C159" s="2">
        <v>44965.216072024014</v>
      </c>
      <c r="D159">
        <v>32</v>
      </c>
      <c r="E159" t="s">
        <v>7</v>
      </c>
      <c r="F159" t="s">
        <v>12</v>
      </c>
      <c r="G159">
        <v>1337</v>
      </c>
    </row>
    <row r="160" spans="1:7" x14ac:dyDescent="0.25">
      <c r="A160">
        <v>1233</v>
      </c>
      <c r="B160">
        <v>50159</v>
      </c>
      <c r="C160" s="2">
        <v>44965.4594864955</v>
      </c>
      <c r="D160">
        <v>40</v>
      </c>
      <c r="E160" t="s">
        <v>8</v>
      </c>
      <c r="F160" t="s">
        <v>11</v>
      </c>
      <c r="G160">
        <v>1389</v>
      </c>
    </row>
    <row r="161" spans="1:7" x14ac:dyDescent="0.25">
      <c r="A161">
        <v>1113</v>
      </c>
      <c r="B161">
        <v>50160</v>
      </c>
      <c r="C161" s="2">
        <v>44965.702900966979</v>
      </c>
      <c r="D161">
        <v>61</v>
      </c>
      <c r="E161" t="s">
        <v>7</v>
      </c>
      <c r="F161" t="s">
        <v>9</v>
      </c>
      <c r="G161">
        <v>4998</v>
      </c>
    </row>
    <row r="162" spans="1:7" x14ac:dyDescent="0.25">
      <c r="A162">
        <v>1497</v>
      </c>
      <c r="B162">
        <v>50161</v>
      </c>
      <c r="C162" s="2">
        <v>44965.946315438472</v>
      </c>
      <c r="D162">
        <v>43</v>
      </c>
      <c r="E162" t="s">
        <v>8</v>
      </c>
      <c r="F162" t="s">
        <v>10</v>
      </c>
      <c r="G162">
        <v>4296</v>
      </c>
    </row>
    <row r="163" spans="1:7" x14ac:dyDescent="0.25">
      <c r="A163">
        <v>1442</v>
      </c>
      <c r="B163">
        <v>50162</v>
      </c>
      <c r="C163" s="2">
        <v>44966.189729909973</v>
      </c>
      <c r="D163">
        <v>21</v>
      </c>
      <c r="E163" t="s">
        <v>8</v>
      </c>
      <c r="F163" t="s">
        <v>12</v>
      </c>
      <c r="G163">
        <v>3357</v>
      </c>
    </row>
    <row r="164" spans="1:7" x14ac:dyDescent="0.25">
      <c r="A164">
        <v>1564</v>
      </c>
      <c r="B164">
        <v>50163</v>
      </c>
      <c r="C164" s="2">
        <v>44966.433144381459</v>
      </c>
      <c r="D164">
        <v>43</v>
      </c>
      <c r="E164" t="s">
        <v>7</v>
      </c>
      <c r="F164" t="s">
        <v>11</v>
      </c>
      <c r="G164">
        <v>2567</v>
      </c>
    </row>
    <row r="165" spans="1:7" x14ac:dyDescent="0.25">
      <c r="A165">
        <v>1268</v>
      </c>
      <c r="B165">
        <v>50164</v>
      </c>
      <c r="C165" s="2">
        <v>44966.676558852938</v>
      </c>
      <c r="D165">
        <v>57</v>
      </c>
      <c r="E165" t="s">
        <v>7</v>
      </c>
      <c r="F165" t="s">
        <v>10</v>
      </c>
      <c r="G165">
        <v>4677</v>
      </c>
    </row>
    <row r="166" spans="1:7" x14ac:dyDescent="0.25">
      <c r="A166">
        <v>1510</v>
      </c>
      <c r="B166">
        <v>50165</v>
      </c>
      <c r="C166" s="2">
        <v>44966.919973324431</v>
      </c>
      <c r="D166">
        <v>26</v>
      </c>
      <c r="E166" t="s">
        <v>8</v>
      </c>
      <c r="F166" t="s">
        <v>11</v>
      </c>
      <c r="G166">
        <v>1941</v>
      </c>
    </row>
    <row r="167" spans="1:7" x14ac:dyDescent="0.25">
      <c r="A167">
        <v>1386</v>
      </c>
      <c r="B167">
        <v>50166</v>
      </c>
      <c r="C167" s="2">
        <v>44967.163387795918</v>
      </c>
      <c r="D167">
        <v>22</v>
      </c>
      <c r="E167" t="s">
        <v>8</v>
      </c>
      <c r="F167" t="s">
        <v>9</v>
      </c>
      <c r="G167">
        <v>3888</v>
      </c>
    </row>
    <row r="168" spans="1:7" x14ac:dyDescent="0.25">
      <c r="A168">
        <v>1387</v>
      </c>
      <c r="B168">
        <v>50167</v>
      </c>
      <c r="C168" s="2">
        <v>44967.406802267418</v>
      </c>
      <c r="D168">
        <v>49</v>
      </c>
      <c r="E168" t="s">
        <v>8</v>
      </c>
      <c r="F168" t="s">
        <v>10</v>
      </c>
      <c r="G168">
        <v>3946</v>
      </c>
    </row>
    <row r="169" spans="1:7" x14ac:dyDescent="0.25">
      <c r="A169">
        <v>1113</v>
      </c>
      <c r="B169">
        <v>50168</v>
      </c>
      <c r="C169" s="2">
        <v>44967.650216738912</v>
      </c>
      <c r="D169">
        <v>37</v>
      </c>
      <c r="E169" t="s">
        <v>7</v>
      </c>
      <c r="F169" t="s">
        <v>11</v>
      </c>
      <c r="G169">
        <v>1097</v>
      </c>
    </row>
    <row r="170" spans="1:7" x14ac:dyDescent="0.25">
      <c r="A170">
        <v>1081</v>
      </c>
      <c r="B170">
        <v>50169</v>
      </c>
      <c r="C170" s="2">
        <v>44967.893631210391</v>
      </c>
      <c r="D170">
        <v>28</v>
      </c>
      <c r="E170" t="s">
        <v>8</v>
      </c>
      <c r="F170" t="s">
        <v>10</v>
      </c>
      <c r="G170">
        <v>4223</v>
      </c>
    </row>
    <row r="171" spans="1:7" x14ac:dyDescent="0.25">
      <c r="A171">
        <v>1113</v>
      </c>
      <c r="B171">
        <v>50170</v>
      </c>
      <c r="C171" s="2">
        <v>44968.137045681877</v>
      </c>
      <c r="D171">
        <v>32</v>
      </c>
      <c r="E171" t="s">
        <v>8</v>
      </c>
      <c r="F171" t="s">
        <v>9</v>
      </c>
      <c r="G171">
        <v>916</v>
      </c>
    </row>
    <row r="172" spans="1:7" x14ac:dyDescent="0.25">
      <c r="A172">
        <v>1002</v>
      </c>
      <c r="B172">
        <v>50171</v>
      </c>
      <c r="C172" s="2">
        <v>44968.380460153377</v>
      </c>
      <c r="D172">
        <v>49</v>
      </c>
      <c r="E172" t="s">
        <v>8</v>
      </c>
      <c r="F172" t="s">
        <v>10</v>
      </c>
      <c r="G172">
        <v>4167</v>
      </c>
    </row>
    <row r="173" spans="1:7" x14ac:dyDescent="0.25">
      <c r="A173">
        <v>1220</v>
      </c>
      <c r="B173">
        <v>50172</v>
      </c>
      <c r="C173" s="2">
        <v>44968.623874624871</v>
      </c>
      <c r="D173">
        <v>45</v>
      </c>
      <c r="E173" t="s">
        <v>7</v>
      </c>
      <c r="F173" t="s">
        <v>11</v>
      </c>
      <c r="G173">
        <v>4221</v>
      </c>
    </row>
    <row r="174" spans="1:7" x14ac:dyDescent="0.25">
      <c r="A174">
        <v>1566</v>
      </c>
      <c r="B174">
        <v>50173</v>
      </c>
      <c r="C174" s="2">
        <v>44968.867289096357</v>
      </c>
      <c r="D174">
        <v>39</v>
      </c>
      <c r="E174" t="s">
        <v>8</v>
      </c>
      <c r="F174" t="s">
        <v>9</v>
      </c>
      <c r="G174">
        <v>3415</v>
      </c>
    </row>
    <row r="175" spans="1:7" x14ac:dyDescent="0.25">
      <c r="A175">
        <v>1225</v>
      </c>
      <c r="B175">
        <v>50174</v>
      </c>
      <c r="C175" s="2">
        <v>44969.110703567851</v>
      </c>
      <c r="D175">
        <v>58</v>
      </c>
      <c r="E175" t="s">
        <v>7</v>
      </c>
      <c r="F175" t="s">
        <v>12</v>
      </c>
      <c r="G175">
        <v>590</v>
      </c>
    </row>
    <row r="176" spans="1:7" x14ac:dyDescent="0.25">
      <c r="A176">
        <v>1385</v>
      </c>
      <c r="B176">
        <v>50175</v>
      </c>
      <c r="C176" s="2">
        <v>44969.354118039337</v>
      </c>
      <c r="D176">
        <v>34</v>
      </c>
      <c r="E176" t="s">
        <v>7</v>
      </c>
      <c r="F176" t="s">
        <v>11</v>
      </c>
      <c r="G176">
        <v>4084</v>
      </c>
    </row>
    <row r="177" spans="1:7" x14ac:dyDescent="0.25">
      <c r="A177">
        <v>1403</v>
      </c>
      <c r="B177">
        <v>50176</v>
      </c>
      <c r="C177" s="2">
        <v>44969.59753251083</v>
      </c>
      <c r="D177">
        <v>43</v>
      </c>
      <c r="E177" t="s">
        <v>8</v>
      </c>
      <c r="F177" t="s">
        <v>11</v>
      </c>
      <c r="G177">
        <v>1899</v>
      </c>
    </row>
    <row r="178" spans="1:7" x14ac:dyDescent="0.25">
      <c r="A178">
        <v>1130</v>
      </c>
      <c r="B178">
        <v>50177</v>
      </c>
      <c r="C178" s="2">
        <v>44969.840946982316</v>
      </c>
      <c r="D178">
        <v>61</v>
      </c>
      <c r="E178" t="s">
        <v>7</v>
      </c>
      <c r="F178" t="s">
        <v>9</v>
      </c>
      <c r="G178">
        <v>3237</v>
      </c>
    </row>
    <row r="179" spans="1:7" x14ac:dyDescent="0.25">
      <c r="A179">
        <v>1053</v>
      </c>
      <c r="B179">
        <v>50178</v>
      </c>
      <c r="C179" s="2">
        <v>44970.08436145381</v>
      </c>
      <c r="D179">
        <v>24</v>
      </c>
      <c r="E179" t="s">
        <v>8</v>
      </c>
      <c r="F179" t="s">
        <v>9</v>
      </c>
      <c r="G179">
        <v>432</v>
      </c>
    </row>
    <row r="180" spans="1:7" x14ac:dyDescent="0.25">
      <c r="A180">
        <v>1416</v>
      </c>
      <c r="B180">
        <v>50179</v>
      </c>
      <c r="C180" s="2">
        <v>44970.327775925303</v>
      </c>
      <c r="D180">
        <v>59</v>
      </c>
      <c r="E180" t="s">
        <v>7</v>
      </c>
      <c r="F180" t="s">
        <v>12</v>
      </c>
      <c r="G180">
        <v>2126</v>
      </c>
    </row>
    <row r="181" spans="1:7" x14ac:dyDescent="0.25">
      <c r="A181">
        <v>1247</v>
      </c>
      <c r="B181">
        <v>50180</v>
      </c>
      <c r="C181" s="2">
        <v>44970.571190396797</v>
      </c>
      <c r="D181">
        <v>43</v>
      </c>
      <c r="E181" t="s">
        <v>7</v>
      </c>
      <c r="F181" t="s">
        <v>11</v>
      </c>
      <c r="G181">
        <v>3331</v>
      </c>
    </row>
    <row r="182" spans="1:7" x14ac:dyDescent="0.25">
      <c r="A182">
        <v>1439</v>
      </c>
      <c r="B182">
        <v>50181</v>
      </c>
      <c r="C182" s="2">
        <v>44970.81460486829</v>
      </c>
      <c r="D182">
        <v>42</v>
      </c>
      <c r="E182" t="s">
        <v>8</v>
      </c>
      <c r="F182" t="s">
        <v>9</v>
      </c>
      <c r="G182">
        <v>3506</v>
      </c>
    </row>
    <row r="183" spans="1:7" x14ac:dyDescent="0.25">
      <c r="A183">
        <v>1203</v>
      </c>
      <c r="B183">
        <v>50182</v>
      </c>
      <c r="C183" s="2">
        <v>44971.058019339769</v>
      </c>
      <c r="D183">
        <v>27</v>
      </c>
      <c r="E183" t="s">
        <v>8</v>
      </c>
      <c r="F183" t="s">
        <v>12</v>
      </c>
      <c r="G183">
        <v>2924</v>
      </c>
    </row>
    <row r="184" spans="1:7" x14ac:dyDescent="0.25">
      <c r="A184">
        <v>1184</v>
      </c>
      <c r="B184">
        <v>50183</v>
      </c>
      <c r="C184" s="2">
        <v>44971.301433811263</v>
      </c>
      <c r="D184">
        <v>62</v>
      </c>
      <c r="E184" t="s">
        <v>8</v>
      </c>
      <c r="F184" t="s">
        <v>12</v>
      </c>
      <c r="G184">
        <v>433</v>
      </c>
    </row>
    <row r="185" spans="1:7" x14ac:dyDescent="0.25">
      <c r="A185">
        <v>1123</v>
      </c>
      <c r="B185">
        <v>50184</v>
      </c>
      <c r="C185" s="2">
        <v>44971.544848282763</v>
      </c>
      <c r="D185">
        <v>36</v>
      </c>
      <c r="E185" t="s">
        <v>7</v>
      </c>
      <c r="F185" t="s">
        <v>9</v>
      </c>
      <c r="G185">
        <v>1591</v>
      </c>
    </row>
    <row r="186" spans="1:7" x14ac:dyDescent="0.25">
      <c r="A186">
        <v>1401</v>
      </c>
      <c r="B186">
        <v>50185</v>
      </c>
      <c r="C186" s="2">
        <v>44971.788262754249</v>
      </c>
      <c r="D186">
        <v>28</v>
      </c>
      <c r="E186" t="s">
        <v>7</v>
      </c>
      <c r="F186" t="s">
        <v>11</v>
      </c>
      <c r="G186">
        <v>3092</v>
      </c>
    </row>
    <row r="187" spans="1:7" x14ac:dyDescent="0.25">
      <c r="A187">
        <v>1294</v>
      </c>
      <c r="B187">
        <v>50186</v>
      </c>
      <c r="C187" s="2">
        <v>44972.031677225743</v>
      </c>
      <c r="D187">
        <v>30</v>
      </c>
      <c r="E187" t="s">
        <v>8</v>
      </c>
      <c r="F187" t="s">
        <v>10</v>
      </c>
      <c r="G187">
        <v>1455</v>
      </c>
    </row>
    <row r="188" spans="1:7" x14ac:dyDescent="0.25">
      <c r="A188">
        <v>1280</v>
      </c>
      <c r="B188">
        <v>50187</v>
      </c>
      <c r="C188" s="2">
        <v>44972.275091697222</v>
      </c>
      <c r="D188">
        <v>25</v>
      </c>
      <c r="E188" t="s">
        <v>8</v>
      </c>
      <c r="F188" t="s">
        <v>10</v>
      </c>
      <c r="G188">
        <v>2738</v>
      </c>
    </row>
    <row r="189" spans="1:7" x14ac:dyDescent="0.25">
      <c r="A189">
        <v>1198</v>
      </c>
      <c r="B189">
        <v>50188</v>
      </c>
      <c r="C189" s="2">
        <v>44972.518506168723</v>
      </c>
      <c r="D189">
        <v>57</v>
      </c>
      <c r="E189" t="s">
        <v>7</v>
      </c>
      <c r="F189" t="s">
        <v>12</v>
      </c>
      <c r="G189">
        <v>3890</v>
      </c>
    </row>
    <row r="190" spans="1:7" x14ac:dyDescent="0.25">
      <c r="A190">
        <v>1511</v>
      </c>
      <c r="B190">
        <v>50189</v>
      </c>
      <c r="C190" s="2">
        <v>44972.761920640209</v>
      </c>
      <c r="D190">
        <v>21</v>
      </c>
      <c r="E190" t="s">
        <v>7</v>
      </c>
      <c r="F190" t="s">
        <v>10</v>
      </c>
      <c r="G190">
        <v>1089</v>
      </c>
    </row>
    <row r="191" spans="1:7" x14ac:dyDescent="0.25">
      <c r="A191">
        <v>1144</v>
      </c>
      <c r="B191">
        <v>50190</v>
      </c>
      <c r="C191" s="2">
        <v>44973.005335111702</v>
      </c>
      <c r="D191">
        <v>64</v>
      </c>
      <c r="E191" t="s">
        <v>7</v>
      </c>
      <c r="F191" t="s">
        <v>10</v>
      </c>
      <c r="G191">
        <v>4887</v>
      </c>
    </row>
    <row r="192" spans="1:7" x14ac:dyDescent="0.25">
      <c r="A192">
        <v>1201</v>
      </c>
      <c r="B192">
        <v>50191</v>
      </c>
      <c r="C192" s="2">
        <v>44973.248749583181</v>
      </c>
      <c r="D192">
        <v>48</v>
      </c>
      <c r="E192" t="s">
        <v>8</v>
      </c>
      <c r="F192" t="s">
        <v>9</v>
      </c>
      <c r="G192">
        <v>945</v>
      </c>
    </row>
    <row r="193" spans="1:7" x14ac:dyDescent="0.25">
      <c r="A193">
        <v>1124</v>
      </c>
      <c r="B193">
        <v>50192</v>
      </c>
      <c r="C193" s="2">
        <v>44973.492164054667</v>
      </c>
      <c r="D193">
        <v>45</v>
      </c>
      <c r="E193" t="s">
        <v>7</v>
      </c>
      <c r="F193" t="s">
        <v>12</v>
      </c>
      <c r="G193">
        <v>1919</v>
      </c>
    </row>
    <row r="194" spans="1:7" x14ac:dyDescent="0.25">
      <c r="A194">
        <v>1187</v>
      </c>
      <c r="B194">
        <v>50193</v>
      </c>
      <c r="C194" s="2">
        <v>44973.735578526168</v>
      </c>
      <c r="D194">
        <v>28</v>
      </c>
      <c r="E194" t="s">
        <v>8</v>
      </c>
      <c r="F194" t="s">
        <v>11</v>
      </c>
      <c r="G194">
        <v>627</v>
      </c>
    </row>
    <row r="195" spans="1:7" x14ac:dyDescent="0.25">
      <c r="A195">
        <v>1326</v>
      </c>
      <c r="B195">
        <v>50194</v>
      </c>
      <c r="C195" s="2">
        <v>44973.978992997661</v>
      </c>
      <c r="D195">
        <v>60</v>
      </c>
      <c r="E195" t="s">
        <v>7</v>
      </c>
      <c r="F195" t="s">
        <v>12</v>
      </c>
      <c r="G195">
        <v>931</v>
      </c>
    </row>
    <row r="196" spans="1:7" x14ac:dyDescent="0.25">
      <c r="A196">
        <v>1464</v>
      </c>
      <c r="B196">
        <v>50195</v>
      </c>
      <c r="C196" s="2">
        <v>44974.222407469148</v>
      </c>
      <c r="D196">
        <v>18</v>
      </c>
      <c r="E196" t="s">
        <v>7</v>
      </c>
      <c r="F196" t="s">
        <v>9</v>
      </c>
      <c r="G196">
        <v>999</v>
      </c>
    </row>
    <row r="197" spans="1:7" x14ac:dyDescent="0.25">
      <c r="A197">
        <v>1349</v>
      </c>
      <c r="B197">
        <v>50196</v>
      </c>
      <c r="C197" s="2">
        <v>44974.465821940626</v>
      </c>
      <c r="D197">
        <v>64</v>
      </c>
      <c r="E197" t="s">
        <v>8</v>
      </c>
      <c r="F197" t="s">
        <v>10</v>
      </c>
      <c r="G197">
        <v>4497</v>
      </c>
    </row>
    <row r="198" spans="1:7" x14ac:dyDescent="0.25">
      <c r="A198">
        <v>1403</v>
      </c>
      <c r="B198">
        <v>50197</v>
      </c>
      <c r="C198" s="2">
        <v>44974.709236412127</v>
      </c>
      <c r="D198">
        <v>55</v>
      </c>
      <c r="E198" t="s">
        <v>8</v>
      </c>
      <c r="F198" t="s">
        <v>11</v>
      </c>
      <c r="G198">
        <v>1035</v>
      </c>
    </row>
    <row r="199" spans="1:7" x14ac:dyDescent="0.25">
      <c r="A199">
        <v>1346</v>
      </c>
      <c r="B199">
        <v>50198</v>
      </c>
      <c r="C199" s="2">
        <v>44974.952650883621</v>
      </c>
      <c r="D199">
        <v>41</v>
      </c>
      <c r="E199" t="s">
        <v>8</v>
      </c>
      <c r="F199" t="s">
        <v>12</v>
      </c>
      <c r="G199">
        <v>334</v>
      </c>
    </row>
    <row r="200" spans="1:7" x14ac:dyDescent="0.25">
      <c r="A200">
        <v>1511</v>
      </c>
      <c r="B200">
        <v>50199</v>
      </c>
      <c r="C200" s="2">
        <v>44975.196065355107</v>
      </c>
      <c r="D200">
        <v>64</v>
      </c>
      <c r="E200" t="s">
        <v>7</v>
      </c>
      <c r="F200" t="s">
        <v>10</v>
      </c>
      <c r="G200">
        <v>2738</v>
      </c>
    </row>
    <row r="201" spans="1:7" x14ac:dyDescent="0.25">
      <c r="A201">
        <v>1147</v>
      </c>
      <c r="B201">
        <v>50200</v>
      </c>
      <c r="C201" s="2">
        <v>44975.439479826608</v>
      </c>
      <c r="D201">
        <v>48</v>
      </c>
      <c r="E201" t="s">
        <v>7</v>
      </c>
      <c r="F201" t="s">
        <v>12</v>
      </c>
      <c r="G201">
        <v>3918</v>
      </c>
    </row>
    <row r="202" spans="1:7" x14ac:dyDescent="0.25">
      <c r="A202">
        <v>1148</v>
      </c>
      <c r="B202">
        <v>50201</v>
      </c>
      <c r="C202" s="2">
        <v>44975.682894298086</v>
      </c>
      <c r="D202">
        <v>58</v>
      </c>
      <c r="E202" t="s">
        <v>7</v>
      </c>
      <c r="F202" t="s">
        <v>11</v>
      </c>
      <c r="G202">
        <v>240</v>
      </c>
    </row>
    <row r="203" spans="1:7" x14ac:dyDescent="0.25">
      <c r="A203">
        <v>1489</v>
      </c>
      <c r="B203">
        <v>50202</v>
      </c>
      <c r="C203" s="2">
        <v>44975.92630876958</v>
      </c>
      <c r="D203">
        <v>63</v>
      </c>
      <c r="E203" t="s">
        <v>8</v>
      </c>
      <c r="F203" t="s">
        <v>12</v>
      </c>
      <c r="G203">
        <v>3567</v>
      </c>
    </row>
    <row r="204" spans="1:7" x14ac:dyDescent="0.25">
      <c r="A204">
        <v>1551</v>
      </c>
      <c r="B204">
        <v>50203</v>
      </c>
      <c r="C204" s="2">
        <v>44976.169723241073</v>
      </c>
      <c r="D204">
        <v>43</v>
      </c>
      <c r="E204" t="s">
        <v>7</v>
      </c>
      <c r="F204" t="s">
        <v>12</v>
      </c>
      <c r="G204">
        <v>2615</v>
      </c>
    </row>
    <row r="205" spans="1:7" x14ac:dyDescent="0.25">
      <c r="A205">
        <v>1338</v>
      </c>
      <c r="B205">
        <v>50204</v>
      </c>
      <c r="C205" s="2">
        <v>44976.413137712567</v>
      </c>
      <c r="D205">
        <v>22</v>
      </c>
      <c r="E205" t="s">
        <v>8</v>
      </c>
      <c r="F205" t="s">
        <v>12</v>
      </c>
      <c r="G205">
        <v>2240</v>
      </c>
    </row>
    <row r="206" spans="1:7" x14ac:dyDescent="0.25">
      <c r="A206">
        <v>1473</v>
      </c>
      <c r="B206">
        <v>50205</v>
      </c>
      <c r="C206" s="2">
        <v>44976.656552184053</v>
      </c>
      <c r="D206">
        <v>37</v>
      </c>
      <c r="E206" t="s">
        <v>8</v>
      </c>
      <c r="F206" t="s">
        <v>10</v>
      </c>
      <c r="G206">
        <v>4539</v>
      </c>
    </row>
    <row r="207" spans="1:7" x14ac:dyDescent="0.25">
      <c r="A207">
        <v>1151</v>
      </c>
      <c r="B207">
        <v>50206</v>
      </c>
      <c r="C207" s="2">
        <v>44976.899966655546</v>
      </c>
      <c r="D207">
        <v>58</v>
      </c>
      <c r="E207" t="s">
        <v>8</v>
      </c>
      <c r="F207" t="s">
        <v>11</v>
      </c>
      <c r="G207">
        <v>3149</v>
      </c>
    </row>
    <row r="208" spans="1:7" x14ac:dyDescent="0.25">
      <c r="A208">
        <v>1415</v>
      </c>
      <c r="B208">
        <v>50207</v>
      </c>
      <c r="C208" s="2">
        <v>44977.14338112704</v>
      </c>
      <c r="D208">
        <v>28</v>
      </c>
      <c r="E208" t="s">
        <v>7</v>
      </c>
      <c r="F208" t="s">
        <v>11</v>
      </c>
      <c r="G208">
        <v>4461</v>
      </c>
    </row>
    <row r="209" spans="1:7" x14ac:dyDescent="0.25">
      <c r="A209">
        <v>1298</v>
      </c>
      <c r="B209">
        <v>50208</v>
      </c>
      <c r="C209" s="2">
        <v>44977.386795598533</v>
      </c>
      <c r="D209">
        <v>50</v>
      </c>
      <c r="E209" t="s">
        <v>7</v>
      </c>
      <c r="F209" t="s">
        <v>10</v>
      </c>
      <c r="G209">
        <v>3666</v>
      </c>
    </row>
    <row r="210" spans="1:7" x14ac:dyDescent="0.25">
      <c r="A210">
        <v>1263</v>
      </c>
      <c r="B210">
        <v>50209</v>
      </c>
      <c r="C210" s="2">
        <v>44977.63021007002</v>
      </c>
      <c r="D210">
        <v>55</v>
      </c>
      <c r="E210" t="s">
        <v>8</v>
      </c>
      <c r="F210" t="s">
        <v>10</v>
      </c>
      <c r="G210">
        <v>3288</v>
      </c>
    </row>
    <row r="211" spans="1:7" x14ac:dyDescent="0.25">
      <c r="A211">
        <v>1144</v>
      </c>
      <c r="B211">
        <v>50210</v>
      </c>
      <c r="C211" s="2">
        <v>44977.873624541513</v>
      </c>
      <c r="D211">
        <v>44</v>
      </c>
      <c r="E211" t="s">
        <v>7</v>
      </c>
      <c r="F211" t="s">
        <v>10</v>
      </c>
      <c r="G211">
        <v>1315</v>
      </c>
    </row>
    <row r="212" spans="1:7" x14ac:dyDescent="0.25">
      <c r="A212">
        <v>1346</v>
      </c>
      <c r="B212">
        <v>50211</v>
      </c>
      <c r="C212" s="2">
        <v>44978.117039012999</v>
      </c>
      <c r="D212">
        <v>51</v>
      </c>
      <c r="E212" t="s">
        <v>8</v>
      </c>
      <c r="F212" t="s">
        <v>9</v>
      </c>
      <c r="G212">
        <v>4778</v>
      </c>
    </row>
    <row r="213" spans="1:7" x14ac:dyDescent="0.25">
      <c r="A213">
        <v>1572</v>
      </c>
      <c r="B213">
        <v>50212</v>
      </c>
      <c r="C213" s="2">
        <v>44978.360453484493</v>
      </c>
      <c r="D213">
        <v>32</v>
      </c>
      <c r="E213" t="s">
        <v>8</v>
      </c>
      <c r="F213" t="s">
        <v>12</v>
      </c>
      <c r="G213">
        <v>2790</v>
      </c>
    </row>
    <row r="214" spans="1:7" x14ac:dyDescent="0.25">
      <c r="A214">
        <v>1002</v>
      </c>
      <c r="B214">
        <v>50213</v>
      </c>
      <c r="C214" s="2">
        <v>44978.603867955993</v>
      </c>
      <c r="D214">
        <v>49</v>
      </c>
      <c r="E214" t="s">
        <v>7</v>
      </c>
      <c r="F214" t="s">
        <v>12</v>
      </c>
      <c r="G214">
        <v>3773</v>
      </c>
    </row>
    <row r="215" spans="1:7" x14ac:dyDescent="0.25">
      <c r="A215">
        <v>1304</v>
      </c>
      <c r="B215">
        <v>50214</v>
      </c>
      <c r="C215" s="2">
        <v>44978.847282427458</v>
      </c>
      <c r="D215">
        <v>38</v>
      </c>
      <c r="E215" t="s">
        <v>8</v>
      </c>
      <c r="F215" t="s">
        <v>11</v>
      </c>
      <c r="G215">
        <v>3178</v>
      </c>
    </row>
    <row r="216" spans="1:7" x14ac:dyDescent="0.25">
      <c r="A216">
        <v>1254</v>
      </c>
      <c r="B216">
        <v>50215</v>
      </c>
      <c r="C216" s="2">
        <v>44979.090696898958</v>
      </c>
      <c r="D216">
        <v>63</v>
      </c>
      <c r="E216" t="s">
        <v>8</v>
      </c>
      <c r="F216" t="s">
        <v>12</v>
      </c>
      <c r="G216">
        <v>2647</v>
      </c>
    </row>
    <row r="217" spans="1:7" x14ac:dyDescent="0.25">
      <c r="A217">
        <v>1453</v>
      </c>
      <c r="B217">
        <v>50216</v>
      </c>
      <c r="C217" s="2">
        <v>44979.334111370452</v>
      </c>
      <c r="D217">
        <v>22</v>
      </c>
      <c r="E217" t="s">
        <v>7</v>
      </c>
      <c r="F217" t="s">
        <v>9</v>
      </c>
      <c r="G217">
        <v>1430</v>
      </c>
    </row>
    <row r="218" spans="1:7" x14ac:dyDescent="0.25">
      <c r="A218">
        <v>1037</v>
      </c>
      <c r="B218">
        <v>50217</v>
      </c>
      <c r="C218" s="2">
        <v>44979.577525841953</v>
      </c>
      <c r="D218">
        <v>23</v>
      </c>
      <c r="E218" t="s">
        <v>8</v>
      </c>
      <c r="F218" t="s">
        <v>10</v>
      </c>
      <c r="G218">
        <v>2866</v>
      </c>
    </row>
    <row r="219" spans="1:7" x14ac:dyDescent="0.25">
      <c r="A219">
        <v>1160</v>
      </c>
      <c r="B219">
        <v>50218</v>
      </c>
      <c r="C219" s="2">
        <v>44979.820940313439</v>
      </c>
      <c r="D219">
        <v>55</v>
      </c>
      <c r="E219" t="s">
        <v>8</v>
      </c>
      <c r="F219" t="s">
        <v>11</v>
      </c>
      <c r="G219">
        <v>4458</v>
      </c>
    </row>
    <row r="220" spans="1:7" x14ac:dyDescent="0.25">
      <c r="A220">
        <v>1009</v>
      </c>
      <c r="B220">
        <v>50219</v>
      </c>
      <c r="C220" s="2">
        <v>44980.064354784918</v>
      </c>
      <c r="D220">
        <v>39</v>
      </c>
      <c r="E220" t="s">
        <v>8</v>
      </c>
      <c r="F220" t="s">
        <v>11</v>
      </c>
      <c r="G220">
        <v>2794</v>
      </c>
    </row>
    <row r="221" spans="1:7" x14ac:dyDescent="0.25">
      <c r="A221">
        <v>1233</v>
      </c>
      <c r="B221">
        <v>50220</v>
      </c>
      <c r="C221" s="2">
        <v>44980.307769256411</v>
      </c>
      <c r="D221">
        <v>35</v>
      </c>
      <c r="E221" t="s">
        <v>8</v>
      </c>
      <c r="F221" t="s">
        <v>12</v>
      </c>
      <c r="G221">
        <v>3630</v>
      </c>
    </row>
    <row r="222" spans="1:7" x14ac:dyDescent="0.25">
      <c r="A222">
        <v>1099</v>
      </c>
      <c r="B222">
        <v>50221</v>
      </c>
      <c r="C222" s="2">
        <v>44980.551183727897</v>
      </c>
      <c r="D222">
        <v>31</v>
      </c>
      <c r="E222" t="s">
        <v>8</v>
      </c>
      <c r="F222" t="s">
        <v>11</v>
      </c>
      <c r="G222">
        <v>3117</v>
      </c>
    </row>
    <row r="223" spans="1:7" x14ac:dyDescent="0.25">
      <c r="A223">
        <v>1208</v>
      </c>
      <c r="B223">
        <v>50222</v>
      </c>
      <c r="C223" s="2">
        <v>44980.794598199398</v>
      </c>
      <c r="D223">
        <v>27</v>
      </c>
      <c r="E223" t="s">
        <v>8</v>
      </c>
      <c r="F223" t="s">
        <v>10</v>
      </c>
      <c r="G223">
        <v>3152</v>
      </c>
    </row>
    <row r="224" spans="1:7" x14ac:dyDescent="0.25">
      <c r="A224">
        <v>1131</v>
      </c>
      <c r="B224">
        <v>50223</v>
      </c>
      <c r="C224" s="2">
        <v>44981.038012670877</v>
      </c>
      <c r="D224">
        <v>63</v>
      </c>
      <c r="E224" t="s">
        <v>8</v>
      </c>
      <c r="F224" t="s">
        <v>11</v>
      </c>
      <c r="G224">
        <v>2195</v>
      </c>
    </row>
    <row r="225" spans="1:7" x14ac:dyDescent="0.25">
      <c r="A225">
        <v>1404</v>
      </c>
      <c r="B225">
        <v>50224</v>
      </c>
      <c r="C225" s="2">
        <v>44981.28142714237</v>
      </c>
      <c r="D225">
        <v>30</v>
      </c>
      <c r="E225" t="s">
        <v>7</v>
      </c>
      <c r="F225" t="s">
        <v>10</v>
      </c>
      <c r="G225">
        <v>4091</v>
      </c>
    </row>
    <row r="226" spans="1:7" x14ac:dyDescent="0.25">
      <c r="A226">
        <v>1152</v>
      </c>
      <c r="B226">
        <v>50225</v>
      </c>
      <c r="C226" s="2">
        <v>44981.524841613857</v>
      </c>
      <c r="D226">
        <v>48</v>
      </c>
      <c r="E226" t="s">
        <v>7</v>
      </c>
      <c r="F226" t="s">
        <v>9</v>
      </c>
      <c r="G226">
        <v>506</v>
      </c>
    </row>
    <row r="227" spans="1:7" x14ac:dyDescent="0.25">
      <c r="A227">
        <v>1054</v>
      </c>
      <c r="B227">
        <v>50226</v>
      </c>
      <c r="C227" s="2">
        <v>44981.768256085357</v>
      </c>
      <c r="D227">
        <v>47</v>
      </c>
      <c r="E227" t="s">
        <v>8</v>
      </c>
      <c r="F227" t="s">
        <v>9</v>
      </c>
      <c r="G227">
        <v>1562</v>
      </c>
    </row>
    <row r="228" spans="1:7" x14ac:dyDescent="0.25">
      <c r="A228">
        <v>1120</v>
      </c>
      <c r="B228">
        <v>50227</v>
      </c>
      <c r="C228" s="2">
        <v>44982.011670556851</v>
      </c>
      <c r="D228">
        <v>20</v>
      </c>
      <c r="E228" t="s">
        <v>8</v>
      </c>
      <c r="F228" t="s">
        <v>10</v>
      </c>
      <c r="G228">
        <v>2302</v>
      </c>
    </row>
    <row r="229" spans="1:7" x14ac:dyDescent="0.25">
      <c r="A229">
        <v>1587</v>
      </c>
      <c r="B229">
        <v>50228</v>
      </c>
      <c r="C229" s="2">
        <v>44982.255085028337</v>
      </c>
      <c r="D229">
        <v>47</v>
      </c>
      <c r="E229" t="s">
        <v>7</v>
      </c>
      <c r="F229" t="s">
        <v>12</v>
      </c>
      <c r="G229">
        <v>3230</v>
      </c>
    </row>
    <row r="230" spans="1:7" x14ac:dyDescent="0.25">
      <c r="A230">
        <v>1420</v>
      </c>
      <c r="B230">
        <v>50229</v>
      </c>
      <c r="C230" s="2">
        <v>44982.498499499823</v>
      </c>
      <c r="D230">
        <v>23</v>
      </c>
      <c r="E230" t="s">
        <v>7</v>
      </c>
      <c r="F230" t="s">
        <v>11</v>
      </c>
      <c r="G230">
        <v>532</v>
      </c>
    </row>
    <row r="231" spans="1:7" x14ac:dyDescent="0.25">
      <c r="A231">
        <v>1422</v>
      </c>
      <c r="B231">
        <v>50230</v>
      </c>
      <c r="C231" s="2">
        <v>44982.741913971317</v>
      </c>
      <c r="D231">
        <v>46</v>
      </c>
      <c r="E231" t="s">
        <v>7</v>
      </c>
      <c r="F231" t="s">
        <v>12</v>
      </c>
      <c r="G231">
        <v>2952</v>
      </c>
    </row>
    <row r="232" spans="1:7" x14ac:dyDescent="0.25">
      <c r="A232">
        <v>1104</v>
      </c>
      <c r="B232">
        <v>50231</v>
      </c>
      <c r="C232" s="2">
        <v>44982.98532844281</v>
      </c>
      <c r="D232">
        <v>25</v>
      </c>
      <c r="E232" t="s">
        <v>7</v>
      </c>
      <c r="F232" t="s">
        <v>11</v>
      </c>
      <c r="G232">
        <v>442</v>
      </c>
    </row>
    <row r="233" spans="1:7" x14ac:dyDescent="0.25">
      <c r="A233">
        <v>1254</v>
      </c>
      <c r="B233">
        <v>50232</v>
      </c>
      <c r="C233" s="2">
        <v>44983.228742914303</v>
      </c>
      <c r="D233">
        <v>61</v>
      </c>
      <c r="E233" t="s">
        <v>7</v>
      </c>
      <c r="F233" t="s">
        <v>9</v>
      </c>
      <c r="G233">
        <v>2084</v>
      </c>
    </row>
    <row r="234" spans="1:7" x14ac:dyDescent="0.25">
      <c r="A234">
        <v>1227</v>
      </c>
      <c r="B234">
        <v>50233</v>
      </c>
      <c r="C234" s="2">
        <v>44983.47215738579</v>
      </c>
      <c r="D234">
        <v>62</v>
      </c>
      <c r="E234" t="s">
        <v>8</v>
      </c>
      <c r="F234" t="s">
        <v>9</v>
      </c>
      <c r="G234">
        <v>1632</v>
      </c>
    </row>
    <row r="235" spans="1:7" x14ac:dyDescent="0.25">
      <c r="A235">
        <v>1112</v>
      </c>
      <c r="B235">
        <v>50234</v>
      </c>
      <c r="C235" s="2">
        <v>44983.715571857283</v>
      </c>
      <c r="D235">
        <v>60</v>
      </c>
      <c r="E235" t="s">
        <v>7</v>
      </c>
      <c r="F235" t="s">
        <v>9</v>
      </c>
      <c r="G235">
        <v>2750</v>
      </c>
    </row>
    <row r="236" spans="1:7" x14ac:dyDescent="0.25">
      <c r="A236">
        <v>1510</v>
      </c>
      <c r="B236">
        <v>50235</v>
      </c>
      <c r="C236" s="2">
        <v>44983.958986328777</v>
      </c>
      <c r="D236">
        <v>61</v>
      </c>
      <c r="E236" t="s">
        <v>7</v>
      </c>
      <c r="F236" t="s">
        <v>11</v>
      </c>
      <c r="G236">
        <v>502</v>
      </c>
    </row>
    <row r="237" spans="1:7" x14ac:dyDescent="0.25">
      <c r="A237">
        <v>1473</v>
      </c>
      <c r="B237">
        <v>50236</v>
      </c>
      <c r="C237" s="2">
        <v>44984.202400800263</v>
      </c>
      <c r="D237">
        <v>50</v>
      </c>
      <c r="E237" t="s">
        <v>7</v>
      </c>
      <c r="F237" t="s">
        <v>9</v>
      </c>
      <c r="G237">
        <v>4530</v>
      </c>
    </row>
    <row r="238" spans="1:7" x14ac:dyDescent="0.25">
      <c r="A238">
        <v>1099</v>
      </c>
      <c r="B238">
        <v>50237</v>
      </c>
      <c r="C238" s="2">
        <v>44984.445815271749</v>
      </c>
      <c r="D238">
        <v>34</v>
      </c>
      <c r="E238" t="s">
        <v>8</v>
      </c>
      <c r="F238" t="s">
        <v>9</v>
      </c>
      <c r="G238">
        <v>3309</v>
      </c>
    </row>
    <row r="239" spans="1:7" x14ac:dyDescent="0.25">
      <c r="A239">
        <v>1153</v>
      </c>
      <c r="B239">
        <v>50238</v>
      </c>
      <c r="C239" s="2">
        <v>44984.689229743242</v>
      </c>
      <c r="D239">
        <v>28</v>
      </c>
      <c r="E239" t="s">
        <v>8</v>
      </c>
      <c r="F239" t="s">
        <v>9</v>
      </c>
      <c r="G239">
        <v>2386</v>
      </c>
    </row>
    <row r="240" spans="1:7" x14ac:dyDescent="0.25">
      <c r="A240">
        <v>1338</v>
      </c>
      <c r="B240">
        <v>50239</v>
      </c>
      <c r="C240" s="2">
        <v>44984.932644214743</v>
      </c>
      <c r="D240">
        <v>30</v>
      </c>
      <c r="E240" t="s">
        <v>8</v>
      </c>
      <c r="F240" t="s">
        <v>9</v>
      </c>
      <c r="G240">
        <v>4490</v>
      </c>
    </row>
    <row r="241" spans="1:7" x14ac:dyDescent="0.25">
      <c r="A241">
        <v>1163</v>
      </c>
      <c r="B241">
        <v>50240</v>
      </c>
      <c r="C241" s="2">
        <v>44985.176058686229</v>
      </c>
      <c r="D241">
        <v>28</v>
      </c>
      <c r="E241" t="s">
        <v>8</v>
      </c>
      <c r="F241" t="s">
        <v>12</v>
      </c>
      <c r="G241">
        <v>1750</v>
      </c>
    </row>
    <row r="242" spans="1:7" x14ac:dyDescent="0.25">
      <c r="A242">
        <v>1161</v>
      </c>
      <c r="B242">
        <v>50241</v>
      </c>
      <c r="C242" s="2">
        <v>44985.419473157708</v>
      </c>
      <c r="D242">
        <v>48</v>
      </c>
      <c r="E242" t="s">
        <v>8</v>
      </c>
      <c r="F242" t="s">
        <v>9</v>
      </c>
      <c r="G242">
        <v>1992</v>
      </c>
    </row>
    <row r="243" spans="1:7" x14ac:dyDescent="0.25">
      <c r="A243">
        <v>1580</v>
      </c>
      <c r="B243">
        <v>50242</v>
      </c>
      <c r="C243" s="2">
        <v>44985.662887629202</v>
      </c>
      <c r="D243">
        <v>45</v>
      </c>
      <c r="E243" t="s">
        <v>8</v>
      </c>
      <c r="F243" t="s">
        <v>9</v>
      </c>
      <c r="G243">
        <v>846</v>
      </c>
    </row>
    <row r="244" spans="1:7" x14ac:dyDescent="0.25">
      <c r="A244">
        <v>1398</v>
      </c>
      <c r="B244">
        <v>50243</v>
      </c>
      <c r="C244" s="2">
        <v>44985.906302100702</v>
      </c>
      <c r="D244">
        <v>61</v>
      </c>
      <c r="E244" t="s">
        <v>7</v>
      </c>
      <c r="F244" t="s">
        <v>12</v>
      </c>
      <c r="G244">
        <v>4856</v>
      </c>
    </row>
    <row r="245" spans="1:7" x14ac:dyDescent="0.25">
      <c r="A245">
        <v>1277</v>
      </c>
      <c r="B245">
        <v>50244</v>
      </c>
      <c r="C245" s="2">
        <v>44986.149716572188</v>
      </c>
      <c r="D245">
        <v>23</v>
      </c>
      <c r="E245" t="s">
        <v>8</v>
      </c>
      <c r="F245" t="s">
        <v>12</v>
      </c>
      <c r="G245">
        <v>912</v>
      </c>
    </row>
    <row r="246" spans="1:7" x14ac:dyDescent="0.25">
      <c r="A246">
        <v>1504</v>
      </c>
      <c r="B246">
        <v>50245</v>
      </c>
      <c r="C246" s="2">
        <v>44986.393131043682</v>
      </c>
      <c r="D246">
        <v>58</v>
      </c>
      <c r="E246" t="s">
        <v>8</v>
      </c>
      <c r="F246" t="s">
        <v>11</v>
      </c>
      <c r="G246">
        <v>4708</v>
      </c>
    </row>
    <row r="247" spans="1:7" x14ac:dyDescent="0.25">
      <c r="A247">
        <v>1392</v>
      </c>
      <c r="B247">
        <v>50246</v>
      </c>
      <c r="C247" s="2">
        <v>44986.636545515161</v>
      </c>
      <c r="D247">
        <v>33</v>
      </c>
      <c r="E247" t="s">
        <v>7</v>
      </c>
      <c r="F247" t="s">
        <v>10</v>
      </c>
      <c r="G247">
        <v>737</v>
      </c>
    </row>
    <row r="248" spans="1:7" x14ac:dyDescent="0.25">
      <c r="A248">
        <v>1135</v>
      </c>
      <c r="B248">
        <v>50247</v>
      </c>
      <c r="C248" s="2">
        <v>44986.879959986647</v>
      </c>
      <c r="D248">
        <v>21</v>
      </c>
      <c r="E248" t="s">
        <v>8</v>
      </c>
      <c r="F248" t="s">
        <v>9</v>
      </c>
      <c r="G248">
        <v>434</v>
      </c>
    </row>
    <row r="249" spans="1:7" x14ac:dyDescent="0.25">
      <c r="A249">
        <v>1195</v>
      </c>
      <c r="B249">
        <v>50248</v>
      </c>
      <c r="C249" s="2">
        <v>44987.123374458148</v>
      </c>
      <c r="D249">
        <v>52</v>
      </c>
      <c r="E249" t="s">
        <v>7</v>
      </c>
      <c r="F249" t="s">
        <v>9</v>
      </c>
      <c r="G249">
        <v>2596</v>
      </c>
    </row>
    <row r="250" spans="1:7" x14ac:dyDescent="0.25">
      <c r="A250">
        <v>1401</v>
      </c>
      <c r="B250">
        <v>50249</v>
      </c>
      <c r="C250" s="2">
        <v>44987.366788929641</v>
      </c>
      <c r="D250">
        <v>43</v>
      </c>
      <c r="E250" t="s">
        <v>7</v>
      </c>
      <c r="F250" t="s">
        <v>9</v>
      </c>
      <c r="G250">
        <v>1704</v>
      </c>
    </row>
    <row r="251" spans="1:7" x14ac:dyDescent="0.25">
      <c r="A251">
        <v>1033</v>
      </c>
      <c r="B251">
        <v>50250</v>
      </c>
      <c r="C251" s="2">
        <v>44987.61020340112</v>
      </c>
      <c r="D251">
        <v>29</v>
      </c>
      <c r="E251" t="s">
        <v>8</v>
      </c>
      <c r="F251" t="s">
        <v>11</v>
      </c>
      <c r="G251">
        <v>1574</v>
      </c>
    </row>
    <row r="252" spans="1:7" x14ac:dyDescent="0.25">
      <c r="A252">
        <v>1460</v>
      </c>
      <c r="B252">
        <v>50251</v>
      </c>
      <c r="C252" s="2">
        <v>44987.853617872614</v>
      </c>
      <c r="D252">
        <v>28</v>
      </c>
      <c r="E252" t="s">
        <v>7</v>
      </c>
      <c r="F252" t="s">
        <v>9</v>
      </c>
      <c r="G252">
        <v>4711</v>
      </c>
    </row>
    <row r="253" spans="1:7" x14ac:dyDescent="0.25">
      <c r="A253">
        <v>1470</v>
      </c>
      <c r="B253">
        <v>50252</v>
      </c>
      <c r="C253" s="2">
        <v>44988.097032344107</v>
      </c>
      <c r="D253">
        <v>54</v>
      </c>
      <c r="E253" t="s">
        <v>7</v>
      </c>
      <c r="F253" t="s">
        <v>10</v>
      </c>
      <c r="G253">
        <v>2109</v>
      </c>
    </row>
    <row r="254" spans="1:7" x14ac:dyDescent="0.25">
      <c r="A254">
        <v>1375</v>
      </c>
      <c r="B254">
        <v>50253</v>
      </c>
      <c r="C254" s="2">
        <v>44988.3404468156</v>
      </c>
      <c r="D254">
        <v>42</v>
      </c>
      <c r="E254" t="s">
        <v>7</v>
      </c>
      <c r="F254" t="s">
        <v>12</v>
      </c>
      <c r="G254">
        <v>1115</v>
      </c>
    </row>
    <row r="255" spans="1:7" x14ac:dyDescent="0.25">
      <c r="A255">
        <v>1022</v>
      </c>
      <c r="B255">
        <v>50254</v>
      </c>
      <c r="C255" s="2">
        <v>44988.583861287087</v>
      </c>
      <c r="D255">
        <v>35</v>
      </c>
      <c r="E255" t="s">
        <v>7</v>
      </c>
      <c r="F255" t="s">
        <v>11</v>
      </c>
      <c r="G255">
        <v>4158</v>
      </c>
    </row>
    <row r="256" spans="1:7" x14ac:dyDescent="0.25">
      <c r="A256">
        <v>1038</v>
      </c>
      <c r="B256">
        <v>50255</v>
      </c>
      <c r="C256" s="2">
        <v>44988.827275758573</v>
      </c>
      <c r="D256">
        <v>36</v>
      </c>
      <c r="E256" t="s">
        <v>8</v>
      </c>
      <c r="F256" t="s">
        <v>12</v>
      </c>
      <c r="G256">
        <v>280</v>
      </c>
    </row>
    <row r="257" spans="1:7" x14ac:dyDescent="0.25">
      <c r="A257">
        <v>1230</v>
      </c>
      <c r="B257">
        <v>50256</v>
      </c>
      <c r="C257" s="2">
        <v>44989.070690230074</v>
      </c>
      <c r="D257">
        <v>40</v>
      </c>
      <c r="E257" t="s">
        <v>7</v>
      </c>
      <c r="F257" t="s">
        <v>9</v>
      </c>
      <c r="G257">
        <v>2283</v>
      </c>
    </row>
    <row r="258" spans="1:7" x14ac:dyDescent="0.25">
      <c r="A258">
        <v>1365</v>
      </c>
      <c r="B258">
        <v>50257</v>
      </c>
      <c r="C258" s="2">
        <v>44989.31410470156</v>
      </c>
      <c r="D258">
        <v>55</v>
      </c>
      <c r="E258" t="s">
        <v>8</v>
      </c>
      <c r="F258" t="s">
        <v>9</v>
      </c>
      <c r="G258">
        <v>2888</v>
      </c>
    </row>
    <row r="259" spans="1:7" x14ac:dyDescent="0.25">
      <c r="A259">
        <v>1563</v>
      </c>
      <c r="B259">
        <v>50258</v>
      </c>
      <c r="C259" s="2">
        <v>44989.557519173053</v>
      </c>
      <c r="D259">
        <v>35</v>
      </c>
      <c r="E259" t="s">
        <v>7</v>
      </c>
      <c r="F259" t="s">
        <v>9</v>
      </c>
      <c r="G259">
        <v>1890</v>
      </c>
    </row>
    <row r="260" spans="1:7" x14ac:dyDescent="0.25">
      <c r="A260">
        <v>1438</v>
      </c>
      <c r="B260">
        <v>50259</v>
      </c>
      <c r="C260" s="2">
        <v>44989.800933644539</v>
      </c>
      <c r="D260">
        <v>43</v>
      </c>
      <c r="E260" t="s">
        <v>7</v>
      </c>
      <c r="F260" t="s">
        <v>10</v>
      </c>
      <c r="G260">
        <v>956</v>
      </c>
    </row>
    <row r="261" spans="1:7" x14ac:dyDescent="0.25">
      <c r="A261">
        <v>1283</v>
      </c>
      <c r="B261">
        <v>50260</v>
      </c>
      <c r="C261" s="2">
        <v>44990.044348116033</v>
      </c>
      <c r="D261">
        <v>23</v>
      </c>
      <c r="E261" t="s">
        <v>7</v>
      </c>
      <c r="F261" t="s">
        <v>10</v>
      </c>
      <c r="G261">
        <v>2870</v>
      </c>
    </row>
    <row r="262" spans="1:7" x14ac:dyDescent="0.25">
      <c r="A262">
        <v>1027</v>
      </c>
      <c r="B262">
        <v>50261</v>
      </c>
      <c r="C262" s="2">
        <v>44990.287762587534</v>
      </c>
      <c r="D262">
        <v>21</v>
      </c>
      <c r="E262" t="s">
        <v>8</v>
      </c>
      <c r="F262" t="s">
        <v>11</v>
      </c>
      <c r="G262">
        <v>3951</v>
      </c>
    </row>
    <row r="263" spans="1:7" x14ac:dyDescent="0.25">
      <c r="A263">
        <v>1226</v>
      </c>
      <c r="B263">
        <v>50262</v>
      </c>
      <c r="C263" s="2">
        <v>44990.53117705902</v>
      </c>
      <c r="D263">
        <v>61</v>
      </c>
      <c r="E263" t="s">
        <v>8</v>
      </c>
      <c r="F263" t="s">
        <v>12</v>
      </c>
      <c r="G263">
        <v>3752</v>
      </c>
    </row>
    <row r="264" spans="1:7" x14ac:dyDescent="0.25">
      <c r="A264">
        <v>1277</v>
      </c>
      <c r="B264">
        <v>50263</v>
      </c>
      <c r="C264" s="2">
        <v>44990.774591530513</v>
      </c>
      <c r="D264">
        <v>46</v>
      </c>
      <c r="E264" t="s">
        <v>8</v>
      </c>
      <c r="F264" t="s">
        <v>9</v>
      </c>
      <c r="G264">
        <v>667</v>
      </c>
    </row>
    <row r="265" spans="1:7" x14ac:dyDescent="0.25">
      <c r="A265">
        <v>1284</v>
      </c>
      <c r="B265">
        <v>50264</v>
      </c>
      <c r="C265" s="2">
        <v>44991.018006001992</v>
      </c>
      <c r="D265">
        <v>51</v>
      </c>
      <c r="E265" t="s">
        <v>7</v>
      </c>
      <c r="F265" t="s">
        <v>9</v>
      </c>
      <c r="G265">
        <v>1694</v>
      </c>
    </row>
    <row r="266" spans="1:7" x14ac:dyDescent="0.25">
      <c r="A266">
        <v>1481</v>
      </c>
      <c r="B266">
        <v>50265</v>
      </c>
      <c r="C266" s="2">
        <v>44991.261420473493</v>
      </c>
      <c r="D266">
        <v>34</v>
      </c>
      <c r="E266" t="s">
        <v>7</v>
      </c>
      <c r="F266" t="s">
        <v>9</v>
      </c>
      <c r="G266">
        <v>1219</v>
      </c>
    </row>
    <row r="267" spans="1:7" x14ac:dyDescent="0.25">
      <c r="A267">
        <v>1453</v>
      </c>
      <c r="B267">
        <v>50266</v>
      </c>
      <c r="C267" s="2">
        <v>44991.504834944979</v>
      </c>
      <c r="D267">
        <v>60</v>
      </c>
      <c r="E267" t="s">
        <v>7</v>
      </c>
      <c r="F267" t="s">
        <v>9</v>
      </c>
      <c r="G267">
        <v>1101</v>
      </c>
    </row>
    <row r="268" spans="1:7" x14ac:dyDescent="0.25">
      <c r="A268">
        <v>1516</v>
      </c>
      <c r="B268">
        <v>50267</v>
      </c>
      <c r="C268" s="2">
        <v>44991.748249416472</v>
      </c>
      <c r="D268">
        <v>60</v>
      </c>
      <c r="E268" t="s">
        <v>7</v>
      </c>
      <c r="F268" t="s">
        <v>10</v>
      </c>
      <c r="G268">
        <v>872</v>
      </c>
    </row>
    <row r="269" spans="1:7" x14ac:dyDescent="0.25">
      <c r="A269">
        <v>1547</v>
      </c>
      <c r="B269">
        <v>50268</v>
      </c>
      <c r="C269" s="2">
        <v>44991.991663887951</v>
      </c>
      <c r="D269">
        <v>33</v>
      </c>
      <c r="E269" t="s">
        <v>8</v>
      </c>
      <c r="F269" t="s">
        <v>12</v>
      </c>
      <c r="G269">
        <v>638</v>
      </c>
    </row>
    <row r="270" spans="1:7" x14ac:dyDescent="0.25">
      <c r="A270">
        <v>1192</v>
      </c>
      <c r="B270">
        <v>50269</v>
      </c>
      <c r="C270" s="2">
        <v>44992.235078359437</v>
      </c>
      <c r="D270">
        <v>19</v>
      </c>
      <c r="E270" t="s">
        <v>7</v>
      </c>
      <c r="F270" t="s">
        <v>12</v>
      </c>
      <c r="G270">
        <v>4422</v>
      </c>
    </row>
    <row r="271" spans="1:7" x14ac:dyDescent="0.25">
      <c r="A271">
        <v>1049</v>
      </c>
      <c r="B271">
        <v>50270</v>
      </c>
      <c r="C271" s="2">
        <v>44992.478492830938</v>
      </c>
      <c r="D271">
        <v>51</v>
      </c>
      <c r="E271" t="s">
        <v>8</v>
      </c>
      <c r="F271" t="s">
        <v>11</v>
      </c>
      <c r="G271">
        <v>2276</v>
      </c>
    </row>
    <row r="272" spans="1:7" x14ac:dyDescent="0.25">
      <c r="A272">
        <v>1512</v>
      </c>
      <c r="B272">
        <v>50271</v>
      </c>
      <c r="C272" s="2">
        <v>44992.721907302432</v>
      </c>
      <c r="D272">
        <v>25</v>
      </c>
      <c r="E272" t="s">
        <v>7</v>
      </c>
      <c r="F272" t="s">
        <v>10</v>
      </c>
      <c r="G272">
        <v>644</v>
      </c>
    </row>
    <row r="273" spans="1:7" x14ac:dyDescent="0.25">
      <c r="A273">
        <v>1017</v>
      </c>
      <c r="B273">
        <v>50272</v>
      </c>
      <c r="C273" s="2">
        <v>44992.965321773932</v>
      </c>
      <c r="D273">
        <v>30</v>
      </c>
      <c r="E273" t="s">
        <v>8</v>
      </c>
      <c r="F273" t="s">
        <v>9</v>
      </c>
      <c r="G273">
        <v>1165</v>
      </c>
    </row>
    <row r="274" spans="1:7" x14ac:dyDescent="0.25">
      <c r="A274">
        <v>1172</v>
      </c>
      <c r="B274">
        <v>50273</v>
      </c>
      <c r="C274" s="2">
        <v>44993.208736245397</v>
      </c>
      <c r="D274">
        <v>59</v>
      </c>
      <c r="E274" t="s">
        <v>8</v>
      </c>
      <c r="F274" t="s">
        <v>12</v>
      </c>
      <c r="G274">
        <v>3990</v>
      </c>
    </row>
    <row r="275" spans="1:7" x14ac:dyDescent="0.25">
      <c r="A275">
        <v>1220</v>
      </c>
      <c r="B275">
        <v>50274</v>
      </c>
      <c r="C275" s="2">
        <v>44993.452150716897</v>
      </c>
      <c r="D275">
        <v>25</v>
      </c>
      <c r="E275" t="s">
        <v>7</v>
      </c>
      <c r="F275" t="s">
        <v>12</v>
      </c>
      <c r="G275">
        <v>663</v>
      </c>
    </row>
    <row r="276" spans="1:7" x14ac:dyDescent="0.25">
      <c r="A276">
        <v>1158</v>
      </c>
      <c r="B276">
        <v>50275</v>
      </c>
      <c r="C276" s="2">
        <v>44993.695565188391</v>
      </c>
      <c r="D276">
        <v>47</v>
      </c>
      <c r="E276" t="s">
        <v>7</v>
      </c>
      <c r="F276" t="s">
        <v>10</v>
      </c>
      <c r="G276">
        <v>2398</v>
      </c>
    </row>
    <row r="277" spans="1:7" x14ac:dyDescent="0.25">
      <c r="A277">
        <v>1477</v>
      </c>
      <c r="B277">
        <v>50276</v>
      </c>
      <c r="C277" s="2">
        <v>44993.938979659877</v>
      </c>
      <c r="D277">
        <v>49</v>
      </c>
      <c r="E277" t="s">
        <v>8</v>
      </c>
      <c r="F277" t="s">
        <v>11</v>
      </c>
      <c r="G277">
        <v>2487</v>
      </c>
    </row>
    <row r="278" spans="1:7" x14ac:dyDescent="0.25">
      <c r="A278">
        <v>1046</v>
      </c>
      <c r="B278">
        <v>50277</v>
      </c>
      <c r="C278" s="2">
        <v>44994.182394131363</v>
      </c>
      <c r="D278">
        <v>53</v>
      </c>
      <c r="E278" t="s">
        <v>7</v>
      </c>
      <c r="F278" t="s">
        <v>11</v>
      </c>
      <c r="G278">
        <v>3965</v>
      </c>
    </row>
    <row r="279" spans="1:7" x14ac:dyDescent="0.25">
      <c r="A279">
        <v>1373</v>
      </c>
      <c r="B279">
        <v>50278</v>
      </c>
      <c r="C279" s="2">
        <v>44994.425808602857</v>
      </c>
      <c r="D279">
        <v>64</v>
      </c>
      <c r="E279" t="s">
        <v>7</v>
      </c>
      <c r="F279" t="s">
        <v>9</v>
      </c>
      <c r="G279">
        <v>3376</v>
      </c>
    </row>
    <row r="280" spans="1:7" x14ac:dyDescent="0.25">
      <c r="A280">
        <v>1518</v>
      </c>
      <c r="B280">
        <v>50279</v>
      </c>
      <c r="C280" s="2">
        <v>44994.66922307435</v>
      </c>
      <c r="D280">
        <v>47</v>
      </c>
      <c r="E280" t="s">
        <v>8</v>
      </c>
      <c r="F280" t="s">
        <v>11</v>
      </c>
      <c r="G280">
        <v>4208</v>
      </c>
    </row>
    <row r="281" spans="1:7" x14ac:dyDescent="0.25">
      <c r="A281">
        <v>1099</v>
      </c>
      <c r="B281">
        <v>50280</v>
      </c>
      <c r="C281" s="2">
        <v>44994.912637545844</v>
      </c>
      <c r="D281">
        <v>18</v>
      </c>
      <c r="E281" t="s">
        <v>8</v>
      </c>
      <c r="F281" t="s">
        <v>12</v>
      </c>
      <c r="G281">
        <v>3704</v>
      </c>
    </row>
    <row r="282" spans="1:7" x14ac:dyDescent="0.25">
      <c r="A282">
        <v>1037</v>
      </c>
      <c r="B282">
        <v>50281</v>
      </c>
      <c r="C282" s="2">
        <v>44995.156052017337</v>
      </c>
      <c r="D282">
        <v>60</v>
      </c>
      <c r="E282" t="s">
        <v>8</v>
      </c>
      <c r="F282" t="s">
        <v>11</v>
      </c>
      <c r="G282">
        <v>1112</v>
      </c>
    </row>
    <row r="283" spans="1:7" x14ac:dyDescent="0.25">
      <c r="A283">
        <v>1280</v>
      </c>
      <c r="B283">
        <v>50282</v>
      </c>
      <c r="C283" s="2">
        <v>44995.399466488823</v>
      </c>
      <c r="D283">
        <v>56</v>
      </c>
      <c r="E283" t="s">
        <v>8</v>
      </c>
      <c r="F283" t="s">
        <v>9</v>
      </c>
      <c r="G283">
        <v>696</v>
      </c>
    </row>
    <row r="284" spans="1:7" x14ac:dyDescent="0.25">
      <c r="A284">
        <v>1349</v>
      </c>
      <c r="B284">
        <v>50283</v>
      </c>
      <c r="C284" s="2">
        <v>44995.642880960309</v>
      </c>
      <c r="D284">
        <v>34</v>
      </c>
      <c r="E284" t="s">
        <v>7</v>
      </c>
      <c r="F284" t="s">
        <v>12</v>
      </c>
      <c r="G284">
        <v>1663</v>
      </c>
    </row>
    <row r="285" spans="1:7" x14ac:dyDescent="0.25">
      <c r="A285">
        <v>1497</v>
      </c>
      <c r="B285">
        <v>50284</v>
      </c>
      <c r="C285" s="2">
        <v>44995.886295431803</v>
      </c>
      <c r="D285">
        <v>37</v>
      </c>
      <c r="E285" t="s">
        <v>8</v>
      </c>
      <c r="F285" t="s">
        <v>11</v>
      </c>
      <c r="G285">
        <v>4453</v>
      </c>
    </row>
    <row r="286" spans="1:7" x14ac:dyDescent="0.25">
      <c r="A286">
        <v>1302</v>
      </c>
      <c r="B286">
        <v>50285</v>
      </c>
      <c r="C286" s="2">
        <v>44996.129709903304</v>
      </c>
      <c r="D286">
        <v>41</v>
      </c>
      <c r="E286" t="s">
        <v>8</v>
      </c>
      <c r="F286" t="s">
        <v>11</v>
      </c>
      <c r="G286">
        <v>4467</v>
      </c>
    </row>
    <row r="287" spans="1:7" x14ac:dyDescent="0.25">
      <c r="A287">
        <v>1181</v>
      </c>
      <c r="B287">
        <v>50286</v>
      </c>
      <c r="C287" s="2">
        <v>44996.373124374782</v>
      </c>
      <c r="D287">
        <v>39</v>
      </c>
      <c r="E287" t="s">
        <v>8</v>
      </c>
      <c r="F287" t="s">
        <v>10</v>
      </c>
      <c r="G287">
        <v>693</v>
      </c>
    </row>
    <row r="288" spans="1:7" x14ac:dyDescent="0.25">
      <c r="A288">
        <v>1099</v>
      </c>
      <c r="B288">
        <v>50287</v>
      </c>
      <c r="C288" s="2">
        <v>44996.616538846283</v>
      </c>
      <c r="D288">
        <v>46</v>
      </c>
      <c r="E288" t="s">
        <v>7</v>
      </c>
      <c r="F288" t="s">
        <v>9</v>
      </c>
      <c r="G288">
        <v>1626</v>
      </c>
    </row>
    <row r="289" spans="1:7" x14ac:dyDescent="0.25">
      <c r="A289">
        <v>1116</v>
      </c>
      <c r="B289">
        <v>50288</v>
      </c>
      <c r="C289" s="2">
        <v>44996.859953317769</v>
      </c>
      <c r="D289">
        <v>39</v>
      </c>
      <c r="E289" t="s">
        <v>8</v>
      </c>
      <c r="F289" t="s">
        <v>11</v>
      </c>
      <c r="G289">
        <v>1892</v>
      </c>
    </row>
    <row r="290" spans="1:7" x14ac:dyDescent="0.25">
      <c r="A290">
        <v>1191</v>
      </c>
      <c r="B290">
        <v>50289</v>
      </c>
      <c r="C290" s="2">
        <v>44997.103367789263</v>
      </c>
      <c r="D290">
        <v>61</v>
      </c>
      <c r="E290" t="s">
        <v>7</v>
      </c>
      <c r="F290" t="s">
        <v>10</v>
      </c>
      <c r="G290">
        <v>1993</v>
      </c>
    </row>
    <row r="291" spans="1:7" x14ac:dyDescent="0.25">
      <c r="A291">
        <v>1253</v>
      </c>
      <c r="B291">
        <v>50290</v>
      </c>
      <c r="C291" s="2">
        <v>44997.346782260749</v>
      </c>
      <c r="D291">
        <v>26</v>
      </c>
      <c r="E291" t="s">
        <v>8</v>
      </c>
      <c r="F291" t="s">
        <v>12</v>
      </c>
      <c r="G291">
        <v>2923</v>
      </c>
    </row>
    <row r="292" spans="1:7" x14ac:dyDescent="0.25">
      <c r="A292">
        <v>1161</v>
      </c>
      <c r="B292">
        <v>50291</v>
      </c>
      <c r="C292" s="2">
        <v>44997.590196732242</v>
      </c>
      <c r="D292">
        <v>54</v>
      </c>
      <c r="E292" t="s">
        <v>8</v>
      </c>
      <c r="F292" t="s">
        <v>10</v>
      </c>
      <c r="G292">
        <v>858</v>
      </c>
    </row>
    <row r="293" spans="1:7" x14ac:dyDescent="0.25">
      <c r="A293">
        <v>1256</v>
      </c>
      <c r="B293">
        <v>50292</v>
      </c>
      <c r="C293" s="2">
        <v>44997.833611203729</v>
      </c>
      <c r="D293">
        <v>27</v>
      </c>
      <c r="E293" t="s">
        <v>7</v>
      </c>
      <c r="F293" t="s">
        <v>10</v>
      </c>
      <c r="G293">
        <v>4961</v>
      </c>
    </row>
    <row r="294" spans="1:7" x14ac:dyDescent="0.25">
      <c r="A294">
        <v>1323</v>
      </c>
      <c r="B294">
        <v>50293</v>
      </c>
      <c r="C294" s="2">
        <v>44998.077025675222</v>
      </c>
      <c r="D294">
        <v>53</v>
      </c>
      <c r="E294" t="s">
        <v>8</v>
      </c>
      <c r="F294" t="s">
        <v>11</v>
      </c>
      <c r="G294">
        <v>4662</v>
      </c>
    </row>
    <row r="295" spans="1:7" x14ac:dyDescent="0.25">
      <c r="A295">
        <v>1128</v>
      </c>
      <c r="B295">
        <v>50294</v>
      </c>
      <c r="C295" s="2">
        <v>44998.320440146723</v>
      </c>
      <c r="D295">
        <v>54</v>
      </c>
      <c r="E295" t="s">
        <v>8</v>
      </c>
      <c r="F295" t="s">
        <v>11</v>
      </c>
      <c r="G295">
        <v>749</v>
      </c>
    </row>
    <row r="296" spans="1:7" x14ac:dyDescent="0.25">
      <c r="A296">
        <v>1018</v>
      </c>
      <c r="B296">
        <v>50295</v>
      </c>
      <c r="C296" s="2">
        <v>44998.563854618209</v>
      </c>
      <c r="D296">
        <v>45</v>
      </c>
      <c r="E296" t="s">
        <v>7</v>
      </c>
      <c r="F296" t="s">
        <v>11</v>
      </c>
      <c r="G296">
        <v>842</v>
      </c>
    </row>
    <row r="297" spans="1:7" x14ac:dyDescent="0.25">
      <c r="A297">
        <v>1566</v>
      </c>
      <c r="B297">
        <v>50296</v>
      </c>
      <c r="C297" s="2">
        <v>44998.807269089688</v>
      </c>
      <c r="D297">
        <v>45</v>
      </c>
      <c r="E297" t="s">
        <v>8</v>
      </c>
      <c r="F297" t="s">
        <v>10</v>
      </c>
      <c r="G297">
        <v>4550</v>
      </c>
    </row>
    <row r="298" spans="1:7" x14ac:dyDescent="0.25">
      <c r="A298">
        <v>1570</v>
      </c>
      <c r="B298">
        <v>50297</v>
      </c>
      <c r="C298" s="2">
        <v>44999.050683561181</v>
      </c>
      <c r="D298">
        <v>59</v>
      </c>
      <c r="E298" t="s">
        <v>8</v>
      </c>
      <c r="F298" t="s">
        <v>12</v>
      </c>
      <c r="G298">
        <v>407</v>
      </c>
    </row>
    <row r="299" spans="1:7" x14ac:dyDescent="0.25">
      <c r="A299">
        <v>1323</v>
      </c>
      <c r="B299">
        <v>50298</v>
      </c>
      <c r="C299" s="2">
        <v>44999.294098032668</v>
      </c>
      <c r="D299">
        <v>60</v>
      </c>
      <c r="E299" t="s">
        <v>8</v>
      </c>
      <c r="F299" t="s">
        <v>9</v>
      </c>
      <c r="G299">
        <v>2697</v>
      </c>
    </row>
    <row r="300" spans="1:7" x14ac:dyDescent="0.25">
      <c r="A300">
        <v>1288</v>
      </c>
      <c r="B300">
        <v>50299</v>
      </c>
      <c r="C300" s="2">
        <v>44999.537512504168</v>
      </c>
      <c r="D300">
        <v>38</v>
      </c>
      <c r="E300" t="s">
        <v>8</v>
      </c>
      <c r="F300" t="s">
        <v>10</v>
      </c>
      <c r="G300">
        <v>4390</v>
      </c>
    </row>
    <row r="301" spans="1:7" x14ac:dyDescent="0.25">
      <c r="A301">
        <v>1155</v>
      </c>
      <c r="B301">
        <v>50300</v>
      </c>
      <c r="C301" s="2">
        <v>44999.780926975647</v>
      </c>
      <c r="D301">
        <v>41</v>
      </c>
      <c r="E301" t="s">
        <v>7</v>
      </c>
      <c r="F301" t="s">
        <v>11</v>
      </c>
      <c r="G301">
        <v>2083</v>
      </c>
    </row>
    <row r="302" spans="1:7" x14ac:dyDescent="0.25">
      <c r="A302">
        <v>1490</v>
      </c>
      <c r="B302">
        <v>50301</v>
      </c>
      <c r="C302" s="2">
        <v>45000.024341447141</v>
      </c>
      <c r="D302">
        <v>59</v>
      </c>
      <c r="E302" t="s">
        <v>8</v>
      </c>
      <c r="F302" t="s">
        <v>9</v>
      </c>
      <c r="G302">
        <v>3086</v>
      </c>
    </row>
    <row r="303" spans="1:7" x14ac:dyDescent="0.25">
      <c r="A303">
        <v>1386</v>
      </c>
      <c r="B303">
        <v>50302</v>
      </c>
      <c r="C303" s="2">
        <v>45000.267755918627</v>
      </c>
      <c r="D303">
        <v>57</v>
      </c>
      <c r="E303" t="s">
        <v>7</v>
      </c>
      <c r="F303" t="s">
        <v>12</v>
      </c>
      <c r="G303">
        <v>677</v>
      </c>
    </row>
    <row r="304" spans="1:7" x14ac:dyDescent="0.25">
      <c r="A304">
        <v>1104</v>
      </c>
      <c r="B304">
        <v>50303</v>
      </c>
      <c r="C304" s="2">
        <v>45000.511170390128</v>
      </c>
      <c r="D304">
        <v>19</v>
      </c>
      <c r="E304" t="s">
        <v>8</v>
      </c>
      <c r="F304" t="s">
        <v>9</v>
      </c>
      <c r="G304">
        <v>961</v>
      </c>
    </row>
    <row r="305" spans="1:7" x14ac:dyDescent="0.25">
      <c r="A305">
        <v>1393</v>
      </c>
      <c r="B305">
        <v>50304</v>
      </c>
      <c r="C305" s="2">
        <v>45000.754584861621</v>
      </c>
      <c r="D305">
        <v>25</v>
      </c>
      <c r="E305" t="s">
        <v>7</v>
      </c>
      <c r="F305" t="s">
        <v>11</v>
      </c>
      <c r="G305">
        <v>389</v>
      </c>
    </row>
    <row r="306" spans="1:7" x14ac:dyDescent="0.25">
      <c r="A306">
        <v>1246</v>
      </c>
      <c r="B306">
        <v>50305</v>
      </c>
      <c r="C306" s="2">
        <v>45000.9979993331</v>
      </c>
      <c r="D306">
        <v>44</v>
      </c>
      <c r="E306" t="s">
        <v>8</v>
      </c>
      <c r="F306" t="s">
        <v>10</v>
      </c>
      <c r="G306">
        <v>955</v>
      </c>
    </row>
    <row r="307" spans="1:7" x14ac:dyDescent="0.25">
      <c r="A307">
        <v>1176</v>
      </c>
      <c r="B307">
        <v>50306</v>
      </c>
      <c r="C307" s="2">
        <v>45001.241413804593</v>
      </c>
      <c r="D307">
        <v>39</v>
      </c>
      <c r="E307" t="s">
        <v>7</v>
      </c>
      <c r="F307" t="s">
        <v>10</v>
      </c>
      <c r="G307">
        <v>1646</v>
      </c>
    </row>
    <row r="308" spans="1:7" x14ac:dyDescent="0.25">
      <c r="A308">
        <v>1039</v>
      </c>
      <c r="B308">
        <v>50307</v>
      </c>
      <c r="C308" s="2">
        <v>45001.484828276087</v>
      </c>
      <c r="D308">
        <v>54</v>
      </c>
      <c r="E308" t="s">
        <v>8</v>
      </c>
      <c r="F308" t="s">
        <v>11</v>
      </c>
      <c r="G308">
        <v>1863</v>
      </c>
    </row>
    <row r="309" spans="1:7" x14ac:dyDescent="0.25">
      <c r="A309">
        <v>1477</v>
      </c>
      <c r="B309">
        <v>50308</v>
      </c>
      <c r="C309" s="2">
        <v>45001.72824274758</v>
      </c>
      <c r="D309">
        <v>44</v>
      </c>
      <c r="E309" t="s">
        <v>7</v>
      </c>
      <c r="F309" t="s">
        <v>10</v>
      </c>
      <c r="G309">
        <v>2035</v>
      </c>
    </row>
    <row r="310" spans="1:7" x14ac:dyDescent="0.25">
      <c r="A310">
        <v>1538</v>
      </c>
      <c r="B310">
        <v>50309</v>
      </c>
      <c r="C310" s="2">
        <v>45001.971657219059</v>
      </c>
      <c r="D310">
        <v>46</v>
      </c>
      <c r="E310" t="s">
        <v>7</v>
      </c>
      <c r="F310" t="s">
        <v>11</v>
      </c>
      <c r="G310">
        <v>4428</v>
      </c>
    </row>
    <row r="311" spans="1:7" x14ac:dyDescent="0.25">
      <c r="A311">
        <v>1408</v>
      </c>
      <c r="B311">
        <v>50310</v>
      </c>
      <c r="C311" s="2">
        <v>45002.215071690553</v>
      </c>
      <c r="D311">
        <v>20</v>
      </c>
      <c r="E311" t="s">
        <v>8</v>
      </c>
      <c r="F311" t="s">
        <v>10</v>
      </c>
      <c r="G311">
        <v>4350</v>
      </c>
    </row>
    <row r="312" spans="1:7" x14ac:dyDescent="0.25">
      <c r="A312">
        <v>1525</v>
      </c>
      <c r="B312">
        <v>50311</v>
      </c>
      <c r="C312" s="2">
        <v>45002.458486162053</v>
      </c>
      <c r="D312">
        <v>61</v>
      </c>
      <c r="E312" t="s">
        <v>7</v>
      </c>
      <c r="F312" t="s">
        <v>10</v>
      </c>
      <c r="G312">
        <v>4260</v>
      </c>
    </row>
    <row r="313" spans="1:7" x14ac:dyDescent="0.25">
      <c r="A313">
        <v>1506</v>
      </c>
      <c r="B313">
        <v>50312</v>
      </c>
      <c r="C313" s="2">
        <v>45002.701900633539</v>
      </c>
      <c r="D313">
        <v>30</v>
      </c>
      <c r="E313" t="s">
        <v>8</v>
      </c>
      <c r="F313" t="s">
        <v>10</v>
      </c>
      <c r="G313">
        <v>4805</v>
      </c>
    </row>
    <row r="314" spans="1:7" x14ac:dyDescent="0.25">
      <c r="A314">
        <v>1036</v>
      </c>
      <c r="B314">
        <v>50313</v>
      </c>
      <c r="C314" s="2">
        <v>45002.945315105033</v>
      </c>
      <c r="D314">
        <v>62</v>
      </c>
      <c r="E314" t="s">
        <v>8</v>
      </c>
      <c r="F314" t="s">
        <v>12</v>
      </c>
      <c r="G314">
        <v>4965</v>
      </c>
    </row>
    <row r="315" spans="1:7" x14ac:dyDescent="0.25">
      <c r="A315">
        <v>1020</v>
      </c>
      <c r="B315">
        <v>50314</v>
      </c>
      <c r="C315" s="2">
        <v>45003.188729576519</v>
      </c>
      <c r="D315">
        <v>27</v>
      </c>
      <c r="E315" t="s">
        <v>8</v>
      </c>
      <c r="F315" t="s">
        <v>12</v>
      </c>
      <c r="G315">
        <v>3812</v>
      </c>
    </row>
    <row r="316" spans="1:7" x14ac:dyDescent="0.25">
      <c r="A316">
        <v>1321</v>
      </c>
      <c r="B316">
        <v>50315</v>
      </c>
      <c r="C316" s="2">
        <v>45003.432144048013</v>
      </c>
      <c r="D316">
        <v>53</v>
      </c>
      <c r="E316" t="s">
        <v>8</v>
      </c>
      <c r="F316" t="s">
        <v>11</v>
      </c>
      <c r="G316">
        <v>1889</v>
      </c>
    </row>
    <row r="317" spans="1:7" x14ac:dyDescent="0.25">
      <c r="A317">
        <v>1512</v>
      </c>
      <c r="B317">
        <v>50316</v>
      </c>
      <c r="C317" s="2">
        <v>45003.675558519499</v>
      </c>
      <c r="D317">
        <v>26</v>
      </c>
      <c r="E317" t="s">
        <v>8</v>
      </c>
      <c r="F317" t="s">
        <v>12</v>
      </c>
      <c r="G317">
        <v>1516</v>
      </c>
    </row>
    <row r="318" spans="1:7" x14ac:dyDescent="0.25">
      <c r="A318">
        <v>1400</v>
      </c>
      <c r="B318">
        <v>50317</v>
      </c>
      <c r="C318" s="2">
        <v>45003.918972990992</v>
      </c>
      <c r="D318">
        <v>44</v>
      </c>
      <c r="E318" t="s">
        <v>7</v>
      </c>
      <c r="F318" t="s">
        <v>11</v>
      </c>
      <c r="G318">
        <v>3386</v>
      </c>
    </row>
    <row r="319" spans="1:7" x14ac:dyDescent="0.25">
      <c r="A319">
        <v>1471</v>
      </c>
      <c r="B319">
        <v>50318</v>
      </c>
      <c r="C319" s="2">
        <v>45004.162387462478</v>
      </c>
      <c r="D319">
        <v>51</v>
      </c>
      <c r="E319" t="s">
        <v>8</v>
      </c>
      <c r="F319" t="s">
        <v>9</v>
      </c>
      <c r="G319">
        <v>4220</v>
      </c>
    </row>
    <row r="320" spans="1:7" x14ac:dyDescent="0.25">
      <c r="A320">
        <v>1143</v>
      </c>
      <c r="B320">
        <v>50319</v>
      </c>
      <c r="C320" s="2">
        <v>45004.405801933972</v>
      </c>
      <c r="D320">
        <v>18</v>
      </c>
      <c r="E320" t="s">
        <v>8</v>
      </c>
      <c r="F320" t="s">
        <v>9</v>
      </c>
      <c r="G320">
        <v>4554</v>
      </c>
    </row>
    <row r="321" spans="1:7" x14ac:dyDescent="0.25">
      <c r="A321">
        <v>1092</v>
      </c>
      <c r="B321">
        <v>50320</v>
      </c>
      <c r="C321" s="2">
        <v>45004.649216405473</v>
      </c>
      <c r="D321">
        <v>49</v>
      </c>
      <c r="E321" t="s">
        <v>8</v>
      </c>
      <c r="F321" t="s">
        <v>12</v>
      </c>
      <c r="G321">
        <v>1345</v>
      </c>
    </row>
    <row r="322" spans="1:7" x14ac:dyDescent="0.25">
      <c r="A322">
        <v>1354</v>
      </c>
      <c r="B322">
        <v>50321</v>
      </c>
      <c r="C322" s="2">
        <v>45004.892630876959</v>
      </c>
      <c r="D322">
        <v>42</v>
      </c>
      <c r="E322" t="s">
        <v>8</v>
      </c>
      <c r="F322" t="s">
        <v>9</v>
      </c>
      <c r="G322">
        <v>4594</v>
      </c>
    </row>
    <row r="323" spans="1:7" x14ac:dyDescent="0.25">
      <c r="A323">
        <v>1051</v>
      </c>
      <c r="B323">
        <v>50322</v>
      </c>
      <c r="C323" s="2">
        <v>45005.136045348452</v>
      </c>
      <c r="D323">
        <v>46</v>
      </c>
      <c r="E323" t="s">
        <v>8</v>
      </c>
      <c r="F323" t="s">
        <v>9</v>
      </c>
      <c r="G323">
        <v>760</v>
      </c>
    </row>
    <row r="324" spans="1:7" x14ac:dyDescent="0.25">
      <c r="A324">
        <v>1575</v>
      </c>
      <c r="B324">
        <v>50323</v>
      </c>
      <c r="C324" s="2">
        <v>45005.379459819931</v>
      </c>
      <c r="D324">
        <v>24</v>
      </c>
      <c r="E324" t="s">
        <v>8</v>
      </c>
      <c r="F324" t="s">
        <v>10</v>
      </c>
      <c r="G324">
        <v>2112</v>
      </c>
    </row>
    <row r="325" spans="1:7" x14ac:dyDescent="0.25">
      <c r="A325">
        <v>1190</v>
      </c>
      <c r="B325">
        <v>50324</v>
      </c>
      <c r="C325" s="2">
        <v>45005.622874291417</v>
      </c>
      <c r="D325">
        <v>20</v>
      </c>
      <c r="E325" t="s">
        <v>7</v>
      </c>
      <c r="F325" t="s">
        <v>10</v>
      </c>
      <c r="G325">
        <v>2064</v>
      </c>
    </row>
    <row r="326" spans="1:7" x14ac:dyDescent="0.25">
      <c r="A326">
        <v>1125</v>
      </c>
      <c r="B326">
        <v>50325</v>
      </c>
      <c r="C326" s="2">
        <v>45005.866288762918</v>
      </c>
      <c r="D326">
        <v>37</v>
      </c>
      <c r="E326" t="s">
        <v>7</v>
      </c>
      <c r="F326" t="s">
        <v>11</v>
      </c>
      <c r="G326">
        <v>496</v>
      </c>
    </row>
    <row r="327" spans="1:7" x14ac:dyDescent="0.25">
      <c r="A327">
        <v>1150</v>
      </c>
      <c r="B327">
        <v>50326</v>
      </c>
      <c r="C327" s="2">
        <v>45006.109703234411</v>
      </c>
      <c r="D327">
        <v>37</v>
      </c>
      <c r="E327" t="s">
        <v>8</v>
      </c>
      <c r="F327" t="s">
        <v>9</v>
      </c>
      <c r="G327">
        <v>2609</v>
      </c>
    </row>
    <row r="328" spans="1:7" x14ac:dyDescent="0.25">
      <c r="A328">
        <v>1314</v>
      </c>
      <c r="B328">
        <v>50327</v>
      </c>
      <c r="C328" s="2">
        <v>45006.35311770589</v>
      </c>
      <c r="D328">
        <v>47</v>
      </c>
      <c r="E328" t="s">
        <v>7</v>
      </c>
      <c r="F328" t="s">
        <v>11</v>
      </c>
      <c r="G328">
        <v>2836</v>
      </c>
    </row>
    <row r="329" spans="1:7" x14ac:dyDescent="0.25">
      <c r="A329">
        <v>1570</v>
      </c>
      <c r="B329">
        <v>50328</v>
      </c>
      <c r="C329" s="2">
        <v>45006.596532177377</v>
      </c>
      <c r="D329">
        <v>52</v>
      </c>
      <c r="E329" t="s">
        <v>8</v>
      </c>
      <c r="F329" t="s">
        <v>11</v>
      </c>
      <c r="G329">
        <v>1661</v>
      </c>
    </row>
    <row r="330" spans="1:7" x14ac:dyDescent="0.25">
      <c r="A330">
        <v>1342</v>
      </c>
      <c r="B330">
        <v>50329</v>
      </c>
      <c r="C330" s="2">
        <v>45006.839946648877</v>
      </c>
      <c r="D330">
        <v>52</v>
      </c>
      <c r="E330" t="s">
        <v>8</v>
      </c>
      <c r="F330" t="s">
        <v>9</v>
      </c>
      <c r="G330">
        <v>4492</v>
      </c>
    </row>
    <row r="331" spans="1:7" x14ac:dyDescent="0.25">
      <c r="A331">
        <v>1305</v>
      </c>
      <c r="B331">
        <v>50330</v>
      </c>
      <c r="C331" s="2">
        <v>45007.083361120371</v>
      </c>
      <c r="D331">
        <v>56</v>
      </c>
      <c r="E331" t="s">
        <v>8</v>
      </c>
      <c r="F331" t="s">
        <v>12</v>
      </c>
      <c r="G331">
        <v>2468</v>
      </c>
    </row>
    <row r="332" spans="1:7" x14ac:dyDescent="0.25">
      <c r="A332">
        <v>1054</v>
      </c>
      <c r="B332">
        <v>50331</v>
      </c>
      <c r="C332" s="2">
        <v>45007.326775591857</v>
      </c>
      <c r="D332">
        <v>44</v>
      </c>
      <c r="E332" t="s">
        <v>8</v>
      </c>
      <c r="F332" t="s">
        <v>9</v>
      </c>
      <c r="G332">
        <v>1194</v>
      </c>
    </row>
    <row r="333" spans="1:7" x14ac:dyDescent="0.25">
      <c r="A333">
        <v>1444</v>
      </c>
      <c r="B333">
        <v>50332</v>
      </c>
      <c r="C333" s="2">
        <v>45007.570190063343</v>
      </c>
      <c r="D333">
        <v>43</v>
      </c>
      <c r="E333" t="s">
        <v>8</v>
      </c>
      <c r="F333" t="s">
        <v>10</v>
      </c>
      <c r="G333">
        <v>207</v>
      </c>
    </row>
    <row r="334" spans="1:7" x14ac:dyDescent="0.25">
      <c r="A334">
        <v>1264</v>
      </c>
      <c r="B334">
        <v>50333</v>
      </c>
      <c r="C334" s="2">
        <v>45007.813604534836</v>
      </c>
      <c r="D334">
        <v>31</v>
      </c>
      <c r="E334" t="s">
        <v>7</v>
      </c>
      <c r="F334" t="s">
        <v>9</v>
      </c>
      <c r="G334">
        <v>2791</v>
      </c>
    </row>
    <row r="335" spans="1:7" x14ac:dyDescent="0.25">
      <c r="A335">
        <v>1053</v>
      </c>
      <c r="B335">
        <v>50334</v>
      </c>
      <c r="C335" s="2">
        <v>45008.05701900633</v>
      </c>
      <c r="D335">
        <v>34</v>
      </c>
      <c r="E335" t="s">
        <v>7</v>
      </c>
      <c r="F335" t="s">
        <v>12</v>
      </c>
      <c r="G335">
        <v>2715</v>
      </c>
    </row>
    <row r="336" spans="1:7" x14ac:dyDescent="0.25">
      <c r="A336">
        <v>1572</v>
      </c>
      <c r="B336">
        <v>50335</v>
      </c>
      <c r="C336" s="2">
        <v>45008.300433477823</v>
      </c>
      <c r="D336">
        <v>35</v>
      </c>
      <c r="E336" t="s">
        <v>7</v>
      </c>
      <c r="F336" t="s">
        <v>11</v>
      </c>
      <c r="G336">
        <v>4615</v>
      </c>
    </row>
    <row r="337" spans="1:7" x14ac:dyDescent="0.25">
      <c r="A337">
        <v>1005</v>
      </c>
      <c r="B337">
        <v>50336</v>
      </c>
      <c r="C337" s="2">
        <v>45008.543847949302</v>
      </c>
      <c r="D337">
        <v>62</v>
      </c>
      <c r="E337" t="s">
        <v>7</v>
      </c>
      <c r="F337" t="s">
        <v>11</v>
      </c>
      <c r="G337">
        <v>1617</v>
      </c>
    </row>
    <row r="338" spans="1:7" x14ac:dyDescent="0.25">
      <c r="A338">
        <v>1103</v>
      </c>
      <c r="B338">
        <v>50337</v>
      </c>
      <c r="C338" s="2">
        <v>45008.787262420803</v>
      </c>
      <c r="D338">
        <v>46</v>
      </c>
      <c r="E338" t="s">
        <v>8</v>
      </c>
      <c r="F338" t="s">
        <v>10</v>
      </c>
      <c r="G338">
        <v>2516</v>
      </c>
    </row>
    <row r="339" spans="1:7" x14ac:dyDescent="0.25">
      <c r="A339">
        <v>1196</v>
      </c>
      <c r="B339">
        <v>50338</v>
      </c>
      <c r="C339" s="2">
        <v>45009.030676892289</v>
      </c>
      <c r="D339">
        <v>37</v>
      </c>
      <c r="E339" t="s">
        <v>7</v>
      </c>
      <c r="F339" t="s">
        <v>10</v>
      </c>
      <c r="G339">
        <v>4132</v>
      </c>
    </row>
    <row r="340" spans="1:7" x14ac:dyDescent="0.25">
      <c r="A340">
        <v>1350</v>
      </c>
      <c r="B340">
        <v>50339</v>
      </c>
      <c r="C340" s="2">
        <v>45009.274091363783</v>
      </c>
      <c r="D340">
        <v>44</v>
      </c>
      <c r="E340" t="s">
        <v>8</v>
      </c>
      <c r="F340" t="s">
        <v>10</v>
      </c>
      <c r="G340">
        <v>1487</v>
      </c>
    </row>
    <row r="341" spans="1:7" x14ac:dyDescent="0.25">
      <c r="A341">
        <v>1047</v>
      </c>
      <c r="B341">
        <v>50340</v>
      </c>
      <c r="C341" s="2">
        <v>45009.517505835283</v>
      </c>
      <c r="D341">
        <v>35</v>
      </c>
      <c r="E341" t="s">
        <v>7</v>
      </c>
      <c r="F341" t="s">
        <v>11</v>
      </c>
      <c r="G341">
        <v>3044</v>
      </c>
    </row>
    <row r="342" spans="1:7" x14ac:dyDescent="0.25">
      <c r="A342">
        <v>1269</v>
      </c>
      <c r="B342">
        <v>50341</v>
      </c>
      <c r="C342" s="2">
        <v>45009.760920306762</v>
      </c>
      <c r="D342">
        <v>21</v>
      </c>
      <c r="E342" t="s">
        <v>7</v>
      </c>
      <c r="F342" t="s">
        <v>10</v>
      </c>
      <c r="G342">
        <v>1318</v>
      </c>
    </row>
    <row r="343" spans="1:7" x14ac:dyDescent="0.25">
      <c r="A343">
        <v>1370</v>
      </c>
      <c r="B343">
        <v>50342</v>
      </c>
      <c r="C343" s="2">
        <v>45010.004334778263</v>
      </c>
      <c r="D343">
        <v>18</v>
      </c>
      <c r="E343" t="s">
        <v>7</v>
      </c>
      <c r="F343" t="s">
        <v>9</v>
      </c>
      <c r="G343">
        <v>752</v>
      </c>
    </row>
    <row r="344" spans="1:7" x14ac:dyDescent="0.25">
      <c r="A344">
        <v>1106</v>
      </c>
      <c r="B344">
        <v>50343</v>
      </c>
      <c r="C344" s="2">
        <v>45010.247749249742</v>
      </c>
      <c r="D344">
        <v>18</v>
      </c>
      <c r="E344" t="s">
        <v>7</v>
      </c>
      <c r="F344" t="s">
        <v>11</v>
      </c>
      <c r="G344">
        <v>860</v>
      </c>
    </row>
    <row r="345" spans="1:7" x14ac:dyDescent="0.25">
      <c r="A345">
        <v>1120</v>
      </c>
      <c r="B345">
        <v>50344</v>
      </c>
      <c r="C345" s="2">
        <v>45010.491163721243</v>
      </c>
      <c r="D345">
        <v>43</v>
      </c>
      <c r="E345" t="s">
        <v>8</v>
      </c>
      <c r="F345" t="s">
        <v>12</v>
      </c>
      <c r="G345">
        <v>915</v>
      </c>
    </row>
    <row r="346" spans="1:7" x14ac:dyDescent="0.25">
      <c r="A346">
        <v>1058</v>
      </c>
      <c r="B346">
        <v>50345</v>
      </c>
      <c r="C346" s="2">
        <v>45010.734578192722</v>
      </c>
      <c r="D346">
        <v>62</v>
      </c>
      <c r="E346" t="s">
        <v>7</v>
      </c>
      <c r="F346" t="s">
        <v>11</v>
      </c>
      <c r="G346">
        <v>3785</v>
      </c>
    </row>
    <row r="347" spans="1:7" x14ac:dyDescent="0.25">
      <c r="A347">
        <v>1346</v>
      </c>
      <c r="B347">
        <v>50346</v>
      </c>
      <c r="C347" s="2">
        <v>45010.977992664208</v>
      </c>
      <c r="D347">
        <v>37</v>
      </c>
      <c r="E347" t="s">
        <v>7</v>
      </c>
      <c r="F347" t="s">
        <v>9</v>
      </c>
      <c r="G347">
        <v>3961</v>
      </c>
    </row>
    <row r="348" spans="1:7" x14ac:dyDescent="0.25">
      <c r="A348">
        <v>1474</v>
      </c>
      <c r="B348">
        <v>50347</v>
      </c>
      <c r="C348" s="2">
        <v>45011.221407135708</v>
      </c>
      <c r="D348">
        <v>40</v>
      </c>
      <c r="E348" t="s">
        <v>8</v>
      </c>
      <c r="F348" t="s">
        <v>9</v>
      </c>
      <c r="G348">
        <v>2729</v>
      </c>
    </row>
    <row r="349" spans="1:7" x14ac:dyDescent="0.25">
      <c r="A349">
        <v>1117</v>
      </c>
      <c r="B349">
        <v>50348</v>
      </c>
      <c r="C349" s="2">
        <v>45011.464821607202</v>
      </c>
      <c r="D349">
        <v>27</v>
      </c>
      <c r="E349" t="s">
        <v>8</v>
      </c>
      <c r="F349" t="s">
        <v>10</v>
      </c>
      <c r="G349">
        <v>4170</v>
      </c>
    </row>
    <row r="350" spans="1:7" x14ac:dyDescent="0.25">
      <c r="A350">
        <v>1127</v>
      </c>
      <c r="B350">
        <v>50349</v>
      </c>
      <c r="C350" s="2">
        <v>45011.708236078703</v>
      </c>
      <c r="D350">
        <v>28</v>
      </c>
      <c r="E350" t="s">
        <v>7</v>
      </c>
      <c r="F350" t="s">
        <v>11</v>
      </c>
      <c r="G350">
        <v>3607</v>
      </c>
    </row>
    <row r="351" spans="1:7" x14ac:dyDescent="0.25">
      <c r="A351">
        <v>1393</v>
      </c>
      <c r="B351">
        <v>50350</v>
      </c>
      <c r="C351" s="2">
        <v>45011.951650550167</v>
      </c>
      <c r="D351">
        <v>58</v>
      </c>
      <c r="E351" t="s">
        <v>8</v>
      </c>
      <c r="F351" t="s">
        <v>11</v>
      </c>
      <c r="G351">
        <v>1658</v>
      </c>
    </row>
    <row r="352" spans="1:7" x14ac:dyDescent="0.25">
      <c r="A352">
        <v>1058</v>
      </c>
      <c r="B352">
        <v>50351</v>
      </c>
      <c r="C352" s="2">
        <v>45012.195065021668</v>
      </c>
      <c r="D352">
        <v>58</v>
      </c>
      <c r="E352" t="s">
        <v>8</v>
      </c>
      <c r="F352" t="s">
        <v>11</v>
      </c>
      <c r="G352">
        <v>3467</v>
      </c>
    </row>
    <row r="353" spans="1:7" x14ac:dyDescent="0.25">
      <c r="A353">
        <v>1513</v>
      </c>
      <c r="B353">
        <v>50352</v>
      </c>
      <c r="C353" s="2">
        <v>45012.438479493161</v>
      </c>
      <c r="D353">
        <v>22</v>
      </c>
      <c r="E353" t="s">
        <v>8</v>
      </c>
      <c r="F353" t="s">
        <v>12</v>
      </c>
      <c r="G353">
        <v>1054</v>
      </c>
    </row>
    <row r="354" spans="1:7" x14ac:dyDescent="0.25">
      <c r="A354">
        <v>1096</v>
      </c>
      <c r="B354">
        <v>50353</v>
      </c>
      <c r="C354" s="2">
        <v>45012.681893964647</v>
      </c>
      <c r="D354">
        <v>18</v>
      </c>
      <c r="E354" t="s">
        <v>7</v>
      </c>
      <c r="F354" t="s">
        <v>10</v>
      </c>
      <c r="G354">
        <v>4960</v>
      </c>
    </row>
    <row r="355" spans="1:7" x14ac:dyDescent="0.25">
      <c r="A355">
        <v>1118</v>
      </c>
      <c r="B355">
        <v>50354</v>
      </c>
      <c r="C355" s="2">
        <v>45012.925308436133</v>
      </c>
      <c r="D355">
        <v>34</v>
      </c>
      <c r="E355" t="s">
        <v>8</v>
      </c>
      <c r="F355" t="s">
        <v>9</v>
      </c>
      <c r="G355">
        <v>3737</v>
      </c>
    </row>
    <row r="356" spans="1:7" x14ac:dyDescent="0.25">
      <c r="A356">
        <v>1560</v>
      </c>
      <c r="B356">
        <v>50355</v>
      </c>
      <c r="C356" s="2">
        <v>45013.168722907627</v>
      </c>
      <c r="D356">
        <v>39</v>
      </c>
      <c r="E356" t="s">
        <v>7</v>
      </c>
      <c r="F356" t="s">
        <v>9</v>
      </c>
      <c r="G356">
        <v>2097</v>
      </c>
    </row>
    <row r="357" spans="1:7" x14ac:dyDescent="0.25">
      <c r="A357">
        <v>1488</v>
      </c>
      <c r="B357">
        <v>50356</v>
      </c>
      <c r="C357" s="2">
        <v>45013.41213737912</v>
      </c>
      <c r="D357">
        <v>51</v>
      </c>
      <c r="E357" t="s">
        <v>7</v>
      </c>
      <c r="F357" t="s">
        <v>10</v>
      </c>
      <c r="G357">
        <v>472</v>
      </c>
    </row>
    <row r="358" spans="1:7" x14ac:dyDescent="0.25">
      <c r="A358">
        <v>1237</v>
      </c>
      <c r="B358">
        <v>50357</v>
      </c>
      <c r="C358" s="2">
        <v>45013.655551850607</v>
      </c>
      <c r="D358">
        <v>62</v>
      </c>
      <c r="E358" t="s">
        <v>7</v>
      </c>
      <c r="F358" t="s">
        <v>9</v>
      </c>
      <c r="G358">
        <v>4287</v>
      </c>
    </row>
    <row r="359" spans="1:7" x14ac:dyDescent="0.25">
      <c r="A359">
        <v>1272</v>
      </c>
      <c r="B359">
        <v>50358</v>
      </c>
      <c r="C359" s="2">
        <v>45013.898966322107</v>
      </c>
      <c r="D359">
        <v>58</v>
      </c>
      <c r="E359" t="s">
        <v>7</v>
      </c>
      <c r="F359" t="s">
        <v>9</v>
      </c>
      <c r="G359">
        <v>1472</v>
      </c>
    </row>
    <row r="360" spans="1:7" x14ac:dyDescent="0.25">
      <c r="A360">
        <v>1189</v>
      </c>
      <c r="B360">
        <v>50359</v>
      </c>
      <c r="C360" s="2">
        <v>45014.142380793593</v>
      </c>
      <c r="D360">
        <v>46</v>
      </c>
      <c r="E360" t="s">
        <v>8</v>
      </c>
      <c r="F360" t="s">
        <v>10</v>
      </c>
      <c r="G360">
        <v>4574</v>
      </c>
    </row>
    <row r="361" spans="1:7" x14ac:dyDescent="0.25">
      <c r="A361">
        <v>1447</v>
      </c>
      <c r="B361">
        <v>50360</v>
      </c>
      <c r="C361" s="2">
        <v>45014.38579526508</v>
      </c>
      <c r="D361">
        <v>21</v>
      </c>
      <c r="E361" t="s">
        <v>7</v>
      </c>
      <c r="F361" t="s">
        <v>9</v>
      </c>
      <c r="G361">
        <v>4219</v>
      </c>
    </row>
    <row r="362" spans="1:7" x14ac:dyDescent="0.25">
      <c r="A362">
        <v>1581</v>
      </c>
      <c r="B362">
        <v>50361</v>
      </c>
      <c r="C362" s="2">
        <v>45014.629209736573</v>
      </c>
      <c r="D362">
        <v>22</v>
      </c>
      <c r="E362" t="s">
        <v>8</v>
      </c>
      <c r="F362" t="s">
        <v>11</v>
      </c>
      <c r="G362">
        <v>1015</v>
      </c>
    </row>
    <row r="363" spans="1:7" x14ac:dyDescent="0.25">
      <c r="A363">
        <v>1247</v>
      </c>
      <c r="B363">
        <v>50362</v>
      </c>
      <c r="C363" s="2">
        <v>45014.872624208067</v>
      </c>
      <c r="D363">
        <v>28</v>
      </c>
      <c r="E363" t="s">
        <v>7</v>
      </c>
      <c r="F363" t="s">
        <v>12</v>
      </c>
      <c r="G363">
        <v>4571</v>
      </c>
    </row>
    <row r="364" spans="1:7" x14ac:dyDescent="0.25">
      <c r="A364">
        <v>1076</v>
      </c>
      <c r="B364">
        <v>50363</v>
      </c>
      <c r="C364" s="2">
        <v>45015.116038679553</v>
      </c>
      <c r="D364">
        <v>38</v>
      </c>
      <c r="E364" t="s">
        <v>8</v>
      </c>
      <c r="F364" t="s">
        <v>10</v>
      </c>
      <c r="G364">
        <v>1122</v>
      </c>
    </row>
    <row r="365" spans="1:7" x14ac:dyDescent="0.25">
      <c r="A365">
        <v>1154</v>
      </c>
      <c r="B365">
        <v>50364</v>
      </c>
      <c r="C365" s="2">
        <v>45015.359453151039</v>
      </c>
      <c r="D365">
        <v>52</v>
      </c>
      <c r="E365" t="s">
        <v>7</v>
      </c>
      <c r="F365" t="s">
        <v>12</v>
      </c>
      <c r="G365">
        <v>4937</v>
      </c>
    </row>
    <row r="366" spans="1:7" x14ac:dyDescent="0.25">
      <c r="A366">
        <v>1435</v>
      </c>
      <c r="B366">
        <v>50365</v>
      </c>
      <c r="C366" s="2">
        <v>45015.602867622532</v>
      </c>
      <c r="D366">
        <v>29</v>
      </c>
      <c r="E366" t="s">
        <v>8</v>
      </c>
      <c r="F366" t="s">
        <v>9</v>
      </c>
      <c r="G366">
        <v>4800</v>
      </c>
    </row>
    <row r="367" spans="1:7" x14ac:dyDescent="0.25">
      <c r="A367">
        <v>1086</v>
      </c>
      <c r="B367">
        <v>50366</v>
      </c>
      <c r="C367" s="2">
        <v>45015.846282094033</v>
      </c>
      <c r="D367">
        <v>43</v>
      </c>
      <c r="E367" t="s">
        <v>7</v>
      </c>
      <c r="F367" t="s">
        <v>9</v>
      </c>
      <c r="G367">
        <v>1464</v>
      </c>
    </row>
    <row r="368" spans="1:7" x14ac:dyDescent="0.25">
      <c r="A368">
        <v>1285</v>
      </c>
      <c r="B368">
        <v>50367</v>
      </c>
      <c r="C368" s="2">
        <v>45016.089696565519</v>
      </c>
      <c r="D368">
        <v>36</v>
      </c>
      <c r="E368" t="s">
        <v>7</v>
      </c>
      <c r="F368" t="s">
        <v>11</v>
      </c>
      <c r="G368">
        <v>3924</v>
      </c>
    </row>
    <row r="369" spans="1:7" x14ac:dyDescent="0.25">
      <c r="A369">
        <v>1220</v>
      </c>
      <c r="B369">
        <v>50368</v>
      </c>
      <c r="C369" s="2">
        <v>45016.333111037013</v>
      </c>
      <c r="D369">
        <v>62</v>
      </c>
      <c r="E369" t="s">
        <v>8</v>
      </c>
      <c r="F369" t="s">
        <v>10</v>
      </c>
      <c r="G369">
        <v>2987</v>
      </c>
    </row>
    <row r="370" spans="1:7" x14ac:dyDescent="0.25">
      <c r="A370">
        <v>1069</v>
      </c>
      <c r="B370">
        <v>50369</v>
      </c>
      <c r="C370" s="2">
        <v>45016.576525508499</v>
      </c>
      <c r="D370">
        <v>24</v>
      </c>
      <c r="E370" t="s">
        <v>7</v>
      </c>
      <c r="F370" t="s">
        <v>9</v>
      </c>
      <c r="G370">
        <v>2922</v>
      </c>
    </row>
    <row r="371" spans="1:7" x14ac:dyDescent="0.25">
      <c r="A371">
        <v>1047</v>
      </c>
      <c r="B371">
        <v>50370</v>
      </c>
      <c r="C371" s="2">
        <v>45016.819939979992</v>
      </c>
      <c r="D371">
        <v>64</v>
      </c>
      <c r="E371" t="s">
        <v>7</v>
      </c>
      <c r="F371" t="s">
        <v>10</v>
      </c>
      <c r="G371">
        <v>4423</v>
      </c>
    </row>
    <row r="372" spans="1:7" x14ac:dyDescent="0.25">
      <c r="A372">
        <v>1094</v>
      </c>
      <c r="B372">
        <v>50371</v>
      </c>
      <c r="C372" s="2">
        <v>45017.063354451479</v>
      </c>
      <c r="D372">
        <v>24</v>
      </c>
      <c r="E372" t="s">
        <v>7</v>
      </c>
      <c r="F372" t="s">
        <v>10</v>
      </c>
      <c r="G372">
        <v>2750</v>
      </c>
    </row>
    <row r="373" spans="1:7" x14ac:dyDescent="0.25">
      <c r="A373">
        <v>1453</v>
      </c>
      <c r="B373">
        <v>50372</v>
      </c>
      <c r="C373" s="2">
        <v>45017.306768922957</v>
      </c>
      <c r="D373">
        <v>43</v>
      </c>
      <c r="E373" t="s">
        <v>8</v>
      </c>
      <c r="F373" t="s">
        <v>10</v>
      </c>
      <c r="G373">
        <v>3149</v>
      </c>
    </row>
    <row r="374" spans="1:7" x14ac:dyDescent="0.25">
      <c r="A374">
        <v>1204</v>
      </c>
      <c r="B374">
        <v>50373</v>
      </c>
      <c r="C374" s="2">
        <v>45017.550183394458</v>
      </c>
      <c r="D374">
        <v>57</v>
      </c>
      <c r="E374" t="s">
        <v>7</v>
      </c>
      <c r="F374" t="s">
        <v>10</v>
      </c>
      <c r="G374">
        <v>1873</v>
      </c>
    </row>
    <row r="375" spans="1:7" x14ac:dyDescent="0.25">
      <c r="A375">
        <v>1218</v>
      </c>
      <c r="B375">
        <v>50374</v>
      </c>
      <c r="C375" s="2">
        <v>45017.793597865952</v>
      </c>
      <c r="D375">
        <v>22</v>
      </c>
      <c r="E375" t="s">
        <v>7</v>
      </c>
      <c r="F375" t="s">
        <v>10</v>
      </c>
      <c r="G375">
        <v>4787</v>
      </c>
    </row>
    <row r="376" spans="1:7" x14ac:dyDescent="0.25">
      <c r="A376">
        <v>1474</v>
      </c>
      <c r="B376">
        <v>50375</v>
      </c>
      <c r="C376" s="2">
        <v>45018.037012337452</v>
      </c>
      <c r="D376">
        <v>38</v>
      </c>
      <c r="E376" t="s">
        <v>8</v>
      </c>
      <c r="F376" t="s">
        <v>12</v>
      </c>
      <c r="G376">
        <v>3292</v>
      </c>
    </row>
    <row r="377" spans="1:7" x14ac:dyDescent="0.25">
      <c r="A377">
        <v>1432</v>
      </c>
      <c r="B377">
        <v>50376</v>
      </c>
      <c r="C377" s="2">
        <v>45018.280426808939</v>
      </c>
      <c r="D377">
        <v>31</v>
      </c>
      <c r="E377" t="s">
        <v>8</v>
      </c>
      <c r="F377" t="s">
        <v>11</v>
      </c>
      <c r="G377">
        <v>3038</v>
      </c>
    </row>
    <row r="378" spans="1:7" x14ac:dyDescent="0.25">
      <c r="A378">
        <v>1341</v>
      </c>
      <c r="B378">
        <v>50377</v>
      </c>
      <c r="C378" s="2">
        <v>45018.523841280417</v>
      </c>
      <c r="D378">
        <v>21</v>
      </c>
      <c r="E378" t="s">
        <v>8</v>
      </c>
      <c r="F378" t="s">
        <v>10</v>
      </c>
      <c r="G378">
        <v>1866</v>
      </c>
    </row>
    <row r="379" spans="1:7" x14ac:dyDescent="0.25">
      <c r="A379">
        <v>1551</v>
      </c>
      <c r="B379">
        <v>50378</v>
      </c>
      <c r="C379" s="2">
        <v>45018.767255751911</v>
      </c>
      <c r="D379">
        <v>40</v>
      </c>
      <c r="E379" t="s">
        <v>8</v>
      </c>
      <c r="F379" t="s">
        <v>12</v>
      </c>
      <c r="G379">
        <v>4711</v>
      </c>
    </row>
    <row r="380" spans="1:7" x14ac:dyDescent="0.25">
      <c r="A380">
        <v>1289</v>
      </c>
      <c r="B380">
        <v>50379</v>
      </c>
      <c r="C380" s="2">
        <v>45019.010670223397</v>
      </c>
      <c r="D380">
        <v>59</v>
      </c>
      <c r="E380" t="s">
        <v>8</v>
      </c>
      <c r="F380" t="s">
        <v>9</v>
      </c>
      <c r="G380">
        <v>2395</v>
      </c>
    </row>
    <row r="381" spans="1:7" x14ac:dyDescent="0.25">
      <c r="A381">
        <v>1254</v>
      </c>
      <c r="B381">
        <v>50380</v>
      </c>
      <c r="C381" s="2">
        <v>45019.254084694898</v>
      </c>
      <c r="D381">
        <v>37</v>
      </c>
      <c r="E381" t="s">
        <v>7</v>
      </c>
      <c r="F381" t="s">
        <v>10</v>
      </c>
      <c r="G381">
        <v>1584</v>
      </c>
    </row>
    <row r="382" spans="1:7" x14ac:dyDescent="0.25">
      <c r="A382">
        <v>1357</v>
      </c>
      <c r="B382">
        <v>50381</v>
      </c>
      <c r="C382" s="2">
        <v>45019.497499166377</v>
      </c>
      <c r="D382">
        <v>32</v>
      </c>
      <c r="E382" t="s">
        <v>7</v>
      </c>
      <c r="F382" t="s">
        <v>9</v>
      </c>
      <c r="G382">
        <v>4603</v>
      </c>
    </row>
    <row r="383" spans="1:7" x14ac:dyDescent="0.25">
      <c r="A383">
        <v>1023</v>
      </c>
      <c r="B383">
        <v>50382</v>
      </c>
      <c r="C383" s="2">
        <v>45019.74091363787</v>
      </c>
      <c r="D383">
        <v>62</v>
      </c>
      <c r="E383" t="s">
        <v>7</v>
      </c>
      <c r="F383" t="s">
        <v>10</v>
      </c>
      <c r="G383">
        <v>4154</v>
      </c>
    </row>
    <row r="384" spans="1:7" x14ac:dyDescent="0.25">
      <c r="A384">
        <v>1522</v>
      </c>
      <c r="B384">
        <v>50383</v>
      </c>
      <c r="C384" s="2">
        <v>45019.984328109364</v>
      </c>
      <c r="D384">
        <v>46</v>
      </c>
      <c r="E384" t="s">
        <v>8</v>
      </c>
      <c r="F384" t="s">
        <v>12</v>
      </c>
      <c r="G384">
        <v>3099</v>
      </c>
    </row>
    <row r="385" spans="1:7" x14ac:dyDescent="0.25">
      <c r="A385">
        <v>1100</v>
      </c>
      <c r="B385">
        <v>50384</v>
      </c>
      <c r="C385" s="2">
        <v>45020.227742580857</v>
      </c>
      <c r="D385">
        <v>25</v>
      </c>
      <c r="E385" t="s">
        <v>7</v>
      </c>
      <c r="F385" t="s">
        <v>12</v>
      </c>
      <c r="G385">
        <v>260</v>
      </c>
    </row>
    <row r="386" spans="1:7" x14ac:dyDescent="0.25">
      <c r="A386">
        <v>1180</v>
      </c>
      <c r="B386">
        <v>50385</v>
      </c>
      <c r="C386" s="2">
        <v>45020.47115705235</v>
      </c>
      <c r="D386">
        <v>58</v>
      </c>
      <c r="E386" t="s">
        <v>8</v>
      </c>
      <c r="F386" t="s">
        <v>12</v>
      </c>
      <c r="G386">
        <v>4147</v>
      </c>
    </row>
    <row r="387" spans="1:7" x14ac:dyDescent="0.25">
      <c r="A387">
        <v>1223</v>
      </c>
      <c r="B387">
        <v>50386</v>
      </c>
      <c r="C387" s="2">
        <v>45020.714571523829</v>
      </c>
      <c r="D387">
        <v>36</v>
      </c>
      <c r="E387" t="s">
        <v>8</v>
      </c>
      <c r="F387" t="s">
        <v>11</v>
      </c>
      <c r="G387">
        <v>2490</v>
      </c>
    </row>
    <row r="388" spans="1:7" x14ac:dyDescent="0.25">
      <c r="A388">
        <v>1442</v>
      </c>
      <c r="B388">
        <v>50387</v>
      </c>
      <c r="C388" s="2">
        <v>45020.957985995323</v>
      </c>
      <c r="D388">
        <v>56</v>
      </c>
      <c r="E388" t="s">
        <v>7</v>
      </c>
      <c r="F388" t="s">
        <v>9</v>
      </c>
      <c r="G388">
        <v>672</v>
      </c>
    </row>
    <row r="389" spans="1:7" x14ac:dyDescent="0.25">
      <c r="A389">
        <v>1325</v>
      </c>
      <c r="B389">
        <v>50388</v>
      </c>
      <c r="C389" s="2">
        <v>45021.201400466824</v>
      </c>
      <c r="D389">
        <v>63</v>
      </c>
      <c r="E389" t="s">
        <v>8</v>
      </c>
      <c r="F389" t="s">
        <v>11</v>
      </c>
      <c r="G389">
        <v>1158</v>
      </c>
    </row>
    <row r="390" spans="1:7" x14ac:dyDescent="0.25">
      <c r="A390">
        <v>1516</v>
      </c>
      <c r="B390">
        <v>50389</v>
      </c>
      <c r="C390" s="2">
        <v>45021.44481493831</v>
      </c>
      <c r="D390">
        <v>45</v>
      </c>
      <c r="E390" t="s">
        <v>8</v>
      </c>
      <c r="F390" t="s">
        <v>10</v>
      </c>
      <c r="G390">
        <v>732</v>
      </c>
    </row>
    <row r="391" spans="1:7" x14ac:dyDescent="0.25">
      <c r="A391">
        <v>1016</v>
      </c>
      <c r="B391">
        <v>50390</v>
      </c>
      <c r="C391" s="2">
        <v>45021.688229409803</v>
      </c>
      <c r="D391">
        <v>63</v>
      </c>
      <c r="E391" t="s">
        <v>7</v>
      </c>
      <c r="F391" t="s">
        <v>9</v>
      </c>
      <c r="G391">
        <v>693</v>
      </c>
    </row>
    <row r="392" spans="1:7" x14ac:dyDescent="0.25">
      <c r="A392">
        <v>1336</v>
      </c>
      <c r="B392">
        <v>50391</v>
      </c>
      <c r="C392" s="2">
        <v>45021.931643881282</v>
      </c>
      <c r="D392">
        <v>44</v>
      </c>
      <c r="E392" t="s">
        <v>8</v>
      </c>
      <c r="F392" t="s">
        <v>12</v>
      </c>
      <c r="G392">
        <v>281</v>
      </c>
    </row>
    <row r="393" spans="1:7" x14ac:dyDescent="0.25">
      <c r="A393">
        <v>1258</v>
      </c>
      <c r="B393">
        <v>50392</v>
      </c>
      <c r="C393" s="2">
        <v>45022.175058352783</v>
      </c>
      <c r="D393">
        <v>21</v>
      </c>
      <c r="E393" t="s">
        <v>8</v>
      </c>
      <c r="F393" t="s">
        <v>9</v>
      </c>
      <c r="G393">
        <v>3170</v>
      </c>
    </row>
    <row r="394" spans="1:7" x14ac:dyDescent="0.25">
      <c r="A394">
        <v>1497</v>
      </c>
      <c r="B394">
        <v>50393</v>
      </c>
      <c r="C394" s="2">
        <v>45022.418472824269</v>
      </c>
      <c r="D394">
        <v>32</v>
      </c>
      <c r="E394" t="s">
        <v>7</v>
      </c>
      <c r="F394" t="s">
        <v>12</v>
      </c>
      <c r="G394">
        <v>211</v>
      </c>
    </row>
    <row r="395" spans="1:7" x14ac:dyDescent="0.25">
      <c r="A395">
        <v>1160</v>
      </c>
      <c r="B395">
        <v>50394</v>
      </c>
      <c r="C395" s="2">
        <v>45022.661887295762</v>
      </c>
      <c r="D395">
        <v>52</v>
      </c>
      <c r="E395" t="s">
        <v>8</v>
      </c>
      <c r="F395" t="s">
        <v>11</v>
      </c>
      <c r="G395">
        <v>4744</v>
      </c>
    </row>
    <row r="396" spans="1:7" x14ac:dyDescent="0.25">
      <c r="A396">
        <v>1475</v>
      </c>
      <c r="B396">
        <v>50395</v>
      </c>
      <c r="C396" s="2">
        <v>45022.905301767249</v>
      </c>
      <c r="D396">
        <v>54</v>
      </c>
      <c r="E396" t="s">
        <v>8</v>
      </c>
      <c r="F396" t="s">
        <v>11</v>
      </c>
      <c r="G396">
        <v>961</v>
      </c>
    </row>
    <row r="397" spans="1:7" x14ac:dyDescent="0.25">
      <c r="A397">
        <v>1380</v>
      </c>
      <c r="B397">
        <v>50396</v>
      </c>
      <c r="C397" s="2">
        <v>45023.148716238742</v>
      </c>
      <c r="D397">
        <v>18</v>
      </c>
      <c r="E397" t="s">
        <v>7</v>
      </c>
      <c r="F397" t="s">
        <v>12</v>
      </c>
      <c r="G397">
        <v>3385</v>
      </c>
    </row>
    <row r="398" spans="1:7" x14ac:dyDescent="0.25">
      <c r="A398">
        <v>1545</v>
      </c>
      <c r="B398">
        <v>50397</v>
      </c>
      <c r="C398" s="2">
        <v>45023.392130710228</v>
      </c>
      <c r="D398">
        <v>20</v>
      </c>
      <c r="E398" t="s">
        <v>7</v>
      </c>
      <c r="F398" t="s">
        <v>12</v>
      </c>
      <c r="G398">
        <v>225</v>
      </c>
    </row>
    <row r="399" spans="1:7" x14ac:dyDescent="0.25">
      <c r="A399">
        <v>1427</v>
      </c>
      <c r="B399">
        <v>50398</v>
      </c>
      <c r="C399" s="2">
        <v>45023.635545181722</v>
      </c>
      <c r="D399">
        <v>64</v>
      </c>
      <c r="E399" t="s">
        <v>7</v>
      </c>
      <c r="F399" t="s">
        <v>10</v>
      </c>
      <c r="G399">
        <v>2006</v>
      </c>
    </row>
    <row r="400" spans="1:7" x14ac:dyDescent="0.25">
      <c r="A400">
        <v>1268</v>
      </c>
      <c r="B400">
        <v>50399</v>
      </c>
      <c r="C400" s="2">
        <v>45023.878959653222</v>
      </c>
      <c r="D400">
        <v>41</v>
      </c>
      <c r="E400" t="s">
        <v>7</v>
      </c>
      <c r="F400" t="s">
        <v>11</v>
      </c>
      <c r="G400">
        <v>4357</v>
      </c>
    </row>
    <row r="401" spans="1:7" x14ac:dyDescent="0.25">
      <c r="A401">
        <v>1577</v>
      </c>
      <c r="B401">
        <v>50400</v>
      </c>
      <c r="C401" s="2">
        <v>45024.122374124701</v>
      </c>
      <c r="D401">
        <v>44</v>
      </c>
      <c r="E401" t="s">
        <v>8</v>
      </c>
      <c r="F401" t="s">
        <v>11</v>
      </c>
      <c r="G401">
        <v>4524</v>
      </c>
    </row>
    <row r="402" spans="1:7" x14ac:dyDescent="0.25">
      <c r="A402">
        <v>1417</v>
      </c>
      <c r="B402">
        <v>50401</v>
      </c>
      <c r="C402" s="2">
        <v>45024.365788596187</v>
      </c>
      <c r="D402">
        <v>57</v>
      </c>
      <c r="E402" t="s">
        <v>8</v>
      </c>
      <c r="F402" t="s">
        <v>10</v>
      </c>
      <c r="G402">
        <v>4902</v>
      </c>
    </row>
    <row r="403" spans="1:7" x14ac:dyDescent="0.25">
      <c r="A403">
        <v>1168</v>
      </c>
      <c r="B403">
        <v>50402</v>
      </c>
      <c r="C403" s="2">
        <v>45024.609203067688</v>
      </c>
      <c r="D403">
        <v>53</v>
      </c>
      <c r="E403" t="s">
        <v>7</v>
      </c>
      <c r="F403" t="s">
        <v>11</v>
      </c>
      <c r="G403">
        <v>3859</v>
      </c>
    </row>
    <row r="404" spans="1:7" x14ac:dyDescent="0.25">
      <c r="A404">
        <v>1043</v>
      </c>
      <c r="B404">
        <v>50403</v>
      </c>
      <c r="C404" s="2">
        <v>45024.852617539182</v>
      </c>
      <c r="D404">
        <v>51</v>
      </c>
      <c r="E404" t="s">
        <v>8</v>
      </c>
      <c r="F404" t="s">
        <v>12</v>
      </c>
      <c r="G404">
        <v>1725</v>
      </c>
    </row>
    <row r="405" spans="1:7" x14ac:dyDescent="0.25">
      <c r="A405">
        <v>1556</v>
      </c>
      <c r="B405">
        <v>50404</v>
      </c>
      <c r="C405" s="2">
        <v>45025.096032010661</v>
      </c>
      <c r="D405">
        <v>46</v>
      </c>
      <c r="E405" t="s">
        <v>8</v>
      </c>
      <c r="F405" t="s">
        <v>9</v>
      </c>
      <c r="G405">
        <v>960</v>
      </c>
    </row>
    <row r="406" spans="1:7" x14ac:dyDescent="0.25">
      <c r="A406">
        <v>1285</v>
      </c>
      <c r="B406">
        <v>50405</v>
      </c>
      <c r="C406" s="2">
        <v>45025.339446482147</v>
      </c>
      <c r="D406">
        <v>41</v>
      </c>
      <c r="E406" t="s">
        <v>7</v>
      </c>
      <c r="F406" t="s">
        <v>9</v>
      </c>
      <c r="G406">
        <v>794</v>
      </c>
    </row>
    <row r="407" spans="1:7" x14ac:dyDescent="0.25">
      <c r="A407">
        <v>1397</v>
      </c>
      <c r="B407">
        <v>50406</v>
      </c>
      <c r="C407" s="2">
        <v>45025.582860953647</v>
      </c>
      <c r="D407">
        <v>41</v>
      </c>
      <c r="E407" t="s">
        <v>7</v>
      </c>
      <c r="F407" t="s">
        <v>11</v>
      </c>
      <c r="G407">
        <v>1255</v>
      </c>
    </row>
    <row r="408" spans="1:7" x14ac:dyDescent="0.25">
      <c r="A408">
        <v>1012</v>
      </c>
      <c r="B408">
        <v>50407</v>
      </c>
      <c r="C408" s="2">
        <v>45025.826275425141</v>
      </c>
      <c r="D408">
        <v>59</v>
      </c>
      <c r="E408" t="s">
        <v>8</v>
      </c>
      <c r="F408" t="s">
        <v>10</v>
      </c>
      <c r="G408">
        <v>2054</v>
      </c>
    </row>
    <row r="409" spans="1:7" x14ac:dyDescent="0.25">
      <c r="A409">
        <v>1302</v>
      </c>
      <c r="B409">
        <v>50408</v>
      </c>
      <c r="C409" s="2">
        <v>45026.069689896627</v>
      </c>
      <c r="D409">
        <v>21</v>
      </c>
      <c r="E409" t="s">
        <v>7</v>
      </c>
      <c r="F409" t="s">
        <v>12</v>
      </c>
      <c r="G409">
        <v>3283</v>
      </c>
    </row>
    <row r="410" spans="1:7" x14ac:dyDescent="0.25">
      <c r="A410">
        <v>1253</v>
      </c>
      <c r="B410">
        <v>50409</v>
      </c>
      <c r="C410" s="2">
        <v>45026.313104368113</v>
      </c>
      <c r="D410">
        <v>20</v>
      </c>
      <c r="E410" t="s">
        <v>7</v>
      </c>
      <c r="F410" t="s">
        <v>9</v>
      </c>
      <c r="G410">
        <v>4116</v>
      </c>
    </row>
    <row r="411" spans="1:7" x14ac:dyDescent="0.25">
      <c r="A411">
        <v>1499</v>
      </c>
      <c r="B411">
        <v>50410</v>
      </c>
      <c r="C411" s="2">
        <v>45026.556518839607</v>
      </c>
      <c r="D411">
        <v>51</v>
      </c>
      <c r="E411" t="s">
        <v>7</v>
      </c>
      <c r="F411" t="s">
        <v>12</v>
      </c>
      <c r="G411">
        <v>3875</v>
      </c>
    </row>
    <row r="412" spans="1:7" x14ac:dyDescent="0.25">
      <c r="A412">
        <v>1035</v>
      </c>
      <c r="B412">
        <v>50411</v>
      </c>
      <c r="C412" s="2">
        <v>45026.7999333111</v>
      </c>
      <c r="D412">
        <v>40</v>
      </c>
      <c r="E412" t="s">
        <v>8</v>
      </c>
      <c r="F412" t="s">
        <v>11</v>
      </c>
      <c r="G412">
        <v>2248</v>
      </c>
    </row>
    <row r="413" spans="1:7" x14ac:dyDescent="0.25">
      <c r="A413">
        <v>1090</v>
      </c>
      <c r="B413">
        <v>50412</v>
      </c>
      <c r="C413" s="2">
        <v>45027.043347782594</v>
      </c>
      <c r="D413">
        <v>40</v>
      </c>
      <c r="E413" t="s">
        <v>7</v>
      </c>
      <c r="F413" t="s">
        <v>11</v>
      </c>
      <c r="G413">
        <v>1658</v>
      </c>
    </row>
    <row r="414" spans="1:7" x14ac:dyDescent="0.25">
      <c r="A414">
        <v>1418</v>
      </c>
      <c r="B414">
        <v>50413</v>
      </c>
      <c r="C414" s="2">
        <v>45027.286762254073</v>
      </c>
      <c r="D414">
        <v>62</v>
      </c>
      <c r="E414" t="s">
        <v>8</v>
      </c>
      <c r="F414" t="s">
        <v>9</v>
      </c>
      <c r="G414">
        <v>1419</v>
      </c>
    </row>
    <row r="415" spans="1:7" x14ac:dyDescent="0.25">
      <c r="A415">
        <v>1115</v>
      </c>
      <c r="B415">
        <v>50414</v>
      </c>
      <c r="C415" s="2">
        <v>45027.530176725573</v>
      </c>
      <c r="D415">
        <v>22</v>
      </c>
      <c r="E415" t="s">
        <v>8</v>
      </c>
      <c r="F415" t="s">
        <v>11</v>
      </c>
      <c r="G415">
        <v>4428</v>
      </c>
    </row>
    <row r="416" spans="1:7" x14ac:dyDescent="0.25">
      <c r="A416">
        <v>1196</v>
      </c>
      <c r="B416">
        <v>50415</v>
      </c>
      <c r="C416" s="2">
        <v>45027.773591197059</v>
      </c>
      <c r="D416">
        <v>48</v>
      </c>
      <c r="E416" t="s">
        <v>8</v>
      </c>
      <c r="F416" t="s">
        <v>10</v>
      </c>
      <c r="G416">
        <v>4381</v>
      </c>
    </row>
    <row r="417" spans="1:7" x14ac:dyDescent="0.25">
      <c r="A417">
        <v>1501</v>
      </c>
      <c r="B417">
        <v>50416</v>
      </c>
      <c r="C417" s="2">
        <v>45028.017005668553</v>
      </c>
      <c r="D417">
        <v>58</v>
      </c>
      <c r="E417" t="s">
        <v>7</v>
      </c>
      <c r="F417" t="s">
        <v>11</v>
      </c>
      <c r="G417">
        <v>1699</v>
      </c>
    </row>
    <row r="418" spans="1:7" x14ac:dyDescent="0.25">
      <c r="A418">
        <v>1493</v>
      </c>
      <c r="B418">
        <v>50417</v>
      </c>
      <c r="C418" s="2">
        <v>45028.260420140054</v>
      </c>
      <c r="D418">
        <v>23</v>
      </c>
      <c r="E418" t="s">
        <v>7</v>
      </c>
      <c r="F418" t="s">
        <v>11</v>
      </c>
      <c r="G418">
        <v>2030</v>
      </c>
    </row>
    <row r="419" spans="1:7" x14ac:dyDescent="0.25">
      <c r="A419">
        <v>1075</v>
      </c>
      <c r="B419">
        <v>50418</v>
      </c>
      <c r="C419" s="2">
        <v>45028.503834611533</v>
      </c>
      <c r="D419">
        <v>54</v>
      </c>
      <c r="E419" t="s">
        <v>7</v>
      </c>
      <c r="F419" t="s">
        <v>11</v>
      </c>
      <c r="G419">
        <v>3595</v>
      </c>
    </row>
    <row r="420" spans="1:7" x14ac:dyDescent="0.25">
      <c r="A420">
        <v>1413</v>
      </c>
      <c r="B420">
        <v>50419</v>
      </c>
      <c r="C420" s="2">
        <v>45028.747249083019</v>
      </c>
      <c r="D420">
        <v>27</v>
      </c>
      <c r="E420" t="s">
        <v>7</v>
      </c>
      <c r="F420" t="s">
        <v>12</v>
      </c>
      <c r="G420">
        <v>1403</v>
      </c>
    </row>
    <row r="421" spans="1:7" x14ac:dyDescent="0.25">
      <c r="A421">
        <v>1376</v>
      </c>
      <c r="B421">
        <v>50420</v>
      </c>
      <c r="C421" s="2">
        <v>45028.990663554512</v>
      </c>
      <c r="D421">
        <v>57</v>
      </c>
      <c r="E421" t="s">
        <v>7</v>
      </c>
      <c r="F421" t="s">
        <v>12</v>
      </c>
      <c r="G421">
        <v>4470</v>
      </c>
    </row>
    <row r="422" spans="1:7" x14ac:dyDescent="0.25">
      <c r="A422">
        <v>1420</v>
      </c>
      <c r="B422">
        <v>50421</v>
      </c>
      <c r="C422" s="2">
        <v>45029.234078026013</v>
      </c>
      <c r="D422">
        <v>24</v>
      </c>
      <c r="E422" t="s">
        <v>8</v>
      </c>
      <c r="F422" t="s">
        <v>9</v>
      </c>
      <c r="G422">
        <v>3010</v>
      </c>
    </row>
    <row r="423" spans="1:7" x14ac:dyDescent="0.25">
      <c r="A423">
        <v>1277</v>
      </c>
      <c r="B423">
        <v>50422</v>
      </c>
      <c r="C423" s="2">
        <v>45029.477492497492</v>
      </c>
      <c r="D423">
        <v>56</v>
      </c>
      <c r="E423" t="s">
        <v>8</v>
      </c>
      <c r="F423" t="s">
        <v>9</v>
      </c>
      <c r="G423">
        <v>3292</v>
      </c>
    </row>
    <row r="424" spans="1:7" x14ac:dyDescent="0.25">
      <c r="A424">
        <v>1394</v>
      </c>
      <c r="B424">
        <v>50423</v>
      </c>
      <c r="C424" s="2">
        <v>45029.720906968978</v>
      </c>
      <c r="D424">
        <v>55</v>
      </c>
      <c r="E424" t="s">
        <v>8</v>
      </c>
      <c r="F424" t="s">
        <v>9</v>
      </c>
      <c r="G424">
        <v>3244</v>
      </c>
    </row>
    <row r="425" spans="1:7" x14ac:dyDescent="0.25">
      <c r="A425">
        <v>1457</v>
      </c>
      <c r="B425">
        <v>50424</v>
      </c>
      <c r="C425" s="2">
        <v>45029.964321440471</v>
      </c>
      <c r="D425">
        <v>38</v>
      </c>
      <c r="E425" t="s">
        <v>7</v>
      </c>
      <c r="F425" t="s">
        <v>11</v>
      </c>
      <c r="G425">
        <v>4873</v>
      </c>
    </row>
    <row r="426" spans="1:7" x14ac:dyDescent="0.25">
      <c r="A426">
        <v>1192</v>
      </c>
      <c r="B426">
        <v>50425</v>
      </c>
      <c r="C426" s="2">
        <v>45030.207735911958</v>
      </c>
      <c r="D426">
        <v>37</v>
      </c>
      <c r="E426" t="s">
        <v>8</v>
      </c>
      <c r="F426" t="s">
        <v>12</v>
      </c>
      <c r="G426">
        <v>3714</v>
      </c>
    </row>
    <row r="427" spans="1:7" x14ac:dyDescent="0.25">
      <c r="A427">
        <v>1099</v>
      </c>
      <c r="B427">
        <v>50426</v>
      </c>
      <c r="C427" s="2">
        <v>45030.451150383458</v>
      </c>
      <c r="D427">
        <v>20</v>
      </c>
      <c r="E427" t="s">
        <v>8</v>
      </c>
      <c r="F427" t="s">
        <v>10</v>
      </c>
      <c r="G427">
        <v>1998</v>
      </c>
    </row>
    <row r="428" spans="1:7" x14ac:dyDescent="0.25">
      <c r="A428">
        <v>1548</v>
      </c>
      <c r="B428">
        <v>50427</v>
      </c>
      <c r="C428" s="2">
        <v>45030.694564854937</v>
      </c>
      <c r="D428">
        <v>39</v>
      </c>
      <c r="E428" t="s">
        <v>7</v>
      </c>
      <c r="F428" t="s">
        <v>11</v>
      </c>
      <c r="G428">
        <v>2775</v>
      </c>
    </row>
    <row r="429" spans="1:7" x14ac:dyDescent="0.25">
      <c r="A429">
        <v>1096</v>
      </c>
      <c r="B429">
        <v>50428</v>
      </c>
      <c r="C429" s="2">
        <v>45030.937979326438</v>
      </c>
      <c r="D429">
        <v>64</v>
      </c>
      <c r="E429" t="s">
        <v>7</v>
      </c>
      <c r="F429" t="s">
        <v>11</v>
      </c>
      <c r="G429">
        <v>344</v>
      </c>
    </row>
    <row r="430" spans="1:7" x14ac:dyDescent="0.25">
      <c r="A430">
        <v>1190</v>
      </c>
      <c r="B430">
        <v>50429</v>
      </c>
      <c r="C430" s="2">
        <v>45031.181393797931</v>
      </c>
      <c r="D430">
        <v>21</v>
      </c>
      <c r="E430" t="s">
        <v>8</v>
      </c>
      <c r="F430" t="s">
        <v>11</v>
      </c>
      <c r="G430">
        <v>4126</v>
      </c>
    </row>
    <row r="431" spans="1:7" x14ac:dyDescent="0.25">
      <c r="A431">
        <v>1037</v>
      </c>
      <c r="B431">
        <v>50430</v>
      </c>
      <c r="C431" s="2">
        <v>45031.424808269418</v>
      </c>
      <c r="D431">
        <v>45</v>
      </c>
      <c r="E431" t="s">
        <v>8</v>
      </c>
      <c r="F431" t="s">
        <v>10</v>
      </c>
      <c r="G431">
        <v>1577</v>
      </c>
    </row>
    <row r="432" spans="1:7" x14ac:dyDescent="0.25">
      <c r="A432">
        <v>1369</v>
      </c>
      <c r="B432">
        <v>50431</v>
      </c>
      <c r="C432" s="2">
        <v>45031.668222740896</v>
      </c>
      <c r="D432">
        <v>29</v>
      </c>
      <c r="E432" t="s">
        <v>7</v>
      </c>
      <c r="F432" t="s">
        <v>9</v>
      </c>
      <c r="G432">
        <v>3346</v>
      </c>
    </row>
    <row r="433" spans="1:7" x14ac:dyDescent="0.25">
      <c r="A433">
        <v>1525</v>
      </c>
      <c r="B433">
        <v>50432</v>
      </c>
      <c r="C433" s="2">
        <v>45031.911637212397</v>
      </c>
      <c r="D433">
        <v>55</v>
      </c>
      <c r="E433" t="s">
        <v>7</v>
      </c>
      <c r="F433" t="s">
        <v>10</v>
      </c>
      <c r="G433">
        <v>2025</v>
      </c>
    </row>
    <row r="434" spans="1:7" x14ac:dyDescent="0.25">
      <c r="A434">
        <v>1279</v>
      </c>
      <c r="B434">
        <v>50433</v>
      </c>
      <c r="C434" s="2">
        <v>45032.155051683891</v>
      </c>
      <c r="D434">
        <v>53</v>
      </c>
      <c r="E434" t="s">
        <v>7</v>
      </c>
      <c r="F434" t="s">
        <v>9</v>
      </c>
      <c r="G434">
        <v>993</v>
      </c>
    </row>
    <row r="435" spans="1:7" x14ac:dyDescent="0.25">
      <c r="A435">
        <v>1217</v>
      </c>
      <c r="B435">
        <v>50434</v>
      </c>
      <c r="C435" s="2">
        <v>45032.398466155377</v>
      </c>
      <c r="D435">
        <v>64</v>
      </c>
      <c r="E435" t="s">
        <v>7</v>
      </c>
      <c r="F435" t="s">
        <v>10</v>
      </c>
      <c r="G435">
        <v>1801</v>
      </c>
    </row>
    <row r="436" spans="1:7" x14ac:dyDescent="0.25">
      <c r="A436">
        <v>1273</v>
      </c>
      <c r="B436">
        <v>50435</v>
      </c>
      <c r="C436" s="2">
        <v>45032.641880626878</v>
      </c>
      <c r="D436">
        <v>58</v>
      </c>
      <c r="E436" t="s">
        <v>8</v>
      </c>
      <c r="F436" t="s">
        <v>12</v>
      </c>
      <c r="G436">
        <v>4614</v>
      </c>
    </row>
    <row r="437" spans="1:7" x14ac:dyDescent="0.25">
      <c r="A437">
        <v>1062</v>
      </c>
      <c r="B437">
        <v>50436</v>
      </c>
      <c r="C437" s="2">
        <v>45032.885295098356</v>
      </c>
      <c r="D437">
        <v>22</v>
      </c>
      <c r="E437" t="s">
        <v>8</v>
      </c>
      <c r="F437" t="s">
        <v>11</v>
      </c>
      <c r="G437">
        <v>1310</v>
      </c>
    </row>
    <row r="438" spans="1:7" x14ac:dyDescent="0.25">
      <c r="A438">
        <v>1596</v>
      </c>
      <c r="B438">
        <v>50437</v>
      </c>
      <c r="C438" s="2">
        <v>45033.12870956985</v>
      </c>
      <c r="D438">
        <v>30</v>
      </c>
      <c r="E438" t="s">
        <v>7</v>
      </c>
      <c r="F438" t="s">
        <v>11</v>
      </c>
      <c r="G438">
        <v>4253</v>
      </c>
    </row>
    <row r="439" spans="1:7" x14ac:dyDescent="0.25">
      <c r="A439">
        <v>1342</v>
      </c>
      <c r="B439">
        <v>50438</v>
      </c>
      <c r="C439" s="2">
        <v>45033.372124041343</v>
      </c>
      <c r="D439">
        <v>40</v>
      </c>
      <c r="E439" t="s">
        <v>8</v>
      </c>
      <c r="F439" t="s">
        <v>11</v>
      </c>
      <c r="G439">
        <v>4993</v>
      </c>
    </row>
    <row r="440" spans="1:7" x14ac:dyDescent="0.25">
      <c r="A440">
        <v>1397</v>
      </c>
      <c r="B440">
        <v>50439</v>
      </c>
      <c r="C440" s="2">
        <v>45033.615538512837</v>
      </c>
      <c r="D440">
        <v>47</v>
      </c>
      <c r="E440" t="s">
        <v>8</v>
      </c>
      <c r="F440" t="s">
        <v>9</v>
      </c>
      <c r="G440">
        <v>4137</v>
      </c>
    </row>
    <row r="441" spans="1:7" x14ac:dyDescent="0.25">
      <c r="A441">
        <v>1019</v>
      </c>
      <c r="B441">
        <v>50440</v>
      </c>
      <c r="C441" s="2">
        <v>45033.858952984323</v>
      </c>
      <c r="D441">
        <v>54</v>
      </c>
      <c r="E441" t="s">
        <v>7</v>
      </c>
      <c r="F441" t="s">
        <v>10</v>
      </c>
      <c r="G441">
        <v>4163</v>
      </c>
    </row>
    <row r="442" spans="1:7" x14ac:dyDescent="0.25">
      <c r="A442">
        <v>1177</v>
      </c>
      <c r="B442">
        <v>50441</v>
      </c>
      <c r="C442" s="2">
        <v>45034.102367455809</v>
      </c>
      <c r="D442">
        <v>42</v>
      </c>
      <c r="E442" t="s">
        <v>8</v>
      </c>
      <c r="F442" t="s">
        <v>12</v>
      </c>
      <c r="G442">
        <v>982</v>
      </c>
    </row>
    <row r="443" spans="1:7" x14ac:dyDescent="0.25">
      <c r="A443">
        <v>1396</v>
      </c>
      <c r="B443">
        <v>50442</v>
      </c>
      <c r="C443" s="2">
        <v>45034.345781927303</v>
      </c>
      <c r="D443">
        <v>44</v>
      </c>
      <c r="E443" t="s">
        <v>8</v>
      </c>
      <c r="F443" t="s">
        <v>10</v>
      </c>
      <c r="G443">
        <v>1316</v>
      </c>
    </row>
    <row r="444" spans="1:7" x14ac:dyDescent="0.25">
      <c r="A444">
        <v>1445</v>
      </c>
      <c r="B444">
        <v>50443</v>
      </c>
      <c r="C444" s="2">
        <v>45034.589196398803</v>
      </c>
      <c r="D444">
        <v>31</v>
      </c>
      <c r="E444" t="s">
        <v>8</v>
      </c>
      <c r="F444" t="s">
        <v>11</v>
      </c>
      <c r="G444">
        <v>1950</v>
      </c>
    </row>
    <row r="445" spans="1:7" x14ac:dyDescent="0.25">
      <c r="A445">
        <v>1233</v>
      </c>
      <c r="B445">
        <v>50444</v>
      </c>
      <c r="C445" s="2">
        <v>45034.832610870289</v>
      </c>
      <c r="D445">
        <v>64</v>
      </c>
      <c r="E445" t="s">
        <v>7</v>
      </c>
      <c r="F445" t="s">
        <v>12</v>
      </c>
      <c r="G445">
        <v>2776</v>
      </c>
    </row>
    <row r="446" spans="1:7" x14ac:dyDescent="0.25">
      <c r="A446">
        <v>1076</v>
      </c>
      <c r="B446">
        <v>50445</v>
      </c>
      <c r="C446" s="2">
        <v>45035.076025341768</v>
      </c>
      <c r="D446">
        <v>53</v>
      </c>
      <c r="E446" t="s">
        <v>7</v>
      </c>
      <c r="F446" t="s">
        <v>12</v>
      </c>
      <c r="G446">
        <v>4227</v>
      </c>
    </row>
    <row r="447" spans="1:7" x14ac:dyDescent="0.25">
      <c r="A447">
        <v>1265</v>
      </c>
      <c r="B447">
        <v>50446</v>
      </c>
      <c r="C447" s="2">
        <v>45035.319439813262</v>
      </c>
      <c r="D447">
        <v>56</v>
      </c>
      <c r="E447" t="s">
        <v>8</v>
      </c>
      <c r="F447" t="s">
        <v>11</v>
      </c>
      <c r="G447">
        <v>3536</v>
      </c>
    </row>
    <row r="448" spans="1:7" x14ac:dyDescent="0.25">
      <c r="A448">
        <v>1455</v>
      </c>
      <c r="B448">
        <v>50447</v>
      </c>
      <c r="C448" s="2">
        <v>45035.562854284763</v>
      </c>
      <c r="D448">
        <v>33</v>
      </c>
      <c r="E448" t="s">
        <v>7</v>
      </c>
      <c r="F448" t="s">
        <v>10</v>
      </c>
      <c r="G448">
        <v>4587</v>
      </c>
    </row>
    <row r="449" spans="1:7" x14ac:dyDescent="0.25">
      <c r="A449">
        <v>1384</v>
      </c>
      <c r="B449">
        <v>50448</v>
      </c>
      <c r="C449" s="2">
        <v>45035.806268756249</v>
      </c>
      <c r="D449">
        <v>39</v>
      </c>
      <c r="E449" t="s">
        <v>7</v>
      </c>
      <c r="F449" t="s">
        <v>11</v>
      </c>
      <c r="G449">
        <v>1687</v>
      </c>
    </row>
    <row r="450" spans="1:7" x14ac:dyDescent="0.25">
      <c r="A450">
        <v>1564</v>
      </c>
      <c r="B450">
        <v>50449</v>
      </c>
      <c r="C450" s="2">
        <v>45036.049683227728</v>
      </c>
      <c r="D450">
        <v>38</v>
      </c>
      <c r="E450" t="s">
        <v>7</v>
      </c>
      <c r="F450" t="s">
        <v>10</v>
      </c>
      <c r="G450">
        <v>4075</v>
      </c>
    </row>
    <row r="451" spans="1:7" x14ac:dyDescent="0.25">
      <c r="A451">
        <v>1506</v>
      </c>
      <c r="B451">
        <v>50450</v>
      </c>
      <c r="C451" s="2">
        <v>45036.293097699221</v>
      </c>
      <c r="D451">
        <v>38</v>
      </c>
      <c r="E451" t="s">
        <v>8</v>
      </c>
      <c r="F451" t="s">
        <v>12</v>
      </c>
      <c r="G451">
        <v>3831</v>
      </c>
    </row>
    <row r="452" spans="1:7" x14ac:dyDescent="0.25">
      <c r="A452">
        <v>1367</v>
      </c>
      <c r="B452">
        <v>50451</v>
      </c>
      <c r="C452" s="2">
        <v>45036.536512170707</v>
      </c>
      <c r="D452">
        <v>25</v>
      </c>
      <c r="E452" t="s">
        <v>8</v>
      </c>
      <c r="F452" t="s">
        <v>12</v>
      </c>
      <c r="G452">
        <v>4392</v>
      </c>
    </row>
    <row r="453" spans="1:7" x14ac:dyDescent="0.25">
      <c r="A453">
        <v>1144</v>
      </c>
      <c r="B453">
        <v>50452</v>
      </c>
      <c r="C453" s="2">
        <v>45036.779926642208</v>
      </c>
      <c r="D453">
        <v>33</v>
      </c>
      <c r="E453" t="s">
        <v>7</v>
      </c>
      <c r="F453" t="s">
        <v>11</v>
      </c>
      <c r="G453">
        <v>4158</v>
      </c>
    </row>
    <row r="454" spans="1:7" x14ac:dyDescent="0.25">
      <c r="A454">
        <v>1069</v>
      </c>
      <c r="B454">
        <v>50453</v>
      </c>
      <c r="C454" s="2">
        <v>45037.023341113701</v>
      </c>
      <c r="D454">
        <v>48</v>
      </c>
      <c r="E454" t="s">
        <v>8</v>
      </c>
      <c r="F454" t="s">
        <v>12</v>
      </c>
      <c r="G454">
        <v>3597</v>
      </c>
    </row>
    <row r="455" spans="1:7" x14ac:dyDescent="0.25">
      <c r="A455">
        <v>1099</v>
      </c>
      <c r="B455">
        <v>50454</v>
      </c>
      <c r="C455" s="2">
        <v>45037.266755585188</v>
      </c>
      <c r="D455">
        <v>59</v>
      </c>
      <c r="E455" t="s">
        <v>8</v>
      </c>
      <c r="F455" t="s">
        <v>9</v>
      </c>
      <c r="G455">
        <v>273</v>
      </c>
    </row>
    <row r="456" spans="1:7" x14ac:dyDescent="0.25">
      <c r="A456">
        <v>1396</v>
      </c>
      <c r="B456">
        <v>50455</v>
      </c>
      <c r="C456" s="2">
        <v>45037.510170056681</v>
      </c>
      <c r="D456">
        <v>27</v>
      </c>
      <c r="E456" t="s">
        <v>8</v>
      </c>
      <c r="F456" t="s">
        <v>12</v>
      </c>
      <c r="G456">
        <v>1559</v>
      </c>
    </row>
    <row r="457" spans="1:7" x14ac:dyDescent="0.25">
      <c r="A457">
        <v>1025</v>
      </c>
      <c r="B457">
        <v>50456</v>
      </c>
      <c r="C457" s="2">
        <v>45037.753584528167</v>
      </c>
      <c r="D457">
        <v>49</v>
      </c>
      <c r="E457" t="s">
        <v>8</v>
      </c>
      <c r="F457" t="s">
        <v>9</v>
      </c>
      <c r="G457">
        <v>1291</v>
      </c>
    </row>
    <row r="458" spans="1:7" x14ac:dyDescent="0.25">
      <c r="A458">
        <v>1469</v>
      </c>
      <c r="B458">
        <v>50457</v>
      </c>
      <c r="C458" s="2">
        <v>45037.996998999661</v>
      </c>
      <c r="D458">
        <v>51</v>
      </c>
      <c r="E458" t="s">
        <v>8</v>
      </c>
      <c r="F458" t="s">
        <v>12</v>
      </c>
      <c r="G458">
        <v>2141</v>
      </c>
    </row>
    <row r="459" spans="1:7" x14ac:dyDescent="0.25">
      <c r="A459">
        <v>1484</v>
      </c>
      <c r="B459">
        <v>50458</v>
      </c>
      <c r="C459" s="2">
        <v>45038.240413471147</v>
      </c>
      <c r="D459">
        <v>26</v>
      </c>
      <c r="E459" t="s">
        <v>7</v>
      </c>
      <c r="F459" t="s">
        <v>11</v>
      </c>
      <c r="G459">
        <v>3348</v>
      </c>
    </row>
    <row r="460" spans="1:7" x14ac:dyDescent="0.25">
      <c r="A460">
        <v>1565</v>
      </c>
      <c r="B460">
        <v>50459</v>
      </c>
      <c r="C460" s="2">
        <v>45038.48382794264</v>
      </c>
      <c r="D460">
        <v>34</v>
      </c>
      <c r="E460" t="s">
        <v>8</v>
      </c>
      <c r="F460" t="s">
        <v>11</v>
      </c>
      <c r="G460">
        <v>4503</v>
      </c>
    </row>
    <row r="461" spans="1:7" x14ac:dyDescent="0.25">
      <c r="A461">
        <v>1151</v>
      </c>
      <c r="B461">
        <v>50460</v>
      </c>
      <c r="C461" s="2">
        <v>45038.727242414127</v>
      </c>
      <c r="D461">
        <v>28</v>
      </c>
      <c r="E461" t="s">
        <v>8</v>
      </c>
      <c r="F461" t="s">
        <v>9</v>
      </c>
      <c r="G461">
        <v>1444</v>
      </c>
    </row>
    <row r="462" spans="1:7" x14ac:dyDescent="0.25">
      <c r="A462">
        <v>1144</v>
      </c>
      <c r="B462">
        <v>50461</v>
      </c>
      <c r="C462" s="2">
        <v>45038.970656885627</v>
      </c>
      <c r="D462">
        <v>49</v>
      </c>
      <c r="E462" t="s">
        <v>8</v>
      </c>
      <c r="F462" t="s">
        <v>11</v>
      </c>
      <c r="G462">
        <v>1485</v>
      </c>
    </row>
    <row r="463" spans="1:7" x14ac:dyDescent="0.25">
      <c r="A463">
        <v>1569</v>
      </c>
      <c r="B463">
        <v>50462</v>
      </c>
      <c r="C463" s="2">
        <v>45039.214071357121</v>
      </c>
      <c r="D463">
        <v>27</v>
      </c>
      <c r="E463" t="s">
        <v>7</v>
      </c>
      <c r="F463" t="s">
        <v>12</v>
      </c>
      <c r="G463">
        <v>4705</v>
      </c>
    </row>
    <row r="464" spans="1:7" x14ac:dyDescent="0.25">
      <c r="A464">
        <v>1039</v>
      </c>
      <c r="B464">
        <v>50463</v>
      </c>
      <c r="C464" s="2">
        <v>45039.4574858286</v>
      </c>
      <c r="D464">
        <v>39</v>
      </c>
      <c r="E464" t="s">
        <v>7</v>
      </c>
      <c r="F464" t="s">
        <v>12</v>
      </c>
      <c r="G464">
        <v>3236</v>
      </c>
    </row>
    <row r="465" spans="1:7" x14ac:dyDescent="0.25">
      <c r="A465">
        <v>1109</v>
      </c>
      <c r="B465">
        <v>50464</v>
      </c>
      <c r="C465" s="2">
        <v>45039.700900300093</v>
      </c>
      <c r="D465">
        <v>34</v>
      </c>
      <c r="E465" t="s">
        <v>7</v>
      </c>
      <c r="F465" t="s">
        <v>11</v>
      </c>
      <c r="G465">
        <v>970</v>
      </c>
    </row>
    <row r="466" spans="1:7" x14ac:dyDescent="0.25">
      <c r="A466">
        <v>1042</v>
      </c>
      <c r="B466">
        <v>50465</v>
      </c>
      <c r="C466" s="2">
        <v>45039.944314771587</v>
      </c>
      <c r="D466">
        <v>21</v>
      </c>
      <c r="E466" t="s">
        <v>8</v>
      </c>
      <c r="F466" t="s">
        <v>12</v>
      </c>
      <c r="G466">
        <v>2043</v>
      </c>
    </row>
    <row r="467" spans="1:7" x14ac:dyDescent="0.25">
      <c r="A467">
        <v>1186</v>
      </c>
      <c r="B467">
        <v>50466</v>
      </c>
      <c r="C467" s="2">
        <v>45040.18772924308</v>
      </c>
      <c r="D467">
        <v>64</v>
      </c>
      <c r="E467" t="s">
        <v>7</v>
      </c>
      <c r="F467" t="s">
        <v>10</v>
      </c>
      <c r="G467">
        <v>273</v>
      </c>
    </row>
    <row r="468" spans="1:7" x14ac:dyDescent="0.25">
      <c r="A468">
        <v>1398</v>
      </c>
      <c r="B468">
        <v>50467</v>
      </c>
      <c r="C468" s="2">
        <v>45040.431143714559</v>
      </c>
      <c r="D468">
        <v>42</v>
      </c>
      <c r="E468" t="s">
        <v>7</v>
      </c>
      <c r="F468" t="s">
        <v>10</v>
      </c>
      <c r="G468">
        <v>1860</v>
      </c>
    </row>
    <row r="469" spans="1:7" x14ac:dyDescent="0.25">
      <c r="A469">
        <v>1223</v>
      </c>
      <c r="B469">
        <v>50468</v>
      </c>
      <c r="C469" s="2">
        <v>45040.674558186052</v>
      </c>
      <c r="D469">
        <v>38</v>
      </c>
      <c r="E469" t="s">
        <v>7</v>
      </c>
      <c r="F469" t="s">
        <v>12</v>
      </c>
      <c r="G469">
        <v>4549</v>
      </c>
    </row>
    <row r="470" spans="1:7" x14ac:dyDescent="0.25">
      <c r="A470">
        <v>1133</v>
      </c>
      <c r="B470">
        <v>50469</v>
      </c>
      <c r="C470" s="2">
        <v>45040.917972657553</v>
      </c>
      <c r="D470">
        <v>54</v>
      </c>
      <c r="E470" t="s">
        <v>7</v>
      </c>
      <c r="F470" t="s">
        <v>11</v>
      </c>
      <c r="G470">
        <v>1019</v>
      </c>
    </row>
    <row r="471" spans="1:7" x14ac:dyDescent="0.25">
      <c r="A471">
        <v>1163</v>
      </c>
      <c r="B471">
        <v>50470</v>
      </c>
      <c r="C471" s="2">
        <v>45041.161387129039</v>
      </c>
      <c r="D471">
        <v>55</v>
      </c>
      <c r="E471" t="s">
        <v>8</v>
      </c>
      <c r="F471" t="s">
        <v>9</v>
      </c>
      <c r="G471">
        <v>4018</v>
      </c>
    </row>
    <row r="472" spans="1:7" x14ac:dyDescent="0.25">
      <c r="A472">
        <v>1215</v>
      </c>
      <c r="B472">
        <v>50471</v>
      </c>
      <c r="C472" s="2">
        <v>45041.404801600533</v>
      </c>
      <c r="D472">
        <v>18</v>
      </c>
      <c r="E472" t="s">
        <v>7</v>
      </c>
      <c r="F472" t="s">
        <v>11</v>
      </c>
      <c r="G472">
        <v>531</v>
      </c>
    </row>
    <row r="473" spans="1:7" x14ac:dyDescent="0.25">
      <c r="A473">
        <v>1235</v>
      </c>
      <c r="B473">
        <v>50472</v>
      </c>
      <c r="C473" s="2">
        <v>45041.648216072012</v>
      </c>
      <c r="D473">
        <v>42</v>
      </c>
      <c r="E473" t="s">
        <v>7</v>
      </c>
      <c r="F473" t="s">
        <v>9</v>
      </c>
      <c r="G473">
        <v>1621</v>
      </c>
    </row>
    <row r="474" spans="1:7" x14ac:dyDescent="0.25">
      <c r="A474">
        <v>1588</v>
      </c>
      <c r="B474">
        <v>50473</v>
      </c>
      <c r="C474" s="2">
        <v>45041.891630543512</v>
      </c>
      <c r="D474">
        <v>53</v>
      </c>
      <c r="E474" t="s">
        <v>8</v>
      </c>
      <c r="F474" t="s">
        <v>11</v>
      </c>
      <c r="G474">
        <v>3855</v>
      </c>
    </row>
    <row r="475" spans="1:7" x14ac:dyDescent="0.25">
      <c r="A475">
        <v>1009</v>
      </c>
      <c r="B475">
        <v>50474</v>
      </c>
      <c r="C475" s="2">
        <v>45042.135045014998</v>
      </c>
      <c r="D475">
        <v>34</v>
      </c>
      <c r="E475" t="s">
        <v>8</v>
      </c>
      <c r="F475" t="s">
        <v>12</v>
      </c>
      <c r="G475">
        <v>1891</v>
      </c>
    </row>
    <row r="476" spans="1:7" x14ac:dyDescent="0.25">
      <c r="A476">
        <v>1074</v>
      </c>
      <c r="B476">
        <v>50475</v>
      </c>
      <c r="C476" s="2">
        <v>45042.378459486492</v>
      </c>
      <c r="D476">
        <v>58</v>
      </c>
      <c r="E476" t="s">
        <v>7</v>
      </c>
      <c r="F476" t="s">
        <v>10</v>
      </c>
      <c r="G476">
        <v>4750</v>
      </c>
    </row>
    <row r="477" spans="1:7" x14ac:dyDescent="0.25">
      <c r="A477">
        <v>1492</v>
      </c>
      <c r="B477">
        <v>50476</v>
      </c>
      <c r="C477" s="2">
        <v>45042.621873957978</v>
      </c>
      <c r="D477">
        <v>41</v>
      </c>
      <c r="E477" t="s">
        <v>8</v>
      </c>
      <c r="F477" t="s">
        <v>11</v>
      </c>
      <c r="G477">
        <v>4608</v>
      </c>
    </row>
    <row r="478" spans="1:7" x14ac:dyDescent="0.25">
      <c r="A478">
        <v>1253</v>
      </c>
      <c r="B478">
        <v>50477</v>
      </c>
      <c r="C478" s="2">
        <v>45042.865288429457</v>
      </c>
      <c r="D478">
        <v>19</v>
      </c>
      <c r="E478" t="s">
        <v>7</v>
      </c>
      <c r="F478" t="s">
        <v>9</v>
      </c>
      <c r="G478">
        <v>427</v>
      </c>
    </row>
    <row r="479" spans="1:7" x14ac:dyDescent="0.25">
      <c r="A479">
        <v>1230</v>
      </c>
      <c r="B479">
        <v>50478</v>
      </c>
      <c r="C479" s="2">
        <v>45043.108702900958</v>
      </c>
      <c r="D479">
        <v>57</v>
      </c>
      <c r="E479" t="s">
        <v>8</v>
      </c>
      <c r="F479" t="s">
        <v>10</v>
      </c>
      <c r="G479">
        <v>3081</v>
      </c>
    </row>
    <row r="480" spans="1:7" x14ac:dyDescent="0.25">
      <c r="A480">
        <v>1519</v>
      </c>
      <c r="B480">
        <v>50479</v>
      </c>
      <c r="C480" s="2">
        <v>45043.352117372451</v>
      </c>
      <c r="D480">
        <v>32</v>
      </c>
      <c r="E480" t="s">
        <v>8</v>
      </c>
      <c r="F480" t="s">
        <v>9</v>
      </c>
      <c r="G480">
        <v>3065</v>
      </c>
    </row>
    <row r="481" spans="1:7" x14ac:dyDescent="0.25">
      <c r="A481">
        <v>1174</v>
      </c>
      <c r="B481">
        <v>50480</v>
      </c>
      <c r="C481" s="2">
        <v>45043.595531843937</v>
      </c>
      <c r="D481">
        <v>49</v>
      </c>
      <c r="E481" t="s">
        <v>7</v>
      </c>
      <c r="F481" t="s">
        <v>12</v>
      </c>
      <c r="G481">
        <v>2775</v>
      </c>
    </row>
    <row r="482" spans="1:7" x14ac:dyDescent="0.25">
      <c r="A482">
        <v>1168</v>
      </c>
      <c r="B482">
        <v>50481</v>
      </c>
      <c r="C482" s="2">
        <v>45043.838946315431</v>
      </c>
      <c r="D482">
        <v>56</v>
      </c>
      <c r="E482" t="s">
        <v>8</v>
      </c>
      <c r="F482" t="s">
        <v>10</v>
      </c>
      <c r="G482">
        <v>4722</v>
      </c>
    </row>
    <row r="483" spans="1:7" x14ac:dyDescent="0.25">
      <c r="A483">
        <v>1170</v>
      </c>
      <c r="B483">
        <v>50482</v>
      </c>
      <c r="C483" s="2">
        <v>45044.082360786917</v>
      </c>
      <c r="D483">
        <v>23</v>
      </c>
      <c r="E483" t="s">
        <v>7</v>
      </c>
      <c r="F483" t="s">
        <v>9</v>
      </c>
      <c r="G483">
        <v>664</v>
      </c>
    </row>
    <row r="484" spans="1:7" x14ac:dyDescent="0.25">
      <c r="A484">
        <v>1393</v>
      </c>
      <c r="B484">
        <v>50483</v>
      </c>
      <c r="C484" s="2">
        <v>45044.325775258418</v>
      </c>
      <c r="D484">
        <v>18</v>
      </c>
      <c r="E484" t="s">
        <v>8</v>
      </c>
      <c r="F484" t="s">
        <v>11</v>
      </c>
      <c r="G484">
        <v>477</v>
      </c>
    </row>
    <row r="485" spans="1:7" x14ac:dyDescent="0.25">
      <c r="A485">
        <v>1194</v>
      </c>
      <c r="B485">
        <v>50484</v>
      </c>
      <c r="C485" s="2">
        <v>45044.569189729897</v>
      </c>
      <c r="D485">
        <v>64</v>
      </c>
      <c r="E485" t="s">
        <v>7</v>
      </c>
      <c r="F485" t="s">
        <v>12</v>
      </c>
      <c r="G485">
        <v>4314</v>
      </c>
    </row>
    <row r="486" spans="1:7" x14ac:dyDescent="0.25">
      <c r="A486">
        <v>1517</v>
      </c>
      <c r="B486">
        <v>50485</v>
      </c>
      <c r="C486" s="2">
        <v>45044.812604201397</v>
      </c>
      <c r="D486">
        <v>40</v>
      </c>
      <c r="E486" t="s">
        <v>8</v>
      </c>
      <c r="F486" t="s">
        <v>12</v>
      </c>
      <c r="G486">
        <v>265</v>
      </c>
    </row>
    <row r="487" spans="1:7" x14ac:dyDescent="0.25">
      <c r="A487">
        <v>1029</v>
      </c>
      <c r="B487">
        <v>50486</v>
      </c>
      <c r="C487" s="2">
        <v>45045.056018672884</v>
      </c>
      <c r="D487">
        <v>56</v>
      </c>
      <c r="E487" t="s">
        <v>8</v>
      </c>
      <c r="F487" t="s">
        <v>12</v>
      </c>
      <c r="G487">
        <v>4462</v>
      </c>
    </row>
    <row r="488" spans="1:7" x14ac:dyDescent="0.25">
      <c r="A488">
        <v>1165</v>
      </c>
      <c r="B488">
        <v>50487</v>
      </c>
      <c r="C488" s="2">
        <v>45045.299433144377</v>
      </c>
      <c r="D488">
        <v>34</v>
      </c>
      <c r="E488" t="s">
        <v>8</v>
      </c>
      <c r="F488" t="s">
        <v>11</v>
      </c>
      <c r="G488">
        <v>602</v>
      </c>
    </row>
    <row r="489" spans="1:7" x14ac:dyDescent="0.25">
      <c r="A489">
        <v>1422</v>
      </c>
      <c r="B489">
        <v>50488</v>
      </c>
      <c r="C489" s="2">
        <v>45045.54284761587</v>
      </c>
      <c r="D489">
        <v>51</v>
      </c>
      <c r="E489" t="s">
        <v>8</v>
      </c>
      <c r="F489" t="s">
        <v>11</v>
      </c>
      <c r="G489">
        <v>4183</v>
      </c>
    </row>
    <row r="490" spans="1:7" x14ac:dyDescent="0.25">
      <c r="A490">
        <v>1339</v>
      </c>
      <c r="B490">
        <v>50489</v>
      </c>
      <c r="C490" s="2">
        <v>45045.786262087357</v>
      </c>
      <c r="D490">
        <v>58</v>
      </c>
      <c r="E490" t="s">
        <v>8</v>
      </c>
      <c r="F490" t="s">
        <v>10</v>
      </c>
      <c r="G490">
        <v>4704</v>
      </c>
    </row>
    <row r="491" spans="1:7" x14ac:dyDescent="0.25">
      <c r="A491">
        <v>1496</v>
      </c>
      <c r="B491">
        <v>50490</v>
      </c>
      <c r="C491" s="2">
        <v>45046.029676558843</v>
      </c>
      <c r="D491">
        <v>46</v>
      </c>
      <c r="E491" t="s">
        <v>7</v>
      </c>
      <c r="F491" t="s">
        <v>11</v>
      </c>
      <c r="G491">
        <v>3678</v>
      </c>
    </row>
    <row r="492" spans="1:7" x14ac:dyDescent="0.25">
      <c r="A492">
        <v>1365</v>
      </c>
      <c r="B492">
        <v>50491</v>
      </c>
      <c r="C492" s="2">
        <v>45046.273091030343</v>
      </c>
      <c r="D492">
        <v>26</v>
      </c>
      <c r="E492" t="s">
        <v>8</v>
      </c>
      <c r="F492" t="s">
        <v>10</v>
      </c>
      <c r="G492">
        <v>3644</v>
      </c>
    </row>
    <row r="493" spans="1:7" x14ac:dyDescent="0.25">
      <c r="A493">
        <v>1342</v>
      </c>
      <c r="B493">
        <v>50492</v>
      </c>
      <c r="C493" s="2">
        <v>45046.51650550183</v>
      </c>
      <c r="D493">
        <v>30</v>
      </c>
      <c r="E493" t="s">
        <v>7</v>
      </c>
      <c r="F493" t="s">
        <v>12</v>
      </c>
      <c r="G493">
        <v>4892</v>
      </c>
    </row>
    <row r="494" spans="1:7" x14ac:dyDescent="0.25">
      <c r="A494">
        <v>1500</v>
      </c>
      <c r="B494">
        <v>50493</v>
      </c>
      <c r="C494" s="2">
        <v>45046.759919973323</v>
      </c>
      <c r="D494">
        <v>23</v>
      </c>
      <c r="E494" t="s">
        <v>7</v>
      </c>
      <c r="F494" t="s">
        <v>10</v>
      </c>
      <c r="G494">
        <v>4619</v>
      </c>
    </row>
    <row r="495" spans="1:7" x14ac:dyDescent="0.25">
      <c r="A495">
        <v>1511</v>
      </c>
      <c r="B495">
        <v>50494</v>
      </c>
      <c r="C495" s="2">
        <v>45047.003334444817</v>
      </c>
      <c r="D495">
        <v>23</v>
      </c>
      <c r="E495" t="s">
        <v>7</v>
      </c>
      <c r="F495" t="s">
        <v>9</v>
      </c>
      <c r="G495">
        <v>3239</v>
      </c>
    </row>
    <row r="496" spans="1:7" x14ac:dyDescent="0.25">
      <c r="A496">
        <v>1327</v>
      </c>
      <c r="B496">
        <v>50495</v>
      </c>
      <c r="C496" s="2">
        <v>45047.246748916303</v>
      </c>
      <c r="D496">
        <v>37</v>
      </c>
      <c r="E496" t="s">
        <v>8</v>
      </c>
      <c r="F496" t="s">
        <v>12</v>
      </c>
      <c r="G496">
        <v>1637</v>
      </c>
    </row>
    <row r="497" spans="1:7" x14ac:dyDescent="0.25">
      <c r="A497">
        <v>1217</v>
      </c>
      <c r="B497">
        <v>50496</v>
      </c>
      <c r="C497" s="2">
        <v>45047.490163387789</v>
      </c>
      <c r="D497">
        <v>20</v>
      </c>
      <c r="E497" t="s">
        <v>7</v>
      </c>
      <c r="F497" t="s">
        <v>12</v>
      </c>
      <c r="G497">
        <v>628</v>
      </c>
    </row>
    <row r="498" spans="1:7" x14ac:dyDescent="0.25">
      <c r="A498">
        <v>1301</v>
      </c>
      <c r="B498">
        <v>50497</v>
      </c>
      <c r="C498" s="2">
        <v>45047.733577859282</v>
      </c>
      <c r="D498">
        <v>34</v>
      </c>
      <c r="E498" t="s">
        <v>8</v>
      </c>
      <c r="F498" t="s">
        <v>10</v>
      </c>
      <c r="G498">
        <v>2882</v>
      </c>
    </row>
    <row r="499" spans="1:7" x14ac:dyDescent="0.25">
      <c r="A499">
        <v>1132</v>
      </c>
      <c r="B499">
        <v>50498</v>
      </c>
      <c r="C499" s="2">
        <v>45047.976992330783</v>
      </c>
      <c r="D499">
        <v>29</v>
      </c>
      <c r="E499" t="s">
        <v>7</v>
      </c>
      <c r="F499" t="s">
        <v>12</v>
      </c>
      <c r="G499">
        <v>2977</v>
      </c>
    </row>
    <row r="500" spans="1:7" x14ac:dyDescent="0.25">
      <c r="A500">
        <v>1070</v>
      </c>
      <c r="B500">
        <v>50499</v>
      </c>
      <c r="C500" s="2">
        <v>45048.220406802247</v>
      </c>
      <c r="D500">
        <v>64</v>
      </c>
      <c r="E500" t="s">
        <v>7</v>
      </c>
      <c r="F500" t="s">
        <v>11</v>
      </c>
      <c r="G500">
        <v>3578</v>
      </c>
    </row>
    <row r="501" spans="1:7" x14ac:dyDescent="0.25">
      <c r="A501">
        <v>1252</v>
      </c>
      <c r="B501">
        <v>50500</v>
      </c>
      <c r="C501" s="2">
        <v>45048.463821273748</v>
      </c>
      <c r="D501">
        <v>62</v>
      </c>
      <c r="E501" t="s">
        <v>7</v>
      </c>
      <c r="F501" t="s">
        <v>9</v>
      </c>
      <c r="G501">
        <v>592</v>
      </c>
    </row>
    <row r="502" spans="1:7" x14ac:dyDescent="0.25">
      <c r="A502">
        <v>1415</v>
      </c>
      <c r="B502">
        <v>50501</v>
      </c>
      <c r="C502" s="2">
        <v>45048.707235745242</v>
      </c>
      <c r="D502">
        <v>18</v>
      </c>
      <c r="E502" t="s">
        <v>7</v>
      </c>
      <c r="F502" t="s">
        <v>10</v>
      </c>
      <c r="G502">
        <v>4741</v>
      </c>
    </row>
    <row r="503" spans="1:7" x14ac:dyDescent="0.25">
      <c r="A503">
        <v>1445</v>
      </c>
      <c r="B503">
        <v>50502</v>
      </c>
      <c r="C503" s="2">
        <v>45048.950650216742</v>
      </c>
      <c r="D503">
        <v>34</v>
      </c>
      <c r="E503" t="s">
        <v>7</v>
      </c>
      <c r="F503" t="s">
        <v>10</v>
      </c>
      <c r="G503">
        <v>541</v>
      </c>
    </row>
    <row r="504" spans="1:7" x14ac:dyDescent="0.25">
      <c r="A504">
        <v>1182</v>
      </c>
      <c r="B504">
        <v>50503</v>
      </c>
      <c r="C504" s="2">
        <v>45049.194064688229</v>
      </c>
      <c r="D504">
        <v>20</v>
      </c>
      <c r="E504" t="s">
        <v>8</v>
      </c>
      <c r="F504" t="s">
        <v>12</v>
      </c>
      <c r="G504">
        <v>332</v>
      </c>
    </row>
    <row r="505" spans="1:7" x14ac:dyDescent="0.25">
      <c r="A505">
        <v>1167</v>
      </c>
      <c r="B505">
        <v>50504</v>
      </c>
      <c r="C505" s="2">
        <v>45049.437479159707</v>
      </c>
      <c r="D505">
        <v>43</v>
      </c>
      <c r="E505" t="s">
        <v>7</v>
      </c>
      <c r="F505" t="s">
        <v>11</v>
      </c>
      <c r="G505">
        <v>464</v>
      </c>
    </row>
    <row r="506" spans="1:7" x14ac:dyDescent="0.25">
      <c r="A506">
        <v>1091</v>
      </c>
      <c r="B506">
        <v>50505</v>
      </c>
      <c r="C506" s="2">
        <v>45049.680893631201</v>
      </c>
      <c r="D506">
        <v>32</v>
      </c>
      <c r="E506" t="s">
        <v>7</v>
      </c>
      <c r="F506" t="s">
        <v>12</v>
      </c>
      <c r="G506">
        <v>4388</v>
      </c>
    </row>
    <row r="507" spans="1:7" x14ac:dyDescent="0.25">
      <c r="A507">
        <v>1531</v>
      </c>
      <c r="B507">
        <v>50506</v>
      </c>
      <c r="C507" s="2">
        <v>45049.924308102687</v>
      </c>
      <c r="D507">
        <v>53</v>
      </c>
      <c r="E507" t="s">
        <v>8</v>
      </c>
      <c r="F507" t="s">
        <v>12</v>
      </c>
      <c r="G507">
        <v>1885</v>
      </c>
    </row>
    <row r="508" spans="1:7" x14ac:dyDescent="0.25">
      <c r="A508">
        <v>1039</v>
      </c>
      <c r="B508">
        <v>50507</v>
      </c>
      <c r="C508" s="2">
        <v>45050.167722574188</v>
      </c>
      <c r="D508">
        <v>49</v>
      </c>
      <c r="E508" t="s">
        <v>8</v>
      </c>
      <c r="F508" t="s">
        <v>10</v>
      </c>
      <c r="G508">
        <v>1634</v>
      </c>
    </row>
    <row r="509" spans="1:7" x14ac:dyDescent="0.25">
      <c r="A509">
        <v>1126</v>
      </c>
      <c r="B509">
        <v>50508</v>
      </c>
      <c r="C509" s="2">
        <v>45050.411137045667</v>
      </c>
      <c r="D509">
        <v>49</v>
      </c>
      <c r="E509" t="s">
        <v>8</v>
      </c>
      <c r="F509" t="s">
        <v>12</v>
      </c>
      <c r="G509">
        <v>1860</v>
      </c>
    </row>
    <row r="510" spans="1:7" x14ac:dyDescent="0.25">
      <c r="A510">
        <v>1451</v>
      </c>
      <c r="B510">
        <v>50509</v>
      </c>
      <c r="C510" s="2">
        <v>45050.654551517167</v>
      </c>
      <c r="D510">
        <v>21</v>
      </c>
      <c r="E510" t="s">
        <v>7</v>
      </c>
      <c r="F510" t="s">
        <v>9</v>
      </c>
      <c r="G510">
        <v>4017</v>
      </c>
    </row>
    <row r="511" spans="1:7" x14ac:dyDescent="0.25">
      <c r="A511">
        <v>1173</v>
      </c>
      <c r="B511">
        <v>50510</v>
      </c>
      <c r="C511" s="2">
        <v>45050.897965988661</v>
      </c>
      <c r="D511">
        <v>35</v>
      </c>
      <c r="E511" t="s">
        <v>7</v>
      </c>
      <c r="F511" t="s">
        <v>12</v>
      </c>
      <c r="G511">
        <v>2554</v>
      </c>
    </row>
    <row r="512" spans="1:7" x14ac:dyDescent="0.25">
      <c r="A512">
        <v>1220</v>
      </c>
      <c r="B512">
        <v>50511</v>
      </c>
      <c r="C512" s="2">
        <v>45051.141380460147</v>
      </c>
      <c r="D512">
        <v>36</v>
      </c>
      <c r="E512" t="s">
        <v>7</v>
      </c>
      <c r="F512" t="s">
        <v>12</v>
      </c>
      <c r="G512">
        <v>465</v>
      </c>
    </row>
    <row r="513" spans="1:7" x14ac:dyDescent="0.25">
      <c r="A513">
        <v>1058</v>
      </c>
      <c r="B513">
        <v>50512</v>
      </c>
      <c r="C513" s="2">
        <v>45051.38479493164</v>
      </c>
      <c r="D513">
        <v>60</v>
      </c>
      <c r="E513" t="s">
        <v>7</v>
      </c>
      <c r="F513" t="s">
        <v>10</v>
      </c>
      <c r="G513">
        <v>4941</v>
      </c>
    </row>
    <row r="514" spans="1:7" x14ac:dyDescent="0.25">
      <c r="A514">
        <v>1476</v>
      </c>
      <c r="B514">
        <v>50513</v>
      </c>
      <c r="C514" s="2">
        <v>45051.628209403127</v>
      </c>
      <c r="D514">
        <v>52</v>
      </c>
      <c r="E514" t="s">
        <v>7</v>
      </c>
      <c r="F514" t="s">
        <v>12</v>
      </c>
      <c r="G514">
        <v>1336</v>
      </c>
    </row>
    <row r="515" spans="1:7" x14ac:dyDescent="0.25">
      <c r="A515">
        <v>1456</v>
      </c>
      <c r="B515">
        <v>50514</v>
      </c>
      <c r="C515" s="2">
        <v>45051.87162387462</v>
      </c>
      <c r="D515">
        <v>57</v>
      </c>
      <c r="E515" t="s">
        <v>7</v>
      </c>
      <c r="F515" t="s">
        <v>11</v>
      </c>
      <c r="G515">
        <v>4749</v>
      </c>
    </row>
    <row r="516" spans="1:7" x14ac:dyDescent="0.25">
      <c r="A516">
        <v>1361</v>
      </c>
      <c r="B516">
        <v>50515</v>
      </c>
      <c r="C516" s="2">
        <v>45052.115038346114</v>
      </c>
      <c r="D516">
        <v>31</v>
      </c>
      <c r="E516" t="s">
        <v>8</v>
      </c>
      <c r="F516" t="s">
        <v>10</v>
      </c>
      <c r="G516">
        <v>1590</v>
      </c>
    </row>
    <row r="517" spans="1:7" x14ac:dyDescent="0.25">
      <c r="A517">
        <v>1001</v>
      </c>
      <c r="B517">
        <v>50516</v>
      </c>
      <c r="C517" s="2">
        <v>45052.358452817607</v>
      </c>
      <c r="D517">
        <v>50</v>
      </c>
      <c r="E517" t="s">
        <v>8</v>
      </c>
      <c r="F517" t="s">
        <v>12</v>
      </c>
      <c r="G517">
        <v>1312</v>
      </c>
    </row>
    <row r="518" spans="1:7" x14ac:dyDescent="0.25">
      <c r="A518">
        <v>1387</v>
      </c>
      <c r="B518">
        <v>50517</v>
      </c>
      <c r="C518" s="2">
        <v>45052.601867289093</v>
      </c>
      <c r="D518">
        <v>31</v>
      </c>
      <c r="E518" t="s">
        <v>7</v>
      </c>
      <c r="F518" t="s">
        <v>9</v>
      </c>
      <c r="G518">
        <v>2434</v>
      </c>
    </row>
    <row r="519" spans="1:7" x14ac:dyDescent="0.25">
      <c r="A519">
        <v>1348</v>
      </c>
      <c r="B519">
        <v>50518</v>
      </c>
      <c r="C519" s="2">
        <v>45052.845281760579</v>
      </c>
      <c r="D519">
        <v>51</v>
      </c>
      <c r="E519" t="s">
        <v>7</v>
      </c>
      <c r="F519" t="s">
        <v>9</v>
      </c>
      <c r="G519">
        <v>3066</v>
      </c>
    </row>
    <row r="520" spans="1:7" x14ac:dyDescent="0.25">
      <c r="A520">
        <v>1190</v>
      </c>
      <c r="B520">
        <v>50519</v>
      </c>
      <c r="C520" s="2">
        <v>45053.088696232073</v>
      </c>
      <c r="D520">
        <v>21</v>
      </c>
      <c r="E520" t="s">
        <v>7</v>
      </c>
      <c r="F520" t="s">
        <v>10</v>
      </c>
      <c r="G520">
        <v>3268</v>
      </c>
    </row>
    <row r="521" spans="1:7" x14ac:dyDescent="0.25">
      <c r="A521">
        <v>1505</v>
      </c>
      <c r="B521">
        <v>50520</v>
      </c>
      <c r="C521" s="2">
        <v>45053.332110703574</v>
      </c>
      <c r="D521">
        <v>41</v>
      </c>
      <c r="E521" t="s">
        <v>7</v>
      </c>
      <c r="F521" t="s">
        <v>10</v>
      </c>
      <c r="G521">
        <v>2379</v>
      </c>
    </row>
    <row r="522" spans="1:7" x14ac:dyDescent="0.25">
      <c r="A522">
        <v>1191</v>
      </c>
      <c r="B522">
        <v>50521</v>
      </c>
      <c r="C522" s="2">
        <v>45053.57552517506</v>
      </c>
      <c r="D522">
        <v>46</v>
      </c>
      <c r="E522" t="s">
        <v>7</v>
      </c>
      <c r="F522" t="s">
        <v>12</v>
      </c>
      <c r="G522">
        <v>834</v>
      </c>
    </row>
    <row r="523" spans="1:7" x14ac:dyDescent="0.25">
      <c r="A523">
        <v>1508</v>
      </c>
      <c r="B523">
        <v>50522</v>
      </c>
      <c r="C523" s="2">
        <v>45053.818939646539</v>
      </c>
      <c r="D523">
        <v>36</v>
      </c>
      <c r="E523" t="s">
        <v>8</v>
      </c>
      <c r="F523" t="s">
        <v>11</v>
      </c>
      <c r="G523">
        <v>3831</v>
      </c>
    </row>
    <row r="524" spans="1:7" x14ac:dyDescent="0.25">
      <c r="A524">
        <v>1369</v>
      </c>
      <c r="B524">
        <v>50523</v>
      </c>
      <c r="C524" s="2">
        <v>45054.062354118032</v>
      </c>
      <c r="D524">
        <v>23</v>
      </c>
      <c r="E524" t="s">
        <v>8</v>
      </c>
      <c r="F524" t="s">
        <v>12</v>
      </c>
      <c r="G524">
        <v>1599</v>
      </c>
    </row>
    <row r="525" spans="1:7" x14ac:dyDescent="0.25">
      <c r="A525">
        <v>1409</v>
      </c>
      <c r="B525">
        <v>50524</v>
      </c>
      <c r="C525" s="2">
        <v>45054.305768589533</v>
      </c>
      <c r="D525">
        <v>50</v>
      </c>
      <c r="E525" t="s">
        <v>7</v>
      </c>
      <c r="F525" t="s">
        <v>9</v>
      </c>
      <c r="G525">
        <v>4986</v>
      </c>
    </row>
    <row r="526" spans="1:7" x14ac:dyDescent="0.25">
      <c r="A526">
        <v>1117</v>
      </c>
      <c r="B526">
        <v>50525</v>
      </c>
      <c r="C526" s="2">
        <v>45054.549183061019</v>
      </c>
      <c r="D526">
        <v>57</v>
      </c>
      <c r="E526" t="s">
        <v>8</v>
      </c>
      <c r="F526" t="s">
        <v>11</v>
      </c>
      <c r="G526">
        <v>2939</v>
      </c>
    </row>
    <row r="527" spans="1:7" x14ac:dyDescent="0.25">
      <c r="A527">
        <v>1134</v>
      </c>
      <c r="B527">
        <v>50526</v>
      </c>
      <c r="C527" s="2">
        <v>45054.792597532498</v>
      </c>
      <c r="D527">
        <v>36</v>
      </c>
      <c r="E527" t="s">
        <v>7</v>
      </c>
      <c r="F527" t="s">
        <v>11</v>
      </c>
      <c r="G527">
        <v>3370</v>
      </c>
    </row>
    <row r="528" spans="1:7" x14ac:dyDescent="0.25">
      <c r="A528">
        <v>1058</v>
      </c>
      <c r="B528">
        <v>50527</v>
      </c>
      <c r="C528" s="2">
        <v>45055.036012003991</v>
      </c>
      <c r="D528">
        <v>18</v>
      </c>
      <c r="E528" t="s">
        <v>7</v>
      </c>
      <c r="F528" t="s">
        <v>11</v>
      </c>
      <c r="G528">
        <v>2065</v>
      </c>
    </row>
    <row r="529" spans="1:7" x14ac:dyDescent="0.25">
      <c r="A529">
        <v>1556</v>
      </c>
      <c r="B529">
        <v>50528</v>
      </c>
      <c r="C529" s="2">
        <v>45055.279426475478</v>
      </c>
      <c r="D529">
        <v>22</v>
      </c>
      <c r="E529" t="s">
        <v>7</v>
      </c>
      <c r="F529" t="s">
        <v>12</v>
      </c>
      <c r="G529">
        <v>2155</v>
      </c>
    </row>
    <row r="530" spans="1:7" x14ac:dyDescent="0.25">
      <c r="A530">
        <v>1173</v>
      </c>
      <c r="B530">
        <v>50529</v>
      </c>
      <c r="C530" s="2">
        <v>45055.522840946978</v>
      </c>
      <c r="D530">
        <v>44</v>
      </c>
      <c r="E530" t="s">
        <v>8</v>
      </c>
      <c r="F530" t="s">
        <v>9</v>
      </c>
      <c r="G530">
        <v>4877</v>
      </c>
    </row>
    <row r="531" spans="1:7" x14ac:dyDescent="0.25">
      <c r="A531">
        <v>1149</v>
      </c>
      <c r="B531">
        <v>50530</v>
      </c>
      <c r="C531" s="2">
        <v>45055.766255418472</v>
      </c>
      <c r="D531">
        <v>33</v>
      </c>
      <c r="E531" t="s">
        <v>8</v>
      </c>
      <c r="F531" t="s">
        <v>10</v>
      </c>
      <c r="G531">
        <v>2418</v>
      </c>
    </row>
    <row r="532" spans="1:7" x14ac:dyDescent="0.25">
      <c r="A532">
        <v>1080</v>
      </c>
      <c r="B532">
        <v>50531</v>
      </c>
      <c r="C532" s="2">
        <v>45056.009669889951</v>
      </c>
      <c r="D532">
        <v>23</v>
      </c>
      <c r="E532" t="s">
        <v>7</v>
      </c>
      <c r="F532" t="s">
        <v>12</v>
      </c>
      <c r="G532">
        <v>1589</v>
      </c>
    </row>
    <row r="533" spans="1:7" x14ac:dyDescent="0.25">
      <c r="A533">
        <v>1213</v>
      </c>
      <c r="B533">
        <v>50532</v>
      </c>
      <c r="C533" s="2">
        <v>45056.253084361437</v>
      </c>
      <c r="D533">
        <v>57</v>
      </c>
      <c r="E533" t="s">
        <v>8</v>
      </c>
      <c r="F533" t="s">
        <v>10</v>
      </c>
      <c r="G533">
        <v>3330</v>
      </c>
    </row>
    <row r="534" spans="1:7" x14ac:dyDescent="0.25">
      <c r="A534">
        <v>1203</v>
      </c>
      <c r="B534">
        <v>50533</v>
      </c>
      <c r="C534" s="2">
        <v>45056.496498832938</v>
      </c>
      <c r="D534">
        <v>30</v>
      </c>
      <c r="E534" t="s">
        <v>8</v>
      </c>
      <c r="F534" t="s">
        <v>11</v>
      </c>
      <c r="G534">
        <v>4476</v>
      </c>
    </row>
    <row r="535" spans="1:7" x14ac:dyDescent="0.25">
      <c r="A535">
        <v>1229</v>
      </c>
      <c r="B535">
        <v>50534</v>
      </c>
      <c r="C535" s="2">
        <v>45056.739913304431</v>
      </c>
      <c r="D535">
        <v>52</v>
      </c>
      <c r="E535" t="s">
        <v>7</v>
      </c>
      <c r="F535" t="s">
        <v>11</v>
      </c>
      <c r="G535">
        <v>4314</v>
      </c>
    </row>
    <row r="536" spans="1:7" x14ac:dyDescent="0.25">
      <c r="A536">
        <v>1227</v>
      </c>
      <c r="B536">
        <v>50535</v>
      </c>
      <c r="C536" s="2">
        <v>45056.983327775917</v>
      </c>
      <c r="D536">
        <v>36</v>
      </c>
      <c r="E536" t="s">
        <v>8</v>
      </c>
      <c r="F536" t="s">
        <v>12</v>
      </c>
      <c r="G536">
        <v>1449</v>
      </c>
    </row>
    <row r="537" spans="1:7" x14ac:dyDescent="0.25">
      <c r="A537">
        <v>1532</v>
      </c>
      <c r="B537">
        <v>50536</v>
      </c>
      <c r="C537" s="2">
        <v>45057.226742247411</v>
      </c>
      <c r="D537">
        <v>29</v>
      </c>
      <c r="E537" t="s">
        <v>8</v>
      </c>
      <c r="F537" t="s">
        <v>9</v>
      </c>
      <c r="G537">
        <v>3366</v>
      </c>
    </row>
    <row r="538" spans="1:7" x14ac:dyDescent="0.25">
      <c r="A538">
        <v>1441</v>
      </c>
      <c r="B538">
        <v>50537</v>
      </c>
      <c r="C538" s="2">
        <v>45057.470156718897</v>
      </c>
      <c r="D538">
        <v>33</v>
      </c>
      <c r="E538" t="s">
        <v>7</v>
      </c>
      <c r="F538" t="s">
        <v>11</v>
      </c>
      <c r="G538">
        <v>1445</v>
      </c>
    </row>
    <row r="539" spans="1:7" x14ac:dyDescent="0.25">
      <c r="A539">
        <v>1402</v>
      </c>
      <c r="B539">
        <v>50538</v>
      </c>
      <c r="C539" s="2">
        <v>45057.71357119039</v>
      </c>
      <c r="D539">
        <v>60</v>
      </c>
      <c r="E539" t="s">
        <v>7</v>
      </c>
      <c r="F539" t="s">
        <v>10</v>
      </c>
      <c r="G539">
        <v>253</v>
      </c>
    </row>
    <row r="540" spans="1:7" x14ac:dyDescent="0.25">
      <c r="A540">
        <v>1047</v>
      </c>
      <c r="B540">
        <v>50539</v>
      </c>
      <c r="C540" s="2">
        <v>45057.956985661876</v>
      </c>
      <c r="D540">
        <v>27</v>
      </c>
      <c r="E540" t="s">
        <v>8</v>
      </c>
      <c r="F540" t="s">
        <v>10</v>
      </c>
      <c r="G540">
        <v>3110</v>
      </c>
    </row>
    <row r="541" spans="1:7" x14ac:dyDescent="0.25">
      <c r="A541">
        <v>1233</v>
      </c>
      <c r="B541">
        <v>50540</v>
      </c>
      <c r="C541" s="2">
        <v>45058.20040013337</v>
      </c>
      <c r="D541">
        <v>42</v>
      </c>
      <c r="E541" t="s">
        <v>7</v>
      </c>
      <c r="F541" t="s">
        <v>12</v>
      </c>
      <c r="G541">
        <v>2596</v>
      </c>
    </row>
    <row r="542" spans="1:7" x14ac:dyDescent="0.25">
      <c r="A542">
        <v>1305</v>
      </c>
      <c r="B542">
        <v>50541</v>
      </c>
      <c r="C542" s="2">
        <v>45058.443814604863</v>
      </c>
      <c r="D542">
        <v>37</v>
      </c>
      <c r="E542" t="s">
        <v>8</v>
      </c>
      <c r="F542" t="s">
        <v>10</v>
      </c>
      <c r="G542">
        <v>642</v>
      </c>
    </row>
    <row r="543" spans="1:7" x14ac:dyDescent="0.25">
      <c r="A543">
        <v>1526</v>
      </c>
      <c r="B543">
        <v>50542</v>
      </c>
      <c r="C543" s="2">
        <v>45058.687229076357</v>
      </c>
      <c r="D543">
        <v>48</v>
      </c>
      <c r="E543" t="s">
        <v>7</v>
      </c>
      <c r="F543" t="s">
        <v>9</v>
      </c>
      <c r="G543">
        <v>4875</v>
      </c>
    </row>
    <row r="544" spans="1:7" x14ac:dyDescent="0.25">
      <c r="A544">
        <v>1143</v>
      </c>
      <c r="B544">
        <v>50543</v>
      </c>
      <c r="C544" s="2">
        <v>45058.93064354785</v>
      </c>
      <c r="D544">
        <v>21</v>
      </c>
      <c r="E544" t="s">
        <v>7</v>
      </c>
      <c r="F544" t="s">
        <v>11</v>
      </c>
      <c r="G544">
        <v>3811</v>
      </c>
    </row>
    <row r="545" spans="1:7" x14ac:dyDescent="0.25">
      <c r="A545">
        <v>1415</v>
      </c>
      <c r="B545">
        <v>50544</v>
      </c>
      <c r="C545" s="2">
        <v>45059.174058019329</v>
      </c>
      <c r="D545">
        <v>61</v>
      </c>
      <c r="E545" t="s">
        <v>7</v>
      </c>
      <c r="F545" t="s">
        <v>10</v>
      </c>
      <c r="G545">
        <v>4577</v>
      </c>
    </row>
    <row r="546" spans="1:7" x14ac:dyDescent="0.25">
      <c r="A546">
        <v>1513</v>
      </c>
      <c r="B546">
        <v>50545</v>
      </c>
      <c r="C546" s="2">
        <v>45059.417472490823</v>
      </c>
      <c r="D546">
        <v>40</v>
      </c>
      <c r="E546" t="s">
        <v>7</v>
      </c>
      <c r="F546" t="s">
        <v>10</v>
      </c>
      <c r="G546">
        <v>2607</v>
      </c>
    </row>
    <row r="547" spans="1:7" x14ac:dyDescent="0.25">
      <c r="A547">
        <v>1373</v>
      </c>
      <c r="B547">
        <v>50546</v>
      </c>
      <c r="C547" s="2">
        <v>45059.660886962323</v>
      </c>
      <c r="D547">
        <v>19</v>
      </c>
      <c r="E547" t="s">
        <v>8</v>
      </c>
      <c r="F547" t="s">
        <v>11</v>
      </c>
      <c r="G547">
        <v>1022</v>
      </c>
    </row>
    <row r="548" spans="1:7" x14ac:dyDescent="0.25">
      <c r="A548">
        <v>1566</v>
      </c>
      <c r="B548">
        <v>50547</v>
      </c>
      <c r="C548" s="2">
        <v>45059.904301433809</v>
      </c>
      <c r="D548">
        <v>39</v>
      </c>
      <c r="E548" t="s">
        <v>7</v>
      </c>
      <c r="F548" t="s">
        <v>12</v>
      </c>
      <c r="G548">
        <v>3902</v>
      </c>
    </row>
    <row r="549" spans="1:7" x14ac:dyDescent="0.25">
      <c r="A549">
        <v>1259</v>
      </c>
      <c r="B549">
        <v>50548</v>
      </c>
      <c r="C549" s="2">
        <v>45060.147715905303</v>
      </c>
      <c r="D549">
        <v>54</v>
      </c>
      <c r="E549" t="s">
        <v>7</v>
      </c>
      <c r="F549" t="s">
        <v>10</v>
      </c>
      <c r="G549">
        <v>3139</v>
      </c>
    </row>
    <row r="550" spans="1:7" x14ac:dyDescent="0.25">
      <c r="A550">
        <v>1471</v>
      </c>
      <c r="B550">
        <v>50549</v>
      </c>
      <c r="C550" s="2">
        <v>45060.391130376782</v>
      </c>
      <c r="D550">
        <v>25</v>
      </c>
      <c r="E550" t="s">
        <v>7</v>
      </c>
      <c r="F550" t="s">
        <v>12</v>
      </c>
      <c r="G550">
        <v>4936</v>
      </c>
    </row>
    <row r="551" spans="1:7" x14ac:dyDescent="0.25">
      <c r="A551">
        <v>1012</v>
      </c>
      <c r="B551">
        <v>50550</v>
      </c>
      <c r="C551" s="2">
        <v>45060.634544848283</v>
      </c>
      <c r="D551">
        <v>24</v>
      </c>
      <c r="E551" t="s">
        <v>8</v>
      </c>
      <c r="F551" t="s">
        <v>12</v>
      </c>
      <c r="G551">
        <v>1231</v>
      </c>
    </row>
    <row r="552" spans="1:7" x14ac:dyDescent="0.25">
      <c r="A552">
        <v>1330</v>
      </c>
      <c r="B552">
        <v>50551</v>
      </c>
      <c r="C552" s="2">
        <v>45060.877959319769</v>
      </c>
      <c r="D552">
        <v>31</v>
      </c>
      <c r="E552" t="s">
        <v>8</v>
      </c>
      <c r="F552" t="s">
        <v>10</v>
      </c>
      <c r="G552">
        <v>2216</v>
      </c>
    </row>
    <row r="553" spans="1:7" x14ac:dyDescent="0.25">
      <c r="A553">
        <v>1358</v>
      </c>
      <c r="B553">
        <v>50552</v>
      </c>
      <c r="C553" s="2">
        <v>45061.121373791262</v>
      </c>
      <c r="D553">
        <v>20</v>
      </c>
      <c r="E553" t="s">
        <v>7</v>
      </c>
      <c r="F553" t="s">
        <v>9</v>
      </c>
      <c r="G553">
        <v>762</v>
      </c>
    </row>
    <row r="554" spans="1:7" x14ac:dyDescent="0.25">
      <c r="A554">
        <v>1408</v>
      </c>
      <c r="B554">
        <v>50553</v>
      </c>
      <c r="C554" s="2">
        <v>45061.364788262741</v>
      </c>
      <c r="D554">
        <v>33</v>
      </c>
      <c r="E554" t="s">
        <v>7</v>
      </c>
      <c r="F554" t="s">
        <v>12</v>
      </c>
      <c r="G554">
        <v>2738</v>
      </c>
    </row>
    <row r="555" spans="1:7" x14ac:dyDescent="0.25">
      <c r="A555">
        <v>1373</v>
      </c>
      <c r="B555">
        <v>50554</v>
      </c>
      <c r="C555" s="2">
        <v>45061.608202734227</v>
      </c>
      <c r="D555">
        <v>36</v>
      </c>
      <c r="E555" t="s">
        <v>7</v>
      </c>
      <c r="F555" t="s">
        <v>10</v>
      </c>
      <c r="G555">
        <v>540</v>
      </c>
    </row>
    <row r="556" spans="1:7" x14ac:dyDescent="0.25">
      <c r="A556">
        <v>1008</v>
      </c>
      <c r="B556">
        <v>50555</v>
      </c>
      <c r="C556" s="2">
        <v>45061.851617205728</v>
      </c>
      <c r="D556">
        <v>35</v>
      </c>
      <c r="E556" t="s">
        <v>7</v>
      </c>
      <c r="F556" t="s">
        <v>12</v>
      </c>
      <c r="G556">
        <v>4767</v>
      </c>
    </row>
    <row r="557" spans="1:7" x14ac:dyDescent="0.25">
      <c r="A557">
        <v>1122</v>
      </c>
      <c r="B557">
        <v>50556</v>
      </c>
      <c r="C557" s="2">
        <v>45062.095031677221</v>
      </c>
      <c r="D557">
        <v>33</v>
      </c>
      <c r="E557" t="s">
        <v>7</v>
      </c>
      <c r="F557" t="s">
        <v>11</v>
      </c>
      <c r="G557">
        <v>3975</v>
      </c>
    </row>
    <row r="558" spans="1:7" x14ac:dyDescent="0.25">
      <c r="A558">
        <v>1348</v>
      </c>
      <c r="B558">
        <v>50557</v>
      </c>
      <c r="C558" s="2">
        <v>45062.338446148708</v>
      </c>
      <c r="D558">
        <v>25</v>
      </c>
      <c r="E558" t="s">
        <v>7</v>
      </c>
      <c r="F558" t="s">
        <v>9</v>
      </c>
      <c r="G558">
        <v>2496</v>
      </c>
    </row>
    <row r="559" spans="1:7" x14ac:dyDescent="0.25">
      <c r="A559">
        <v>1090</v>
      </c>
      <c r="B559">
        <v>50558</v>
      </c>
      <c r="C559" s="2">
        <v>45062.581860620186</v>
      </c>
      <c r="D559">
        <v>50</v>
      </c>
      <c r="E559" t="s">
        <v>8</v>
      </c>
      <c r="F559" t="s">
        <v>9</v>
      </c>
      <c r="G559">
        <v>434</v>
      </c>
    </row>
    <row r="560" spans="1:7" x14ac:dyDescent="0.25">
      <c r="A560">
        <v>1316</v>
      </c>
      <c r="B560">
        <v>50559</v>
      </c>
      <c r="C560" s="2">
        <v>45062.825275091687</v>
      </c>
      <c r="D560">
        <v>29</v>
      </c>
      <c r="E560" t="s">
        <v>7</v>
      </c>
      <c r="F560" t="s">
        <v>11</v>
      </c>
      <c r="G560">
        <v>1316</v>
      </c>
    </row>
    <row r="561" spans="1:7" x14ac:dyDescent="0.25">
      <c r="A561">
        <v>1178</v>
      </c>
      <c r="B561">
        <v>50560</v>
      </c>
      <c r="C561" s="2">
        <v>45063.068689563181</v>
      </c>
      <c r="D561">
        <v>28</v>
      </c>
      <c r="E561" t="s">
        <v>7</v>
      </c>
      <c r="F561" t="s">
        <v>11</v>
      </c>
      <c r="G561">
        <v>2108</v>
      </c>
    </row>
    <row r="562" spans="1:7" x14ac:dyDescent="0.25">
      <c r="A562">
        <v>1540</v>
      </c>
      <c r="B562">
        <v>50561</v>
      </c>
      <c r="C562" s="2">
        <v>45063.312104034667</v>
      </c>
      <c r="D562">
        <v>22</v>
      </c>
      <c r="E562" t="s">
        <v>7</v>
      </c>
      <c r="F562" t="s">
        <v>12</v>
      </c>
      <c r="G562">
        <v>1617</v>
      </c>
    </row>
    <row r="563" spans="1:7" x14ac:dyDescent="0.25">
      <c r="A563">
        <v>1041</v>
      </c>
      <c r="B563">
        <v>50562</v>
      </c>
      <c r="C563" s="2">
        <v>45063.55551850616</v>
      </c>
      <c r="D563">
        <v>44</v>
      </c>
      <c r="E563" t="s">
        <v>7</v>
      </c>
      <c r="F563" t="s">
        <v>11</v>
      </c>
      <c r="G563">
        <v>1491</v>
      </c>
    </row>
    <row r="564" spans="1:7" x14ac:dyDescent="0.25">
      <c r="A564">
        <v>1502</v>
      </c>
      <c r="B564">
        <v>50563</v>
      </c>
      <c r="C564" s="2">
        <v>45063.798932977646</v>
      </c>
      <c r="D564">
        <v>29</v>
      </c>
      <c r="E564" t="s">
        <v>7</v>
      </c>
      <c r="F564" t="s">
        <v>9</v>
      </c>
      <c r="G564">
        <v>3688</v>
      </c>
    </row>
    <row r="565" spans="1:7" x14ac:dyDescent="0.25">
      <c r="A565">
        <v>1145</v>
      </c>
      <c r="B565">
        <v>50564</v>
      </c>
      <c r="C565" s="2">
        <v>45064.04234744914</v>
      </c>
      <c r="D565">
        <v>34</v>
      </c>
      <c r="E565" t="s">
        <v>7</v>
      </c>
      <c r="F565" t="s">
        <v>11</v>
      </c>
      <c r="G565">
        <v>4927</v>
      </c>
    </row>
    <row r="566" spans="1:7" x14ac:dyDescent="0.25">
      <c r="A566">
        <v>1201</v>
      </c>
      <c r="B566">
        <v>50565</v>
      </c>
      <c r="C566" s="2">
        <v>45064.285761920633</v>
      </c>
      <c r="D566">
        <v>23</v>
      </c>
      <c r="E566" t="s">
        <v>8</v>
      </c>
      <c r="F566" t="s">
        <v>10</v>
      </c>
      <c r="G566">
        <v>3854</v>
      </c>
    </row>
    <row r="567" spans="1:7" x14ac:dyDescent="0.25">
      <c r="A567">
        <v>1461</v>
      </c>
      <c r="B567">
        <v>50566</v>
      </c>
      <c r="C567" s="2">
        <v>45064.529176392127</v>
      </c>
      <c r="D567">
        <v>50</v>
      </c>
      <c r="E567" t="s">
        <v>8</v>
      </c>
      <c r="F567" t="s">
        <v>10</v>
      </c>
      <c r="G567">
        <v>728</v>
      </c>
    </row>
    <row r="568" spans="1:7" x14ac:dyDescent="0.25">
      <c r="A568">
        <v>1558</v>
      </c>
      <c r="B568">
        <v>50567</v>
      </c>
      <c r="C568" s="2">
        <v>45064.772590863613</v>
      </c>
      <c r="D568">
        <v>22</v>
      </c>
      <c r="E568" t="s">
        <v>8</v>
      </c>
      <c r="F568" t="s">
        <v>12</v>
      </c>
      <c r="G568">
        <v>3524</v>
      </c>
    </row>
    <row r="569" spans="1:7" x14ac:dyDescent="0.25">
      <c r="A569">
        <v>1547</v>
      </c>
      <c r="B569">
        <v>50568</v>
      </c>
      <c r="C569" s="2">
        <v>45065.016005335106</v>
      </c>
      <c r="D569">
        <v>45</v>
      </c>
      <c r="E569" t="s">
        <v>8</v>
      </c>
      <c r="F569" t="s">
        <v>9</v>
      </c>
      <c r="G569">
        <v>2180</v>
      </c>
    </row>
    <row r="570" spans="1:7" x14ac:dyDescent="0.25">
      <c r="A570">
        <v>1253</v>
      </c>
      <c r="B570">
        <v>50569</v>
      </c>
      <c r="C570" s="2">
        <v>45065.2594198066</v>
      </c>
      <c r="D570">
        <v>31</v>
      </c>
      <c r="E570" t="s">
        <v>8</v>
      </c>
      <c r="F570" t="s">
        <v>10</v>
      </c>
      <c r="G570">
        <v>3139</v>
      </c>
    </row>
    <row r="571" spans="1:7" x14ac:dyDescent="0.25">
      <c r="A571">
        <v>1390</v>
      </c>
      <c r="B571">
        <v>50570</v>
      </c>
      <c r="C571" s="2">
        <v>45065.502834278093</v>
      </c>
      <c r="D571">
        <v>22</v>
      </c>
      <c r="E571" t="s">
        <v>8</v>
      </c>
      <c r="F571" t="s">
        <v>11</v>
      </c>
      <c r="G571">
        <v>1529</v>
      </c>
    </row>
    <row r="572" spans="1:7" x14ac:dyDescent="0.25">
      <c r="A572">
        <v>1594</v>
      </c>
      <c r="B572">
        <v>50571</v>
      </c>
      <c r="C572" s="2">
        <v>45065.746248749572</v>
      </c>
      <c r="D572">
        <v>50</v>
      </c>
      <c r="E572" t="s">
        <v>7</v>
      </c>
      <c r="F572" t="s">
        <v>10</v>
      </c>
      <c r="G572">
        <v>1433</v>
      </c>
    </row>
    <row r="573" spans="1:7" x14ac:dyDescent="0.25">
      <c r="A573">
        <v>1256</v>
      </c>
      <c r="B573">
        <v>50572</v>
      </c>
      <c r="C573" s="2">
        <v>45065.989663221073</v>
      </c>
      <c r="D573">
        <v>58</v>
      </c>
      <c r="E573" t="s">
        <v>7</v>
      </c>
      <c r="F573" t="s">
        <v>10</v>
      </c>
      <c r="G573">
        <v>1953</v>
      </c>
    </row>
    <row r="574" spans="1:7" x14ac:dyDescent="0.25">
      <c r="A574">
        <v>1450</v>
      </c>
      <c r="B574">
        <v>50573</v>
      </c>
      <c r="C574" s="2">
        <v>45066.233077692559</v>
      </c>
      <c r="D574">
        <v>36</v>
      </c>
      <c r="E574" t="s">
        <v>7</v>
      </c>
      <c r="F574" t="s">
        <v>12</v>
      </c>
      <c r="G574">
        <v>3000</v>
      </c>
    </row>
    <row r="575" spans="1:7" x14ac:dyDescent="0.25">
      <c r="A575">
        <v>1010</v>
      </c>
      <c r="B575">
        <v>50574</v>
      </c>
      <c r="C575" s="2">
        <v>45066.476492164053</v>
      </c>
      <c r="D575">
        <v>39</v>
      </c>
      <c r="E575" t="s">
        <v>7</v>
      </c>
      <c r="F575" t="s">
        <v>11</v>
      </c>
      <c r="G575">
        <v>3133</v>
      </c>
    </row>
    <row r="576" spans="1:7" x14ac:dyDescent="0.25">
      <c r="A576">
        <v>1242</v>
      </c>
      <c r="B576">
        <v>50575</v>
      </c>
      <c r="C576" s="2">
        <v>45066.719906635553</v>
      </c>
      <c r="D576">
        <v>22</v>
      </c>
      <c r="E576" t="s">
        <v>7</v>
      </c>
      <c r="F576" t="s">
        <v>11</v>
      </c>
      <c r="G576">
        <v>2959</v>
      </c>
    </row>
    <row r="577" spans="1:7" x14ac:dyDescent="0.25">
      <c r="A577">
        <v>1251</v>
      </c>
      <c r="B577">
        <v>50576</v>
      </c>
      <c r="C577" s="2">
        <v>45066.963321107018</v>
      </c>
      <c r="D577">
        <v>19</v>
      </c>
      <c r="E577" t="s">
        <v>7</v>
      </c>
      <c r="F577" t="s">
        <v>11</v>
      </c>
      <c r="G577">
        <v>2975</v>
      </c>
    </row>
    <row r="578" spans="1:7" x14ac:dyDescent="0.25">
      <c r="A578">
        <v>1005</v>
      </c>
      <c r="B578">
        <v>50577</v>
      </c>
      <c r="C578" s="2">
        <v>45067.206735578518</v>
      </c>
      <c r="D578">
        <v>47</v>
      </c>
      <c r="E578" t="s">
        <v>8</v>
      </c>
      <c r="F578" t="s">
        <v>12</v>
      </c>
      <c r="G578">
        <v>3687</v>
      </c>
    </row>
    <row r="579" spans="1:7" x14ac:dyDescent="0.25">
      <c r="A579">
        <v>1119</v>
      </c>
      <c r="B579">
        <v>50578</v>
      </c>
      <c r="C579" s="2">
        <v>45067.450150050012</v>
      </c>
      <c r="D579">
        <v>64</v>
      </c>
      <c r="E579" t="s">
        <v>7</v>
      </c>
      <c r="F579" t="s">
        <v>11</v>
      </c>
      <c r="G579">
        <v>4050</v>
      </c>
    </row>
    <row r="580" spans="1:7" x14ac:dyDescent="0.25">
      <c r="A580">
        <v>1374</v>
      </c>
      <c r="B580">
        <v>50579</v>
      </c>
      <c r="C580" s="2">
        <v>45067.693564521513</v>
      </c>
      <c r="D580">
        <v>56</v>
      </c>
      <c r="E580" t="s">
        <v>8</v>
      </c>
      <c r="F580" t="s">
        <v>11</v>
      </c>
      <c r="G580">
        <v>2727</v>
      </c>
    </row>
    <row r="581" spans="1:7" x14ac:dyDescent="0.25">
      <c r="A581">
        <v>1065</v>
      </c>
      <c r="B581">
        <v>50580</v>
      </c>
      <c r="C581" s="2">
        <v>45067.936978992977</v>
      </c>
      <c r="D581">
        <v>21</v>
      </c>
      <c r="E581" t="s">
        <v>8</v>
      </c>
      <c r="F581" t="s">
        <v>10</v>
      </c>
      <c r="G581">
        <v>1090</v>
      </c>
    </row>
    <row r="582" spans="1:7" x14ac:dyDescent="0.25">
      <c r="A582">
        <v>1146</v>
      </c>
      <c r="B582">
        <v>50581</v>
      </c>
      <c r="C582" s="2">
        <v>45068.180393464478</v>
      </c>
      <c r="D582">
        <v>50</v>
      </c>
      <c r="E582" t="s">
        <v>7</v>
      </c>
      <c r="F582" t="s">
        <v>10</v>
      </c>
      <c r="G582">
        <v>2265</v>
      </c>
    </row>
    <row r="583" spans="1:7" x14ac:dyDescent="0.25">
      <c r="A583">
        <v>1224</v>
      </c>
      <c r="B583">
        <v>50582</v>
      </c>
      <c r="C583" s="2">
        <v>45068.423807935971</v>
      </c>
      <c r="D583">
        <v>30</v>
      </c>
      <c r="E583" t="s">
        <v>7</v>
      </c>
      <c r="F583" t="s">
        <v>11</v>
      </c>
      <c r="G583">
        <v>1388</v>
      </c>
    </row>
    <row r="584" spans="1:7" x14ac:dyDescent="0.25">
      <c r="A584">
        <v>1239</v>
      </c>
      <c r="B584">
        <v>50583</v>
      </c>
      <c r="C584" s="2">
        <v>45068.667222407457</v>
      </c>
      <c r="D584">
        <v>37</v>
      </c>
      <c r="E584" t="s">
        <v>7</v>
      </c>
      <c r="F584" t="s">
        <v>9</v>
      </c>
      <c r="G584">
        <v>4497</v>
      </c>
    </row>
    <row r="585" spans="1:7" x14ac:dyDescent="0.25">
      <c r="A585">
        <v>1177</v>
      </c>
      <c r="B585">
        <v>50584</v>
      </c>
      <c r="C585" s="2">
        <v>45068.910636878958</v>
      </c>
      <c r="D585">
        <v>24</v>
      </c>
      <c r="E585" t="s">
        <v>7</v>
      </c>
      <c r="F585" t="s">
        <v>9</v>
      </c>
      <c r="G585">
        <v>940</v>
      </c>
    </row>
    <row r="586" spans="1:7" x14ac:dyDescent="0.25">
      <c r="A586">
        <v>1282</v>
      </c>
      <c r="B586">
        <v>50585</v>
      </c>
      <c r="C586" s="2">
        <v>45069.154051350437</v>
      </c>
      <c r="D586">
        <v>32</v>
      </c>
      <c r="E586" t="s">
        <v>7</v>
      </c>
      <c r="F586" t="s">
        <v>11</v>
      </c>
      <c r="G586">
        <v>1569</v>
      </c>
    </row>
    <row r="587" spans="1:7" x14ac:dyDescent="0.25">
      <c r="A587">
        <v>1063</v>
      </c>
      <c r="B587">
        <v>50586</v>
      </c>
      <c r="C587" s="2">
        <v>45069.39746582193</v>
      </c>
      <c r="D587">
        <v>40</v>
      </c>
      <c r="E587" t="s">
        <v>7</v>
      </c>
      <c r="F587" t="s">
        <v>9</v>
      </c>
      <c r="G587">
        <v>1589</v>
      </c>
    </row>
    <row r="588" spans="1:7" x14ac:dyDescent="0.25">
      <c r="A588">
        <v>1217</v>
      </c>
      <c r="B588">
        <v>50587</v>
      </c>
      <c r="C588" s="2">
        <v>45069.640880293417</v>
      </c>
      <c r="D588">
        <v>31</v>
      </c>
      <c r="E588" t="s">
        <v>7</v>
      </c>
      <c r="F588" t="s">
        <v>12</v>
      </c>
      <c r="G588">
        <v>2200</v>
      </c>
    </row>
    <row r="589" spans="1:7" x14ac:dyDescent="0.25">
      <c r="A589">
        <v>1461</v>
      </c>
      <c r="B589">
        <v>50588</v>
      </c>
      <c r="C589" s="2">
        <v>45069.884294764917</v>
      </c>
      <c r="D589">
        <v>40</v>
      </c>
      <c r="E589" t="s">
        <v>8</v>
      </c>
      <c r="F589" t="s">
        <v>10</v>
      </c>
      <c r="G589">
        <v>1671</v>
      </c>
    </row>
    <row r="590" spans="1:7" x14ac:dyDescent="0.25">
      <c r="A590">
        <v>1105</v>
      </c>
      <c r="B590">
        <v>50589</v>
      </c>
      <c r="C590" s="2">
        <v>45070.127709236411</v>
      </c>
      <c r="D590">
        <v>36</v>
      </c>
      <c r="E590" t="s">
        <v>7</v>
      </c>
      <c r="F590" t="s">
        <v>12</v>
      </c>
      <c r="G590">
        <v>1736</v>
      </c>
    </row>
    <row r="591" spans="1:7" x14ac:dyDescent="0.25">
      <c r="A591">
        <v>1099</v>
      </c>
      <c r="B591">
        <v>50590</v>
      </c>
      <c r="C591" s="2">
        <v>45070.371123707897</v>
      </c>
      <c r="D591">
        <v>46</v>
      </c>
      <c r="E591" t="s">
        <v>7</v>
      </c>
      <c r="F591" t="s">
        <v>10</v>
      </c>
      <c r="G591">
        <v>518</v>
      </c>
    </row>
    <row r="592" spans="1:7" x14ac:dyDescent="0.25">
      <c r="A592">
        <v>1511</v>
      </c>
      <c r="B592">
        <v>50591</v>
      </c>
      <c r="C592" s="2">
        <v>45070.614538179383</v>
      </c>
      <c r="D592">
        <v>37</v>
      </c>
      <c r="E592" t="s">
        <v>8</v>
      </c>
      <c r="F592" t="s">
        <v>9</v>
      </c>
      <c r="G592">
        <v>2464</v>
      </c>
    </row>
    <row r="593" spans="1:7" x14ac:dyDescent="0.25">
      <c r="A593">
        <v>1385</v>
      </c>
      <c r="B593">
        <v>50592</v>
      </c>
      <c r="C593" s="2">
        <v>45070.857952650877</v>
      </c>
      <c r="D593">
        <v>46</v>
      </c>
      <c r="E593" t="s">
        <v>7</v>
      </c>
      <c r="F593" t="s">
        <v>9</v>
      </c>
      <c r="G593">
        <v>2094</v>
      </c>
    </row>
    <row r="594" spans="1:7" x14ac:dyDescent="0.25">
      <c r="A594">
        <v>1405</v>
      </c>
      <c r="B594">
        <v>50593</v>
      </c>
      <c r="C594" s="2">
        <v>45071.10136712237</v>
      </c>
      <c r="D594">
        <v>41</v>
      </c>
      <c r="E594" t="s">
        <v>7</v>
      </c>
      <c r="F594" t="s">
        <v>11</v>
      </c>
      <c r="G594">
        <v>3911</v>
      </c>
    </row>
    <row r="595" spans="1:7" x14ac:dyDescent="0.25">
      <c r="A595">
        <v>1518</v>
      </c>
      <c r="B595">
        <v>50594</v>
      </c>
      <c r="C595" s="2">
        <v>45071.344781593863</v>
      </c>
      <c r="D595">
        <v>35</v>
      </c>
      <c r="E595" t="s">
        <v>8</v>
      </c>
      <c r="F595" t="s">
        <v>9</v>
      </c>
      <c r="G595">
        <v>3022</v>
      </c>
    </row>
    <row r="596" spans="1:7" x14ac:dyDescent="0.25">
      <c r="A596">
        <v>1476</v>
      </c>
      <c r="B596">
        <v>50595</v>
      </c>
      <c r="C596" s="2">
        <v>45071.58819606535</v>
      </c>
      <c r="D596">
        <v>27</v>
      </c>
      <c r="E596" t="s">
        <v>7</v>
      </c>
      <c r="F596" t="s">
        <v>9</v>
      </c>
      <c r="G596">
        <v>4708</v>
      </c>
    </row>
    <row r="597" spans="1:7" x14ac:dyDescent="0.25">
      <c r="A597">
        <v>1437</v>
      </c>
      <c r="B597">
        <v>50596</v>
      </c>
      <c r="C597" s="2">
        <v>45071.831610536843</v>
      </c>
      <c r="D597">
        <v>58</v>
      </c>
      <c r="E597" t="s">
        <v>7</v>
      </c>
      <c r="F597" t="s">
        <v>11</v>
      </c>
      <c r="G597">
        <v>1475</v>
      </c>
    </row>
    <row r="598" spans="1:7" x14ac:dyDescent="0.25">
      <c r="A598">
        <v>1023</v>
      </c>
      <c r="B598">
        <v>50597</v>
      </c>
      <c r="C598" s="2">
        <v>45072.075025008337</v>
      </c>
      <c r="D598">
        <v>25</v>
      </c>
      <c r="E598" t="s">
        <v>7</v>
      </c>
      <c r="F598" t="s">
        <v>11</v>
      </c>
      <c r="G598">
        <v>3283</v>
      </c>
    </row>
    <row r="599" spans="1:7" x14ac:dyDescent="0.25">
      <c r="A599">
        <v>1565</v>
      </c>
      <c r="B599">
        <v>50598</v>
      </c>
      <c r="C599" s="2">
        <v>45072.31843947983</v>
      </c>
      <c r="D599">
        <v>43</v>
      </c>
      <c r="E599" t="s">
        <v>7</v>
      </c>
      <c r="F599" t="s">
        <v>10</v>
      </c>
      <c r="G599">
        <v>600</v>
      </c>
    </row>
    <row r="600" spans="1:7" x14ac:dyDescent="0.25">
      <c r="A600">
        <v>1458</v>
      </c>
      <c r="B600">
        <v>50599</v>
      </c>
      <c r="C600" s="2">
        <v>45072.561853951309</v>
      </c>
      <c r="D600">
        <v>46</v>
      </c>
      <c r="E600" t="s">
        <v>7</v>
      </c>
      <c r="F600" t="s">
        <v>9</v>
      </c>
      <c r="G600">
        <v>923</v>
      </c>
    </row>
    <row r="601" spans="1:7" x14ac:dyDescent="0.25">
      <c r="A601">
        <v>1083</v>
      </c>
      <c r="B601">
        <v>50600</v>
      </c>
      <c r="C601" s="2">
        <v>45072.805268422802</v>
      </c>
      <c r="D601">
        <v>27</v>
      </c>
      <c r="E601" t="s">
        <v>7</v>
      </c>
      <c r="F601" t="s">
        <v>10</v>
      </c>
      <c r="G601">
        <v>2529</v>
      </c>
    </row>
    <row r="602" spans="1:7" x14ac:dyDescent="0.25">
      <c r="A602">
        <v>1145</v>
      </c>
      <c r="B602">
        <v>50601</v>
      </c>
      <c r="C602" s="2">
        <v>45073.048682894303</v>
      </c>
      <c r="D602">
        <v>34</v>
      </c>
      <c r="E602" t="s">
        <v>8</v>
      </c>
      <c r="F602" t="s">
        <v>10</v>
      </c>
      <c r="G602">
        <v>1335</v>
      </c>
    </row>
    <row r="603" spans="1:7" x14ac:dyDescent="0.25">
      <c r="A603">
        <v>1085</v>
      </c>
      <c r="B603">
        <v>50602</v>
      </c>
      <c r="C603" s="2">
        <v>45073.292097365789</v>
      </c>
      <c r="D603">
        <v>19</v>
      </c>
      <c r="E603" t="s">
        <v>7</v>
      </c>
      <c r="F603" t="s">
        <v>12</v>
      </c>
      <c r="G603">
        <v>2970</v>
      </c>
    </row>
    <row r="604" spans="1:7" x14ac:dyDescent="0.25">
      <c r="A604">
        <v>1078</v>
      </c>
      <c r="B604">
        <v>50603</v>
      </c>
      <c r="C604" s="2">
        <v>45073.535511837268</v>
      </c>
      <c r="D604">
        <v>23</v>
      </c>
      <c r="E604" t="s">
        <v>7</v>
      </c>
      <c r="F604" t="s">
        <v>9</v>
      </c>
      <c r="G604">
        <v>467</v>
      </c>
    </row>
    <row r="605" spans="1:7" x14ac:dyDescent="0.25">
      <c r="A605">
        <v>1457</v>
      </c>
      <c r="B605">
        <v>50604</v>
      </c>
      <c r="C605" s="2">
        <v>45073.778926308762</v>
      </c>
      <c r="D605">
        <v>22</v>
      </c>
      <c r="E605" t="s">
        <v>8</v>
      </c>
      <c r="F605" t="s">
        <v>9</v>
      </c>
      <c r="G605">
        <v>769</v>
      </c>
    </row>
    <row r="606" spans="1:7" x14ac:dyDescent="0.25">
      <c r="A606">
        <v>1001</v>
      </c>
      <c r="B606">
        <v>50605</v>
      </c>
      <c r="C606" s="2">
        <v>45074.022340780262</v>
      </c>
      <c r="D606">
        <v>45</v>
      </c>
      <c r="E606" t="s">
        <v>8</v>
      </c>
      <c r="F606" t="s">
        <v>12</v>
      </c>
      <c r="G606">
        <v>2756</v>
      </c>
    </row>
    <row r="607" spans="1:7" x14ac:dyDescent="0.25">
      <c r="A607">
        <v>1051</v>
      </c>
      <c r="B607">
        <v>50606</v>
      </c>
      <c r="C607" s="2">
        <v>45074.265755251748</v>
      </c>
      <c r="D607">
        <v>58</v>
      </c>
      <c r="E607" t="s">
        <v>7</v>
      </c>
      <c r="F607" t="s">
        <v>10</v>
      </c>
      <c r="G607">
        <v>2173</v>
      </c>
    </row>
    <row r="608" spans="1:7" x14ac:dyDescent="0.25">
      <c r="A608">
        <v>1446</v>
      </c>
      <c r="B608">
        <v>50607</v>
      </c>
      <c r="C608" s="2">
        <v>45074.509169723242</v>
      </c>
      <c r="D608">
        <v>22</v>
      </c>
      <c r="E608" t="s">
        <v>8</v>
      </c>
      <c r="F608" t="s">
        <v>9</v>
      </c>
      <c r="G608">
        <v>745</v>
      </c>
    </row>
    <row r="609" spans="1:7" x14ac:dyDescent="0.25">
      <c r="A609">
        <v>1449</v>
      </c>
      <c r="B609">
        <v>50608</v>
      </c>
      <c r="C609" s="2">
        <v>45074.752584194721</v>
      </c>
      <c r="D609">
        <v>35</v>
      </c>
      <c r="E609" t="s">
        <v>7</v>
      </c>
      <c r="F609" t="s">
        <v>10</v>
      </c>
      <c r="G609">
        <v>3022</v>
      </c>
    </row>
    <row r="610" spans="1:7" x14ac:dyDescent="0.25">
      <c r="A610">
        <v>1488</v>
      </c>
      <c r="B610">
        <v>50609</v>
      </c>
      <c r="C610" s="2">
        <v>45074.995998666207</v>
      </c>
      <c r="D610">
        <v>43</v>
      </c>
      <c r="E610" t="s">
        <v>7</v>
      </c>
      <c r="F610" t="s">
        <v>12</v>
      </c>
      <c r="G610">
        <v>4660</v>
      </c>
    </row>
    <row r="611" spans="1:7" x14ac:dyDescent="0.25">
      <c r="A611">
        <v>1034</v>
      </c>
      <c r="B611">
        <v>50610</v>
      </c>
      <c r="C611" s="2">
        <v>45075.239413137708</v>
      </c>
      <c r="D611">
        <v>37</v>
      </c>
      <c r="E611" t="s">
        <v>8</v>
      </c>
      <c r="F611" t="s">
        <v>11</v>
      </c>
      <c r="G611">
        <v>4842</v>
      </c>
    </row>
    <row r="612" spans="1:7" x14ac:dyDescent="0.25">
      <c r="A612">
        <v>1348</v>
      </c>
      <c r="B612">
        <v>50611</v>
      </c>
      <c r="C612" s="2">
        <v>45075.482827609201</v>
      </c>
      <c r="D612">
        <v>58</v>
      </c>
      <c r="E612" t="s">
        <v>7</v>
      </c>
      <c r="F612" t="s">
        <v>10</v>
      </c>
      <c r="G612">
        <v>470</v>
      </c>
    </row>
    <row r="613" spans="1:7" x14ac:dyDescent="0.25">
      <c r="A613">
        <v>1095</v>
      </c>
      <c r="B613">
        <v>50612</v>
      </c>
      <c r="C613" s="2">
        <v>45075.72624208068</v>
      </c>
      <c r="D613">
        <v>44</v>
      </c>
      <c r="E613" t="s">
        <v>7</v>
      </c>
      <c r="F613" t="s">
        <v>9</v>
      </c>
      <c r="G613">
        <v>938</v>
      </c>
    </row>
    <row r="614" spans="1:7" x14ac:dyDescent="0.25">
      <c r="A614">
        <v>1072</v>
      </c>
      <c r="B614">
        <v>50613</v>
      </c>
      <c r="C614" s="2">
        <v>45075.969656552174</v>
      </c>
      <c r="D614">
        <v>29</v>
      </c>
      <c r="E614" t="s">
        <v>8</v>
      </c>
      <c r="F614" t="s">
        <v>11</v>
      </c>
      <c r="G614">
        <v>1457</v>
      </c>
    </row>
    <row r="615" spans="1:7" x14ac:dyDescent="0.25">
      <c r="A615">
        <v>1551</v>
      </c>
      <c r="B615">
        <v>50614</v>
      </c>
      <c r="C615" s="2">
        <v>45076.213071023667</v>
      </c>
      <c r="D615">
        <v>24</v>
      </c>
      <c r="E615" t="s">
        <v>8</v>
      </c>
      <c r="F615" t="s">
        <v>10</v>
      </c>
      <c r="G615">
        <v>258</v>
      </c>
    </row>
    <row r="616" spans="1:7" x14ac:dyDescent="0.25">
      <c r="A616">
        <v>1154</v>
      </c>
      <c r="B616">
        <v>50615</v>
      </c>
      <c r="C616" s="2">
        <v>45076.45648549516</v>
      </c>
      <c r="D616">
        <v>20</v>
      </c>
      <c r="E616" t="s">
        <v>8</v>
      </c>
      <c r="F616" t="s">
        <v>10</v>
      </c>
      <c r="G616">
        <v>4381</v>
      </c>
    </row>
    <row r="617" spans="1:7" x14ac:dyDescent="0.25">
      <c r="A617">
        <v>1250</v>
      </c>
      <c r="B617">
        <v>50616</v>
      </c>
      <c r="C617" s="2">
        <v>45076.699899966647</v>
      </c>
      <c r="D617">
        <v>27</v>
      </c>
      <c r="E617" t="s">
        <v>8</v>
      </c>
      <c r="F617" t="s">
        <v>11</v>
      </c>
      <c r="G617">
        <v>589</v>
      </c>
    </row>
    <row r="618" spans="1:7" x14ac:dyDescent="0.25">
      <c r="A618">
        <v>1438</v>
      </c>
      <c r="B618">
        <v>50617</v>
      </c>
      <c r="C618" s="2">
        <v>45076.94331443814</v>
      </c>
      <c r="D618">
        <v>51</v>
      </c>
      <c r="E618" t="s">
        <v>7</v>
      </c>
      <c r="F618" t="s">
        <v>11</v>
      </c>
      <c r="G618">
        <v>918</v>
      </c>
    </row>
    <row r="619" spans="1:7" x14ac:dyDescent="0.25">
      <c r="A619">
        <v>1118</v>
      </c>
      <c r="B619">
        <v>50618</v>
      </c>
      <c r="C619" s="2">
        <v>45077.186728909634</v>
      </c>
      <c r="D619">
        <v>42</v>
      </c>
      <c r="E619" t="s">
        <v>8</v>
      </c>
      <c r="F619" t="s">
        <v>11</v>
      </c>
      <c r="G619">
        <v>4444</v>
      </c>
    </row>
    <row r="620" spans="1:7" x14ac:dyDescent="0.25">
      <c r="A620">
        <v>1306</v>
      </c>
      <c r="B620">
        <v>50619</v>
      </c>
      <c r="C620" s="2">
        <v>45077.43014338112</v>
      </c>
      <c r="D620">
        <v>52</v>
      </c>
      <c r="E620" t="s">
        <v>8</v>
      </c>
      <c r="F620" t="s">
        <v>9</v>
      </c>
      <c r="G620">
        <v>4878</v>
      </c>
    </row>
    <row r="621" spans="1:7" x14ac:dyDescent="0.25">
      <c r="A621">
        <v>1268</v>
      </c>
      <c r="B621">
        <v>50620</v>
      </c>
      <c r="C621" s="2">
        <v>45077.673557852613</v>
      </c>
      <c r="D621">
        <v>33</v>
      </c>
      <c r="E621" t="s">
        <v>8</v>
      </c>
      <c r="F621" t="s">
        <v>9</v>
      </c>
      <c r="G621">
        <v>320</v>
      </c>
    </row>
    <row r="622" spans="1:7" x14ac:dyDescent="0.25">
      <c r="A622">
        <v>1054</v>
      </c>
      <c r="B622">
        <v>50621</v>
      </c>
      <c r="C622" s="2">
        <v>45077.916972324099</v>
      </c>
      <c r="D622">
        <v>19</v>
      </c>
      <c r="E622" t="s">
        <v>8</v>
      </c>
      <c r="F622" t="s">
        <v>10</v>
      </c>
      <c r="G622">
        <v>2852</v>
      </c>
    </row>
    <row r="623" spans="1:7" x14ac:dyDescent="0.25">
      <c r="A623">
        <v>1236</v>
      </c>
      <c r="B623">
        <v>50622</v>
      </c>
      <c r="C623" s="2">
        <v>45078.160386795593</v>
      </c>
      <c r="D623">
        <v>41</v>
      </c>
      <c r="E623" t="s">
        <v>8</v>
      </c>
      <c r="F623" t="s">
        <v>10</v>
      </c>
      <c r="G623">
        <v>2503</v>
      </c>
    </row>
    <row r="624" spans="1:7" x14ac:dyDescent="0.25">
      <c r="A624">
        <v>1389</v>
      </c>
      <c r="B624">
        <v>50623</v>
      </c>
      <c r="C624" s="2">
        <v>45078.403801267094</v>
      </c>
      <c r="D624">
        <v>27</v>
      </c>
      <c r="E624" t="s">
        <v>7</v>
      </c>
      <c r="F624" t="s">
        <v>12</v>
      </c>
      <c r="G624">
        <v>3111</v>
      </c>
    </row>
    <row r="625" spans="1:7" x14ac:dyDescent="0.25">
      <c r="A625">
        <v>1401</v>
      </c>
      <c r="B625">
        <v>50624</v>
      </c>
      <c r="C625" s="2">
        <v>45078.64721573858</v>
      </c>
      <c r="D625">
        <v>55</v>
      </c>
      <c r="E625" t="s">
        <v>8</v>
      </c>
      <c r="F625" t="s">
        <v>9</v>
      </c>
      <c r="G625">
        <v>999</v>
      </c>
    </row>
    <row r="626" spans="1:7" x14ac:dyDescent="0.25">
      <c r="A626">
        <v>1303</v>
      </c>
      <c r="B626">
        <v>50625</v>
      </c>
      <c r="C626" s="2">
        <v>45078.890630210073</v>
      </c>
      <c r="D626">
        <v>39</v>
      </c>
      <c r="E626" t="s">
        <v>7</v>
      </c>
      <c r="F626" t="s">
        <v>10</v>
      </c>
      <c r="G626">
        <v>3580</v>
      </c>
    </row>
    <row r="627" spans="1:7" x14ac:dyDescent="0.25">
      <c r="A627">
        <v>1207</v>
      </c>
      <c r="B627">
        <v>50626</v>
      </c>
      <c r="C627" s="2">
        <v>45079.134044681552</v>
      </c>
      <c r="D627">
        <v>43</v>
      </c>
      <c r="E627" t="s">
        <v>8</v>
      </c>
      <c r="F627" t="s">
        <v>11</v>
      </c>
      <c r="G627">
        <v>2306</v>
      </c>
    </row>
    <row r="628" spans="1:7" x14ac:dyDescent="0.25">
      <c r="A628">
        <v>1229</v>
      </c>
      <c r="B628">
        <v>50627</v>
      </c>
      <c r="C628" s="2">
        <v>45079.377459153053</v>
      </c>
      <c r="D628">
        <v>60</v>
      </c>
      <c r="E628" t="s">
        <v>8</v>
      </c>
      <c r="F628" t="s">
        <v>11</v>
      </c>
      <c r="G628">
        <v>1309</v>
      </c>
    </row>
    <row r="629" spans="1:7" x14ac:dyDescent="0.25">
      <c r="A629">
        <v>1578</v>
      </c>
      <c r="B629">
        <v>50628</v>
      </c>
      <c r="C629" s="2">
        <v>45079.620873624539</v>
      </c>
      <c r="D629">
        <v>56</v>
      </c>
      <c r="E629" t="s">
        <v>8</v>
      </c>
      <c r="F629" t="s">
        <v>9</v>
      </c>
      <c r="G629">
        <v>1450</v>
      </c>
    </row>
    <row r="630" spans="1:7" x14ac:dyDescent="0.25">
      <c r="A630">
        <v>1075</v>
      </c>
      <c r="B630">
        <v>50629</v>
      </c>
      <c r="C630" s="2">
        <v>45079.864288096032</v>
      </c>
      <c r="D630">
        <v>44</v>
      </c>
      <c r="E630" t="s">
        <v>8</v>
      </c>
      <c r="F630" t="s">
        <v>11</v>
      </c>
      <c r="G630">
        <v>2840</v>
      </c>
    </row>
    <row r="631" spans="1:7" x14ac:dyDescent="0.25">
      <c r="A631">
        <v>1435</v>
      </c>
      <c r="B631">
        <v>50630</v>
      </c>
      <c r="C631" s="2">
        <v>45080.107702567511</v>
      </c>
      <c r="D631">
        <v>46</v>
      </c>
      <c r="E631" t="s">
        <v>8</v>
      </c>
      <c r="F631" t="s">
        <v>12</v>
      </c>
      <c r="G631">
        <v>1849</v>
      </c>
    </row>
    <row r="632" spans="1:7" x14ac:dyDescent="0.25">
      <c r="A632">
        <v>1103</v>
      </c>
      <c r="B632">
        <v>50631</v>
      </c>
      <c r="C632" s="2">
        <v>45080.351117038997</v>
      </c>
      <c r="D632">
        <v>64</v>
      </c>
      <c r="E632" t="s">
        <v>8</v>
      </c>
      <c r="F632" t="s">
        <v>10</v>
      </c>
      <c r="G632">
        <v>1545</v>
      </c>
    </row>
    <row r="633" spans="1:7" x14ac:dyDescent="0.25">
      <c r="A633">
        <v>1422</v>
      </c>
      <c r="B633">
        <v>50632</v>
      </c>
      <c r="C633" s="2">
        <v>45080.594531510498</v>
      </c>
      <c r="D633">
        <v>55</v>
      </c>
      <c r="E633" t="s">
        <v>8</v>
      </c>
      <c r="F633" t="s">
        <v>10</v>
      </c>
      <c r="G633">
        <v>3156</v>
      </c>
    </row>
    <row r="634" spans="1:7" x14ac:dyDescent="0.25">
      <c r="A634">
        <v>1306</v>
      </c>
      <c r="B634">
        <v>50633</v>
      </c>
      <c r="C634" s="2">
        <v>45080.837945981992</v>
      </c>
      <c r="D634">
        <v>37</v>
      </c>
      <c r="E634" t="s">
        <v>8</v>
      </c>
      <c r="F634" t="s">
        <v>10</v>
      </c>
      <c r="G634">
        <v>2646</v>
      </c>
    </row>
    <row r="635" spans="1:7" x14ac:dyDescent="0.25">
      <c r="A635">
        <v>1098</v>
      </c>
      <c r="B635">
        <v>50634</v>
      </c>
      <c r="C635" s="2">
        <v>45081.081360453492</v>
      </c>
      <c r="D635">
        <v>44</v>
      </c>
      <c r="E635" t="s">
        <v>7</v>
      </c>
      <c r="F635" t="s">
        <v>9</v>
      </c>
      <c r="G635">
        <v>3564</v>
      </c>
    </row>
    <row r="636" spans="1:7" x14ac:dyDescent="0.25">
      <c r="A636">
        <v>1335</v>
      </c>
      <c r="B636">
        <v>50635</v>
      </c>
      <c r="C636" s="2">
        <v>45081.324774924957</v>
      </c>
      <c r="D636">
        <v>58</v>
      </c>
      <c r="E636" t="s">
        <v>8</v>
      </c>
      <c r="F636" t="s">
        <v>11</v>
      </c>
      <c r="G636">
        <v>684</v>
      </c>
    </row>
    <row r="637" spans="1:7" x14ac:dyDescent="0.25">
      <c r="A637">
        <v>1435</v>
      </c>
      <c r="B637">
        <v>50636</v>
      </c>
      <c r="C637" s="2">
        <v>45081.568189396457</v>
      </c>
      <c r="D637">
        <v>37</v>
      </c>
      <c r="E637" t="s">
        <v>7</v>
      </c>
      <c r="F637" t="s">
        <v>12</v>
      </c>
      <c r="G637">
        <v>1002</v>
      </c>
    </row>
    <row r="638" spans="1:7" x14ac:dyDescent="0.25">
      <c r="A638">
        <v>1447</v>
      </c>
      <c r="B638">
        <v>50637</v>
      </c>
      <c r="C638" s="2">
        <v>45081.811603867951</v>
      </c>
      <c r="D638">
        <v>61</v>
      </c>
      <c r="E638" t="s">
        <v>8</v>
      </c>
      <c r="F638" t="s">
        <v>9</v>
      </c>
      <c r="G638">
        <v>1915</v>
      </c>
    </row>
    <row r="639" spans="1:7" x14ac:dyDescent="0.25">
      <c r="A639">
        <v>1308</v>
      </c>
      <c r="B639">
        <v>50638</v>
      </c>
      <c r="C639" s="2">
        <v>45082.055018339437</v>
      </c>
      <c r="D639">
        <v>36</v>
      </c>
      <c r="E639" t="s">
        <v>7</v>
      </c>
      <c r="F639" t="s">
        <v>10</v>
      </c>
      <c r="G639">
        <v>2115</v>
      </c>
    </row>
    <row r="640" spans="1:7" x14ac:dyDescent="0.25">
      <c r="A640">
        <v>1249</v>
      </c>
      <c r="B640">
        <v>50639</v>
      </c>
      <c r="C640" s="2">
        <v>45082.298432810923</v>
      </c>
      <c r="D640">
        <v>37</v>
      </c>
      <c r="E640" t="s">
        <v>8</v>
      </c>
      <c r="F640" t="s">
        <v>12</v>
      </c>
      <c r="G640">
        <v>3683</v>
      </c>
    </row>
    <row r="641" spans="1:7" x14ac:dyDescent="0.25">
      <c r="A641">
        <v>1166</v>
      </c>
      <c r="B641">
        <v>50640</v>
      </c>
      <c r="C641" s="2">
        <v>45082.541847282417</v>
      </c>
      <c r="D641">
        <v>52</v>
      </c>
      <c r="E641" t="s">
        <v>8</v>
      </c>
      <c r="F641" t="s">
        <v>10</v>
      </c>
      <c r="G641">
        <v>1957</v>
      </c>
    </row>
    <row r="642" spans="1:7" x14ac:dyDescent="0.25">
      <c r="A642">
        <v>1481</v>
      </c>
      <c r="B642">
        <v>50641</v>
      </c>
      <c r="C642" s="2">
        <v>45082.78526175391</v>
      </c>
      <c r="D642">
        <v>64</v>
      </c>
      <c r="E642" t="s">
        <v>8</v>
      </c>
      <c r="F642" t="s">
        <v>10</v>
      </c>
      <c r="G642">
        <v>2009</v>
      </c>
    </row>
    <row r="643" spans="1:7" x14ac:dyDescent="0.25">
      <c r="A643">
        <v>1335</v>
      </c>
      <c r="B643">
        <v>50642</v>
      </c>
      <c r="C643" s="2">
        <v>45083.028676225404</v>
      </c>
      <c r="D643">
        <v>19</v>
      </c>
      <c r="E643" t="s">
        <v>7</v>
      </c>
      <c r="F643" t="s">
        <v>9</v>
      </c>
      <c r="G643">
        <v>3207</v>
      </c>
    </row>
    <row r="644" spans="1:7" x14ac:dyDescent="0.25">
      <c r="A644">
        <v>1542</v>
      </c>
      <c r="B644">
        <v>50643</v>
      </c>
      <c r="C644" s="2">
        <v>45083.272090696897</v>
      </c>
      <c r="D644">
        <v>47</v>
      </c>
      <c r="E644" t="s">
        <v>7</v>
      </c>
      <c r="F644" t="s">
        <v>10</v>
      </c>
      <c r="G644">
        <v>3425</v>
      </c>
    </row>
    <row r="645" spans="1:7" x14ac:dyDescent="0.25">
      <c r="A645">
        <v>1106</v>
      </c>
      <c r="B645">
        <v>50644</v>
      </c>
      <c r="C645" s="2">
        <v>45083.515505168383</v>
      </c>
      <c r="D645">
        <v>51</v>
      </c>
      <c r="E645" t="s">
        <v>7</v>
      </c>
      <c r="F645" t="s">
        <v>12</v>
      </c>
      <c r="G645">
        <v>3695</v>
      </c>
    </row>
    <row r="646" spans="1:7" x14ac:dyDescent="0.25">
      <c r="A646">
        <v>1563</v>
      </c>
      <c r="B646">
        <v>50645</v>
      </c>
      <c r="C646" s="2">
        <v>45083.758919639869</v>
      </c>
      <c r="D646">
        <v>39</v>
      </c>
      <c r="E646" t="s">
        <v>7</v>
      </c>
      <c r="F646" t="s">
        <v>10</v>
      </c>
      <c r="G646">
        <v>2520</v>
      </c>
    </row>
    <row r="647" spans="1:7" x14ac:dyDescent="0.25">
      <c r="A647">
        <v>1081</v>
      </c>
      <c r="B647">
        <v>50646</v>
      </c>
      <c r="C647" s="2">
        <v>45084.002334111363</v>
      </c>
      <c r="D647">
        <v>20</v>
      </c>
      <c r="E647" t="s">
        <v>8</v>
      </c>
      <c r="F647" t="s">
        <v>11</v>
      </c>
      <c r="G647">
        <v>1870</v>
      </c>
    </row>
    <row r="648" spans="1:7" x14ac:dyDescent="0.25">
      <c r="A648">
        <v>1133</v>
      </c>
      <c r="B648">
        <v>50647</v>
      </c>
      <c r="C648" s="2">
        <v>45084.245748582864</v>
      </c>
      <c r="D648">
        <v>23</v>
      </c>
      <c r="E648" t="s">
        <v>8</v>
      </c>
      <c r="F648" t="s">
        <v>10</v>
      </c>
      <c r="G648">
        <v>4815</v>
      </c>
    </row>
    <row r="649" spans="1:7" x14ac:dyDescent="0.25">
      <c r="A649">
        <v>1138</v>
      </c>
      <c r="B649">
        <v>50648</v>
      </c>
      <c r="C649" s="2">
        <v>45084.489163054342</v>
      </c>
      <c r="D649">
        <v>32</v>
      </c>
      <c r="E649" t="s">
        <v>8</v>
      </c>
      <c r="F649" t="s">
        <v>9</v>
      </c>
      <c r="G649">
        <v>1351</v>
      </c>
    </row>
    <row r="650" spans="1:7" x14ac:dyDescent="0.25">
      <c r="A650">
        <v>1184</v>
      </c>
      <c r="B650">
        <v>50649</v>
      </c>
      <c r="C650" s="2">
        <v>45084.732577525843</v>
      </c>
      <c r="D650">
        <v>44</v>
      </c>
      <c r="E650" t="s">
        <v>7</v>
      </c>
      <c r="F650" t="s">
        <v>12</v>
      </c>
      <c r="G650">
        <v>4947</v>
      </c>
    </row>
    <row r="651" spans="1:7" x14ac:dyDescent="0.25">
      <c r="A651">
        <v>1401</v>
      </c>
      <c r="B651">
        <v>50650</v>
      </c>
      <c r="C651" s="2">
        <v>45084.975991997329</v>
      </c>
      <c r="D651">
        <v>27</v>
      </c>
      <c r="E651" t="s">
        <v>8</v>
      </c>
      <c r="F651" t="s">
        <v>9</v>
      </c>
      <c r="G651">
        <v>2423</v>
      </c>
    </row>
    <row r="652" spans="1:7" x14ac:dyDescent="0.25">
      <c r="A652">
        <v>1330</v>
      </c>
      <c r="B652">
        <v>50651</v>
      </c>
      <c r="C652" s="2">
        <v>45085.219406468823</v>
      </c>
      <c r="D652">
        <v>26</v>
      </c>
      <c r="E652" t="s">
        <v>7</v>
      </c>
      <c r="F652" t="s">
        <v>11</v>
      </c>
      <c r="G652">
        <v>2867</v>
      </c>
    </row>
    <row r="653" spans="1:7" x14ac:dyDescent="0.25">
      <c r="A653">
        <v>1508</v>
      </c>
      <c r="B653">
        <v>50652</v>
      </c>
      <c r="C653" s="2">
        <v>45085.462820940309</v>
      </c>
      <c r="D653">
        <v>50</v>
      </c>
      <c r="E653" t="s">
        <v>7</v>
      </c>
      <c r="F653" t="s">
        <v>10</v>
      </c>
      <c r="G653">
        <v>410</v>
      </c>
    </row>
    <row r="654" spans="1:7" x14ac:dyDescent="0.25">
      <c r="A654">
        <v>1069</v>
      </c>
      <c r="B654">
        <v>50653</v>
      </c>
      <c r="C654" s="2">
        <v>45085.706235411802</v>
      </c>
      <c r="D654">
        <v>49</v>
      </c>
      <c r="E654" t="s">
        <v>7</v>
      </c>
      <c r="F654" t="s">
        <v>9</v>
      </c>
      <c r="G654">
        <v>2694</v>
      </c>
    </row>
    <row r="655" spans="1:7" x14ac:dyDescent="0.25">
      <c r="A655">
        <v>1546</v>
      </c>
      <c r="B655">
        <v>50654</v>
      </c>
      <c r="C655" s="2">
        <v>45085.949649883289</v>
      </c>
      <c r="D655">
        <v>23</v>
      </c>
      <c r="E655" t="s">
        <v>7</v>
      </c>
      <c r="F655" t="s">
        <v>9</v>
      </c>
      <c r="G655">
        <v>4881</v>
      </c>
    </row>
    <row r="656" spans="1:7" x14ac:dyDescent="0.25">
      <c r="A656">
        <v>1053</v>
      </c>
      <c r="B656">
        <v>50655</v>
      </c>
      <c r="C656" s="2">
        <v>45086.193064354782</v>
      </c>
      <c r="D656">
        <v>58</v>
      </c>
      <c r="E656" t="s">
        <v>7</v>
      </c>
      <c r="F656" t="s">
        <v>9</v>
      </c>
      <c r="G656">
        <v>4462</v>
      </c>
    </row>
    <row r="657" spans="1:7" x14ac:dyDescent="0.25">
      <c r="A657">
        <v>1450</v>
      </c>
      <c r="B657">
        <v>50656</v>
      </c>
      <c r="C657" s="2">
        <v>45086.436478826283</v>
      </c>
      <c r="D657">
        <v>53</v>
      </c>
      <c r="E657" t="s">
        <v>8</v>
      </c>
      <c r="F657" t="s">
        <v>9</v>
      </c>
      <c r="G657">
        <v>2707</v>
      </c>
    </row>
    <row r="658" spans="1:7" x14ac:dyDescent="0.25">
      <c r="A658">
        <v>1205</v>
      </c>
      <c r="B658">
        <v>50657</v>
      </c>
      <c r="C658" s="2">
        <v>45086.679893297747</v>
      </c>
      <c r="D658">
        <v>19</v>
      </c>
      <c r="E658" t="s">
        <v>7</v>
      </c>
      <c r="F658" t="s">
        <v>11</v>
      </c>
      <c r="G658">
        <v>3163</v>
      </c>
    </row>
    <row r="659" spans="1:7" x14ac:dyDescent="0.25">
      <c r="A659">
        <v>1126</v>
      </c>
      <c r="B659">
        <v>50658</v>
      </c>
      <c r="C659" s="2">
        <v>45086.923307769248</v>
      </c>
      <c r="D659">
        <v>46</v>
      </c>
      <c r="E659" t="s">
        <v>7</v>
      </c>
      <c r="F659" t="s">
        <v>11</v>
      </c>
      <c r="G659">
        <v>3628</v>
      </c>
    </row>
    <row r="660" spans="1:7" x14ac:dyDescent="0.25">
      <c r="A660">
        <v>1043</v>
      </c>
      <c r="B660">
        <v>50659</v>
      </c>
      <c r="C660" s="2">
        <v>45087.166722240741</v>
      </c>
      <c r="D660">
        <v>21</v>
      </c>
      <c r="E660" t="s">
        <v>8</v>
      </c>
      <c r="F660" t="s">
        <v>10</v>
      </c>
      <c r="G660">
        <v>3575</v>
      </c>
    </row>
    <row r="661" spans="1:7" x14ac:dyDescent="0.25">
      <c r="A661">
        <v>1111</v>
      </c>
      <c r="B661">
        <v>50660</v>
      </c>
      <c r="C661" s="2">
        <v>45087.410136712228</v>
      </c>
      <c r="D661">
        <v>18</v>
      </c>
      <c r="E661" t="s">
        <v>7</v>
      </c>
      <c r="F661" t="s">
        <v>10</v>
      </c>
      <c r="G661">
        <v>4155</v>
      </c>
    </row>
    <row r="662" spans="1:7" x14ac:dyDescent="0.25">
      <c r="A662">
        <v>1183</v>
      </c>
      <c r="B662">
        <v>50661</v>
      </c>
      <c r="C662" s="2">
        <v>45087.653551183728</v>
      </c>
      <c r="D662">
        <v>36</v>
      </c>
      <c r="E662" t="s">
        <v>7</v>
      </c>
      <c r="F662" t="s">
        <v>12</v>
      </c>
      <c r="G662">
        <v>3905</v>
      </c>
    </row>
    <row r="663" spans="1:7" x14ac:dyDescent="0.25">
      <c r="A663">
        <v>1095</v>
      </c>
      <c r="B663">
        <v>50662</v>
      </c>
      <c r="C663" s="2">
        <v>45087.896965655207</v>
      </c>
      <c r="D663">
        <v>43</v>
      </c>
      <c r="E663" t="s">
        <v>8</v>
      </c>
      <c r="F663" t="s">
        <v>11</v>
      </c>
      <c r="G663">
        <v>3605</v>
      </c>
    </row>
    <row r="664" spans="1:7" x14ac:dyDescent="0.25">
      <c r="A664">
        <v>1374</v>
      </c>
      <c r="B664">
        <v>50663</v>
      </c>
      <c r="C664" s="2">
        <v>45088.140380126701</v>
      </c>
      <c r="D664">
        <v>42</v>
      </c>
      <c r="E664" t="s">
        <v>8</v>
      </c>
      <c r="F664" t="s">
        <v>9</v>
      </c>
      <c r="G664">
        <v>4238</v>
      </c>
    </row>
    <row r="665" spans="1:7" x14ac:dyDescent="0.25">
      <c r="A665">
        <v>1520</v>
      </c>
      <c r="B665">
        <v>50664</v>
      </c>
      <c r="C665" s="2">
        <v>45088.383794598187</v>
      </c>
      <c r="D665">
        <v>27</v>
      </c>
      <c r="E665" t="s">
        <v>8</v>
      </c>
      <c r="F665" t="s">
        <v>9</v>
      </c>
      <c r="G665">
        <v>1252</v>
      </c>
    </row>
    <row r="666" spans="1:7" x14ac:dyDescent="0.25">
      <c r="A666">
        <v>1360</v>
      </c>
      <c r="B666">
        <v>50665</v>
      </c>
      <c r="C666" s="2">
        <v>45088.627209069688</v>
      </c>
      <c r="D666">
        <v>32</v>
      </c>
      <c r="E666" t="s">
        <v>7</v>
      </c>
      <c r="F666" t="s">
        <v>12</v>
      </c>
      <c r="G666">
        <v>913</v>
      </c>
    </row>
    <row r="667" spans="1:7" x14ac:dyDescent="0.25">
      <c r="A667">
        <v>1281</v>
      </c>
      <c r="B667">
        <v>50666</v>
      </c>
      <c r="C667" s="2">
        <v>45088.870623541166</v>
      </c>
      <c r="D667">
        <v>39</v>
      </c>
      <c r="E667" t="s">
        <v>8</v>
      </c>
      <c r="F667" t="s">
        <v>9</v>
      </c>
      <c r="G667">
        <v>3088</v>
      </c>
    </row>
    <row r="668" spans="1:7" x14ac:dyDescent="0.25">
      <c r="A668">
        <v>1195</v>
      </c>
      <c r="B668">
        <v>50667</v>
      </c>
      <c r="C668" s="2">
        <v>45089.11403801266</v>
      </c>
      <c r="D668">
        <v>38</v>
      </c>
      <c r="E668" t="s">
        <v>8</v>
      </c>
      <c r="F668" t="s">
        <v>12</v>
      </c>
      <c r="G668">
        <v>887</v>
      </c>
    </row>
    <row r="669" spans="1:7" x14ac:dyDescent="0.25">
      <c r="A669">
        <v>1195</v>
      </c>
      <c r="B669">
        <v>50668</v>
      </c>
      <c r="C669" s="2">
        <v>45089.357452484153</v>
      </c>
      <c r="D669">
        <v>39</v>
      </c>
      <c r="E669" t="s">
        <v>8</v>
      </c>
      <c r="F669" t="s">
        <v>10</v>
      </c>
      <c r="G669">
        <v>529</v>
      </c>
    </row>
    <row r="670" spans="1:7" x14ac:dyDescent="0.25">
      <c r="A670">
        <v>1093</v>
      </c>
      <c r="B670">
        <v>50669</v>
      </c>
      <c r="C670" s="2">
        <v>45089.600866955647</v>
      </c>
      <c r="D670">
        <v>53</v>
      </c>
      <c r="E670" t="s">
        <v>7</v>
      </c>
      <c r="F670" t="s">
        <v>11</v>
      </c>
      <c r="G670">
        <v>1946</v>
      </c>
    </row>
    <row r="671" spans="1:7" x14ac:dyDescent="0.25">
      <c r="A671">
        <v>1061</v>
      </c>
      <c r="B671">
        <v>50670</v>
      </c>
      <c r="C671" s="2">
        <v>45089.84428142714</v>
      </c>
      <c r="D671">
        <v>51</v>
      </c>
      <c r="E671" t="s">
        <v>8</v>
      </c>
      <c r="F671" t="s">
        <v>12</v>
      </c>
      <c r="G671">
        <v>1407</v>
      </c>
    </row>
    <row r="672" spans="1:7" x14ac:dyDescent="0.25">
      <c r="A672">
        <v>1051</v>
      </c>
      <c r="B672">
        <v>50671</v>
      </c>
      <c r="C672" s="2">
        <v>45090.087695898619</v>
      </c>
      <c r="D672">
        <v>47</v>
      </c>
      <c r="E672" t="s">
        <v>7</v>
      </c>
      <c r="F672" t="s">
        <v>9</v>
      </c>
      <c r="G672">
        <v>2342</v>
      </c>
    </row>
    <row r="673" spans="1:7" x14ac:dyDescent="0.25">
      <c r="A673">
        <v>1403</v>
      </c>
      <c r="B673">
        <v>50672</v>
      </c>
      <c r="C673" s="2">
        <v>45090.331110370113</v>
      </c>
      <c r="D673">
        <v>42</v>
      </c>
      <c r="E673" t="s">
        <v>7</v>
      </c>
      <c r="F673" t="s">
        <v>12</v>
      </c>
      <c r="G673">
        <v>984</v>
      </c>
    </row>
    <row r="674" spans="1:7" x14ac:dyDescent="0.25">
      <c r="A674">
        <v>1005</v>
      </c>
      <c r="B674">
        <v>50673</v>
      </c>
      <c r="C674" s="2">
        <v>45090.574524841613</v>
      </c>
      <c r="D674">
        <v>62</v>
      </c>
      <c r="E674" t="s">
        <v>8</v>
      </c>
      <c r="F674" t="s">
        <v>10</v>
      </c>
      <c r="G674">
        <v>2896</v>
      </c>
    </row>
    <row r="675" spans="1:7" x14ac:dyDescent="0.25">
      <c r="A675">
        <v>1466</v>
      </c>
      <c r="B675">
        <v>50674</v>
      </c>
      <c r="C675" s="2">
        <v>45090.817939313099</v>
      </c>
      <c r="D675">
        <v>45</v>
      </c>
      <c r="E675" t="s">
        <v>7</v>
      </c>
      <c r="F675" t="s">
        <v>9</v>
      </c>
      <c r="G675">
        <v>4020</v>
      </c>
    </row>
    <row r="676" spans="1:7" x14ac:dyDescent="0.25">
      <c r="A676">
        <v>1534</v>
      </c>
      <c r="B676">
        <v>50675</v>
      </c>
      <c r="C676" s="2">
        <v>45091.061353784593</v>
      </c>
      <c r="D676">
        <v>18</v>
      </c>
      <c r="E676" t="s">
        <v>7</v>
      </c>
      <c r="F676" t="s">
        <v>10</v>
      </c>
      <c r="G676">
        <v>3918</v>
      </c>
    </row>
    <row r="677" spans="1:7" x14ac:dyDescent="0.25">
      <c r="A677">
        <v>1405</v>
      </c>
      <c r="B677">
        <v>50676</v>
      </c>
      <c r="C677" s="2">
        <v>45091.304768256079</v>
      </c>
      <c r="D677">
        <v>62</v>
      </c>
      <c r="E677" t="s">
        <v>8</v>
      </c>
      <c r="F677" t="s">
        <v>10</v>
      </c>
      <c r="G677">
        <v>2893</v>
      </c>
    </row>
    <row r="678" spans="1:7" x14ac:dyDescent="0.25">
      <c r="A678">
        <v>1513</v>
      </c>
      <c r="B678">
        <v>50677</v>
      </c>
      <c r="C678" s="2">
        <v>45091.548182727573</v>
      </c>
      <c r="D678">
        <v>21</v>
      </c>
      <c r="E678" t="s">
        <v>7</v>
      </c>
      <c r="F678" t="s">
        <v>12</v>
      </c>
      <c r="G678">
        <v>825</v>
      </c>
    </row>
    <row r="679" spans="1:7" x14ac:dyDescent="0.25">
      <c r="A679">
        <v>1233</v>
      </c>
      <c r="B679">
        <v>50678</v>
      </c>
      <c r="C679" s="2">
        <v>45091.791597199073</v>
      </c>
      <c r="D679">
        <v>24</v>
      </c>
      <c r="E679" t="s">
        <v>8</v>
      </c>
      <c r="F679" t="s">
        <v>10</v>
      </c>
      <c r="G679">
        <v>4434</v>
      </c>
    </row>
    <row r="680" spans="1:7" x14ac:dyDescent="0.25">
      <c r="A680">
        <v>1524</v>
      </c>
      <c r="B680">
        <v>50679</v>
      </c>
      <c r="C680" s="2">
        <v>45092.035011670552</v>
      </c>
      <c r="D680">
        <v>26</v>
      </c>
      <c r="E680" t="s">
        <v>7</v>
      </c>
      <c r="F680" t="s">
        <v>9</v>
      </c>
      <c r="G680">
        <v>3908</v>
      </c>
    </row>
    <row r="681" spans="1:7" x14ac:dyDescent="0.25">
      <c r="A681">
        <v>1346</v>
      </c>
      <c r="B681">
        <v>50680</v>
      </c>
      <c r="C681" s="2">
        <v>45092.278426142038</v>
      </c>
      <c r="D681">
        <v>53</v>
      </c>
      <c r="E681" t="s">
        <v>7</v>
      </c>
      <c r="F681" t="s">
        <v>10</v>
      </c>
      <c r="G681">
        <v>961</v>
      </c>
    </row>
    <row r="682" spans="1:7" x14ac:dyDescent="0.25">
      <c r="A682">
        <v>1046</v>
      </c>
      <c r="B682">
        <v>50681</v>
      </c>
      <c r="C682" s="2">
        <v>45092.521840613532</v>
      </c>
      <c r="D682">
        <v>36</v>
      </c>
      <c r="E682" t="s">
        <v>8</v>
      </c>
      <c r="F682" t="s">
        <v>10</v>
      </c>
      <c r="G682">
        <v>4179</v>
      </c>
    </row>
    <row r="683" spans="1:7" x14ac:dyDescent="0.25">
      <c r="A683">
        <v>1546</v>
      </c>
      <c r="B683">
        <v>50682</v>
      </c>
      <c r="C683" s="2">
        <v>45092.765255085033</v>
      </c>
      <c r="D683">
        <v>18</v>
      </c>
      <c r="E683" t="s">
        <v>8</v>
      </c>
      <c r="F683" t="s">
        <v>12</v>
      </c>
      <c r="G683">
        <v>3729</v>
      </c>
    </row>
    <row r="684" spans="1:7" x14ac:dyDescent="0.25">
      <c r="A684">
        <v>1078</v>
      </c>
      <c r="B684">
        <v>50683</v>
      </c>
      <c r="C684" s="2">
        <v>45093.008669556519</v>
      </c>
      <c r="D684">
        <v>27</v>
      </c>
      <c r="E684" t="s">
        <v>7</v>
      </c>
      <c r="F684" t="s">
        <v>10</v>
      </c>
      <c r="G684">
        <v>1755</v>
      </c>
    </row>
    <row r="685" spans="1:7" x14ac:dyDescent="0.25">
      <c r="A685">
        <v>1073</v>
      </c>
      <c r="B685">
        <v>50684</v>
      </c>
      <c r="C685" s="2">
        <v>45093.252084028012</v>
      </c>
      <c r="D685">
        <v>53</v>
      </c>
      <c r="E685" t="s">
        <v>7</v>
      </c>
      <c r="F685" t="s">
        <v>11</v>
      </c>
      <c r="G685">
        <v>3833</v>
      </c>
    </row>
    <row r="686" spans="1:7" x14ac:dyDescent="0.25">
      <c r="A686">
        <v>1249</v>
      </c>
      <c r="B686">
        <v>50685</v>
      </c>
      <c r="C686" s="2">
        <v>45093.495498499491</v>
      </c>
      <c r="D686">
        <v>26</v>
      </c>
      <c r="E686" t="s">
        <v>8</v>
      </c>
      <c r="F686" t="s">
        <v>12</v>
      </c>
      <c r="G686">
        <v>875</v>
      </c>
    </row>
    <row r="687" spans="1:7" x14ac:dyDescent="0.25">
      <c r="A687">
        <v>1047</v>
      </c>
      <c r="B687">
        <v>50686</v>
      </c>
      <c r="C687" s="2">
        <v>45093.738912970977</v>
      </c>
      <c r="D687">
        <v>62</v>
      </c>
      <c r="E687" t="s">
        <v>7</v>
      </c>
      <c r="F687" t="s">
        <v>12</v>
      </c>
      <c r="G687">
        <v>4387</v>
      </c>
    </row>
    <row r="688" spans="1:7" x14ac:dyDescent="0.25">
      <c r="A688">
        <v>1121</v>
      </c>
      <c r="B688">
        <v>50687</v>
      </c>
      <c r="C688" s="2">
        <v>45093.982327442478</v>
      </c>
      <c r="D688">
        <v>63</v>
      </c>
      <c r="E688" t="s">
        <v>7</v>
      </c>
      <c r="F688" t="s">
        <v>9</v>
      </c>
      <c r="G688">
        <v>236</v>
      </c>
    </row>
    <row r="689" spans="1:7" x14ac:dyDescent="0.25">
      <c r="A689">
        <v>1214</v>
      </c>
      <c r="B689">
        <v>50688</v>
      </c>
      <c r="C689" s="2">
        <v>45094.225741913971</v>
      </c>
      <c r="D689">
        <v>59</v>
      </c>
      <c r="E689" t="s">
        <v>7</v>
      </c>
      <c r="F689" t="s">
        <v>9</v>
      </c>
      <c r="G689">
        <v>4036</v>
      </c>
    </row>
    <row r="690" spans="1:7" x14ac:dyDescent="0.25">
      <c r="A690">
        <v>1239</v>
      </c>
      <c r="B690">
        <v>50689</v>
      </c>
      <c r="C690" s="2">
        <v>45094.46915638545</v>
      </c>
      <c r="D690">
        <v>49</v>
      </c>
      <c r="E690" t="s">
        <v>7</v>
      </c>
      <c r="F690" t="s">
        <v>9</v>
      </c>
      <c r="G690">
        <v>1987</v>
      </c>
    </row>
    <row r="691" spans="1:7" x14ac:dyDescent="0.25">
      <c r="A691">
        <v>1056</v>
      </c>
      <c r="B691">
        <v>50690</v>
      </c>
      <c r="C691" s="2">
        <v>45094.712570856937</v>
      </c>
      <c r="D691">
        <v>49</v>
      </c>
      <c r="E691" t="s">
        <v>8</v>
      </c>
      <c r="F691" t="s">
        <v>9</v>
      </c>
      <c r="G691">
        <v>2927</v>
      </c>
    </row>
    <row r="692" spans="1:7" x14ac:dyDescent="0.25">
      <c r="A692">
        <v>1350</v>
      </c>
      <c r="B692">
        <v>50691</v>
      </c>
      <c r="C692" s="2">
        <v>45094.955985328437</v>
      </c>
      <c r="D692">
        <v>23</v>
      </c>
      <c r="E692" t="s">
        <v>8</v>
      </c>
      <c r="F692" t="s">
        <v>11</v>
      </c>
      <c r="G692">
        <v>4080</v>
      </c>
    </row>
    <row r="693" spans="1:7" x14ac:dyDescent="0.25">
      <c r="A693">
        <v>1107</v>
      </c>
      <c r="B693">
        <v>50692</v>
      </c>
      <c r="C693" s="2">
        <v>45095.199399799931</v>
      </c>
      <c r="D693">
        <v>55</v>
      </c>
      <c r="E693" t="s">
        <v>8</v>
      </c>
      <c r="F693" t="s">
        <v>12</v>
      </c>
      <c r="G693">
        <v>2094</v>
      </c>
    </row>
    <row r="694" spans="1:7" x14ac:dyDescent="0.25">
      <c r="A694">
        <v>1048</v>
      </c>
      <c r="B694">
        <v>50693</v>
      </c>
      <c r="C694" s="2">
        <v>45095.442814271417</v>
      </c>
      <c r="D694">
        <v>34</v>
      </c>
      <c r="E694" t="s">
        <v>8</v>
      </c>
      <c r="F694" t="s">
        <v>10</v>
      </c>
      <c r="G694">
        <v>336</v>
      </c>
    </row>
    <row r="695" spans="1:7" x14ac:dyDescent="0.25">
      <c r="A695">
        <v>1573</v>
      </c>
      <c r="B695">
        <v>50694</v>
      </c>
      <c r="C695" s="2">
        <v>45095.686228742903</v>
      </c>
      <c r="D695">
        <v>27</v>
      </c>
      <c r="E695" t="s">
        <v>8</v>
      </c>
      <c r="F695" t="s">
        <v>9</v>
      </c>
      <c r="G695">
        <v>3276</v>
      </c>
    </row>
    <row r="696" spans="1:7" x14ac:dyDescent="0.25">
      <c r="A696">
        <v>1337</v>
      </c>
      <c r="B696">
        <v>50695</v>
      </c>
      <c r="C696" s="2">
        <v>45095.929643214396</v>
      </c>
      <c r="D696">
        <v>44</v>
      </c>
      <c r="E696" t="s">
        <v>8</v>
      </c>
      <c r="F696" t="s">
        <v>9</v>
      </c>
      <c r="G696">
        <v>4083</v>
      </c>
    </row>
    <row r="697" spans="1:7" x14ac:dyDescent="0.25">
      <c r="A697">
        <v>1026</v>
      </c>
      <c r="B697">
        <v>50696</v>
      </c>
      <c r="C697" s="2">
        <v>45096.17305768589</v>
      </c>
      <c r="D697">
        <v>52</v>
      </c>
      <c r="E697" t="s">
        <v>7</v>
      </c>
      <c r="F697" t="s">
        <v>9</v>
      </c>
      <c r="G697">
        <v>861</v>
      </c>
    </row>
    <row r="698" spans="1:7" x14ac:dyDescent="0.25">
      <c r="A698">
        <v>1257</v>
      </c>
      <c r="B698">
        <v>50697</v>
      </c>
      <c r="C698" s="2">
        <v>45096.416472157383</v>
      </c>
      <c r="D698">
        <v>38</v>
      </c>
      <c r="E698" t="s">
        <v>8</v>
      </c>
      <c r="F698" t="s">
        <v>10</v>
      </c>
      <c r="G698">
        <v>2010</v>
      </c>
    </row>
    <row r="699" spans="1:7" x14ac:dyDescent="0.25">
      <c r="A699">
        <v>1008</v>
      </c>
      <c r="B699">
        <v>50698</v>
      </c>
      <c r="C699" s="2">
        <v>45096.659886628862</v>
      </c>
      <c r="D699">
        <v>42</v>
      </c>
      <c r="E699" t="s">
        <v>7</v>
      </c>
      <c r="F699" t="s">
        <v>9</v>
      </c>
      <c r="G699">
        <v>614</v>
      </c>
    </row>
    <row r="700" spans="1:7" x14ac:dyDescent="0.25">
      <c r="A700">
        <v>1253</v>
      </c>
      <c r="B700">
        <v>50699</v>
      </c>
      <c r="C700" s="2">
        <v>45096.903301100363</v>
      </c>
      <c r="D700">
        <v>45</v>
      </c>
      <c r="E700" t="s">
        <v>7</v>
      </c>
      <c r="F700" t="s">
        <v>10</v>
      </c>
      <c r="G700">
        <v>542</v>
      </c>
    </row>
    <row r="701" spans="1:7" x14ac:dyDescent="0.25">
      <c r="A701">
        <v>1303</v>
      </c>
      <c r="B701">
        <v>50700</v>
      </c>
      <c r="C701" s="2">
        <v>45097.146715571849</v>
      </c>
      <c r="D701">
        <v>64</v>
      </c>
      <c r="E701" t="s">
        <v>7</v>
      </c>
      <c r="F701" t="s">
        <v>12</v>
      </c>
      <c r="G701">
        <v>2929</v>
      </c>
    </row>
    <row r="702" spans="1:7" x14ac:dyDescent="0.25">
      <c r="A702">
        <v>1056</v>
      </c>
      <c r="B702">
        <v>50701</v>
      </c>
      <c r="C702" s="2">
        <v>45097.390130043343</v>
      </c>
      <c r="D702">
        <v>32</v>
      </c>
      <c r="E702" t="s">
        <v>8</v>
      </c>
      <c r="F702" t="s">
        <v>12</v>
      </c>
      <c r="G702">
        <v>3650</v>
      </c>
    </row>
    <row r="703" spans="1:7" x14ac:dyDescent="0.25">
      <c r="A703">
        <v>1526</v>
      </c>
      <c r="B703">
        <v>50702</v>
      </c>
      <c r="C703" s="2">
        <v>45097.633544514843</v>
      </c>
      <c r="D703">
        <v>21</v>
      </c>
      <c r="E703" t="s">
        <v>7</v>
      </c>
      <c r="F703" t="s">
        <v>12</v>
      </c>
      <c r="G703">
        <v>3865</v>
      </c>
    </row>
    <row r="704" spans="1:7" x14ac:dyDescent="0.25">
      <c r="A704">
        <v>1474</v>
      </c>
      <c r="B704">
        <v>50703</v>
      </c>
      <c r="C704" s="2">
        <v>45097.876958986322</v>
      </c>
      <c r="D704">
        <v>46</v>
      </c>
      <c r="E704" t="s">
        <v>8</v>
      </c>
      <c r="F704" t="s">
        <v>11</v>
      </c>
      <c r="G704">
        <v>3937</v>
      </c>
    </row>
    <row r="705" spans="1:7" x14ac:dyDescent="0.25">
      <c r="A705">
        <v>1028</v>
      </c>
      <c r="B705">
        <v>50704</v>
      </c>
      <c r="C705" s="2">
        <v>45098.120373457823</v>
      </c>
      <c r="D705">
        <v>26</v>
      </c>
      <c r="E705" t="s">
        <v>7</v>
      </c>
      <c r="F705" t="s">
        <v>10</v>
      </c>
      <c r="G705">
        <v>4097</v>
      </c>
    </row>
    <row r="706" spans="1:7" x14ac:dyDescent="0.25">
      <c r="A706">
        <v>1078</v>
      </c>
      <c r="B706">
        <v>50705</v>
      </c>
      <c r="C706" s="2">
        <v>45098.363787929309</v>
      </c>
      <c r="D706">
        <v>44</v>
      </c>
      <c r="E706" t="s">
        <v>7</v>
      </c>
      <c r="F706" t="s">
        <v>9</v>
      </c>
      <c r="G706">
        <v>4441</v>
      </c>
    </row>
    <row r="707" spans="1:7" x14ac:dyDescent="0.25">
      <c r="A707">
        <v>1216</v>
      </c>
      <c r="B707">
        <v>50706</v>
      </c>
      <c r="C707" s="2">
        <v>45098.607202400803</v>
      </c>
      <c r="D707">
        <v>43</v>
      </c>
      <c r="E707" t="s">
        <v>8</v>
      </c>
      <c r="F707" t="s">
        <v>9</v>
      </c>
      <c r="G707">
        <v>4618</v>
      </c>
    </row>
    <row r="708" spans="1:7" x14ac:dyDescent="0.25">
      <c r="A708">
        <v>1386</v>
      </c>
      <c r="B708">
        <v>50707</v>
      </c>
      <c r="C708" s="2">
        <v>45098.850616872282</v>
      </c>
      <c r="D708">
        <v>36</v>
      </c>
      <c r="E708" t="s">
        <v>7</v>
      </c>
      <c r="F708" t="s">
        <v>9</v>
      </c>
      <c r="G708">
        <v>2369</v>
      </c>
    </row>
    <row r="709" spans="1:7" x14ac:dyDescent="0.25">
      <c r="A709">
        <v>1365</v>
      </c>
      <c r="B709">
        <v>50708</v>
      </c>
      <c r="C709" s="2">
        <v>45099.094031343768</v>
      </c>
      <c r="D709">
        <v>45</v>
      </c>
      <c r="E709" t="s">
        <v>7</v>
      </c>
      <c r="F709" t="s">
        <v>9</v>
      </c>
      <c r="G709">
        <v>2078</v>
      </c>
    </row>
    <row r="710" spans="1:7" x14ac:dyDescent="0.25">
      <c r="A710">
        <v>1526</v>
      </c>
      <c r="B710">
        <v>50709</v>
      </c>
      <c r="C710" s="2">
        <v>45099.337445815268</v>
      </c>
      <c r="D710">
        <v>34</v>
      </c>
      <c r="E710" t="s">
        <v>7</v>
      </c>
      <c r="F710" t="s">
        <v>11</v>
      </c>
      <c r="G710">
        <v>4170</v>
      </c>
    </row>
    <row r="711" spans="1:7" x14ac:dyDescent="0.25">
      <c r="A711">
        <v>1312</v>
      </c>
      <c r="B711">
        <v>50710</v>
      </c>
      <c r="C711" s="2">
        <v>45099.580860286762</v>
      </c>
      <c r="D711">
        <v>60</v>
      </c>
      <c r="E711" t="s">
        <v>7</v>
      </c>
      <c r="F711" t="s">
        <v>9</v>
      </c>
      <c r="G711">
        <v>4896</v>
      </c>
    </row>
    <row r="712" spans="1:7" x14ac:dyDescent="0.25">
      <c r="A712">
        <v>1007</v>
      </c>
      <c r="B712">
        <v>50711</v>
      </c>
      <c r="C712" s="2">
        <v>45099.824274758263</v>
      </c>
      <c r="D712">
        <v>58</v>
      </c>
      <c r="E712" t="s">
        <v>8</v>
      </c>
      <c r="F712" t="s">
        <v>11</v>
      </c>
      <c r="G712">
        <v>4770</v>
      </c>
    </row>
    <row r="713" spans="1:7" x14ac:dyDescent="0.25">
      <c r="A713">
        <v>1003</v>
      </c>
      <c r="B713">
        <v>50712</v>
      </c>
      <c r="C713" s="2">
        <v>45100.067689229727</v>
      </c>
      <c r="D713">
        <v>59</v>
      </c>
      <c r="E713" t="s">
        <v>7</v>
      </c>
      <c r="F713" t="s">
        <v>10</v>
      </c>
      <c r="G713">
        <v>2817</v>
      </c>
    </row>
    <row r="714" spans="1:7" x14ac:dyDescent="0.25">
      <c r="A714">
        <v>1363</v>
      </c>
      <c r="B714">
        <v>50713</v>
      </c>
      <c r="C714" s="2">
        <v>45100.311103701228</v>
      </c>
      <c r="D714">
        <v>37</v>
      </c>
      <c r="E714" t="s">
        <v>7</v>
      </c>
      <c r="F714" t="s">
        <v>12</v>
      </c>
      <c r="G714">
        <v>1715</v>
      </c>
    </row>
    <row r="715" spans="1:7" x14ac:dyDescent="0.25">
      <c r="A715">
        <v>1508</v>
      </c>
      <c r="B715">
        <v>50714</v>
      </c>
      <c r="C715" s="2">
        <v>45100.554518172721</v>
      </c>
      <c r="D715">
        <v>62</v>
      </c>
      <c r="E715" t="s">
        <v>8</v>
      </c>
      <c r="F715" t="s">
        <v>9</v>
      </c>
      <c r="G715">
        <v>774</v>
      </c>
    </row>
    <row r="716" spans="1:7" x14ac:dyDescent="0.25">
      <c r="A716">
        <v>1274</v>
      </c>
      <c r="B716">
        <v>50715</v>
      </c>
      <c r="C716" s="2">
        <v>45100.797932644207</v>
      </c>
      <c r="D716">
        <v>57</v>
      </c>
      <c r="E716" t="s">
        <v>7</v>
      </c>
      <c r="F716" t="s">
        <v>12</v>
      </c>
      <c r="G716">
        <v>4642</v>
      </c>
    </row>
    <row r="717" spans="1:7" x14ac:dyDescent="0.25">
      <c r="A717">
        <v>1506</v>
      </c>
      <c r="B717">
        <v>50716</v>
      </c>
      <c r="C717" s="2">
        <v>45101.041347115693</v>
      </c>
      <c r="D717">
        <v>56</v>
      </c>
      <c r="E717" t="s">
        <v>7</v>
      </c>
      <c r="F717" t="s">
        <v>10</v>
      </c>
      <c r="G717">
        <v>3067</v>
      </c>
    </row>
    <row r="718" spans="1:7" x14ac:dyDescent="0.25">
      <c r="A718">
        <v>1015</v>
      </c>
      <c r="B718">
        <v>50717</v>
      </c>
      <c r="C718" s="2">
        <v>45101.284761587187</v>
      </c>
      <c r="D718">
        <v>40</v>
      </c>
      <c r="E718" t="s">
        <v>7</v>
      </c>
      <c r="F718" t="s">
        <v>10</v>
      </c>
      <c r="G718">
        <v>3744</v>
      </c>
    </row>
    <row r="719" spans="1:7" x14ac:dyDescent="0.25">
      <c r="A719">
        <v>1192</v>
      </c>
      <c r="B719">
        <v>50718</v>
      </c>
      <c r="C719" s="2">
        <v>45101.52817605868</v>
      </c>
      <c r="D719">
        <v>64</v>
      </c>
      <c r="E719" t="s">
        <v>7</v>
      </c>
      <c r="F719" t="s">
        <v>9</v>
      </c>
      <c r="G719">
        <v>4677</v>
      </c>
    </row>
    <row r="720" spans="1:7" x14ac:dyDescent="0.25">
      <c r="A720">
        <v>1485</v>
      </c>
      <c r="B720">
        <v>50719</v>
      </c>
      <c r="C720" s="2">
        <v>45101.771590530167</v>
      </c>
      <c r="D720">
        <v>49</v>
      </c>
      <c r="E720" t="s">
        <v>8</v>
      </c>
      <c r="F720" t="s">
        <v>10</v>
      </c>
      <c r="G720">
        <v>271</v>
      </c>
    </row>
    <row r="721" spans="1:7" x14ac:dyDescent="0.25">
      <c r="A721">
        <v>1028</v>
      </c>
      <c r="B721">
        <v>50720</v>
      </c>
      <c r="C721" s="2">
        <v>45102.015005001667</v>
      </c>
      <c r="D721">
        <v>64</v>
      </c>
      <c r="E721" t="s">
        <v>7</v>
      </c>
      <c r="F721" t="s">
        <v>12</v>
      </c>
      <c r="G721">
        <v>2768</v>
      </c>
    </row>
    <row r="722" spans="1:7" x14ac:dyDescent="0.25">
      <c r="A722">
        <v>1039</v>
      </c>
      <c r="B722">
        <v>50721</v>
      </c>
      <c r="C722" s="2">
        <v>45102.258419473153</v>
      </c>
      <c r="D722">
        <v>50</v>
      </c>
      <c r="E722" t="s">
        <v>8</v>
      </c>
      <c r="F722" t="s">
        <v>9</v>
      </c>
      <c r="G722">
        <v>3637</v>
      </c>
    </row>
    <row r="723" spans="1:7" x14ac:dyDescent="0.25">
      <c r="A723">
        <v>1273</v>
      </c>
      <c r="B723">
        <v>50722</v>
      </c>
      <c r="C723" s="2">
        <v>45102.50183394464</v>
      </c>
      <c r="D723">
        <v>63</v>
      </c>
      <c r="E723" t="s">
        <v>7</v>
      </c>
      <c r="F723" t="s">
        <v>11</v>
      </c>
      <c r="G723">
        <v>3180</v>
      </c>
    </row>
    <row r="724" spans="1:7" x14ac:dyDescent="0.25">
      <c r="A724">
        <v>1231</v>
      </c>
      <c r="B724">
        <v>50723</v>
      </c>
      <c r="C724" s="2">
        <v>45102.745248416133</v>
      </c>
      <c r="D724">
        <v>22</v>
      </c>
      <c r="E724" t="s">
        <v>7</v>
      </c>
      <c r="F724" t="s">
        <v>9</v>
      </c>
      <c r="G724">
        <v>1317</v>
      </c>
    </row>
    <row r="725" spans="1:7" x14ac:dyDescent="0.25">
      <c r="A725">
        <v>1086</v>
      </c>
      <c r="B725">
        <v>50724</v>
      </c>
      <c r="C725" s="2">
        <v>45102.988662887627</v>
      </c>
      <c r="D725">
        <v>60</v>
      </c>
      <c r="E725" t="s">
        <v>7</v>
      </c>
      <c r="F725" t="s">
        <v>12</v>
      </c>
      <c r="G725">
        <v>2586</v>
      </c>
    </row>
    <row r="726" spans="1:7" x14ac:dyDescent="0.25">
      <c r="A726">
        <v>1474</v>
      </c>
      <c r="B726">
        <v>50725</v>
      </c>
      <c r="C726" s="2">
        <v>45103.232077359113</v>
      </c>
      <c r="D726">
        <v>51</v>
      </c>
      <c r="E726" t="s">
        <v>8</v>
      </c>
      <c r="F726" t="s">
        <v>9</v>
      </c>
      <c r="G726">
        <v>3708</v>
      </c>
    </row>
    <row r="727" spans="1:7" x14ac:dyDescent="0.25">
      <c r="A727">
        <v>1126</v>
      </c>
      <c r="B727">
        <v>50726</v>
      </c>
      <c r="C727" s="2">
        <v>45103.475491830599</v>
      </c>
      <c r="D727">
        <v>57</v>
      </c>
      <c r="E727" t="s">
        <v>7</v>
      </c>
      <c r="F727" t="s">
        <v>9</v>
      </c>
      <c r="G727">
        <v>1559</v>
      </c>
    </row>
    <row r="728" spans="1:7" x14ac:dyDescent="0.25">
      <c r="A728">
        <v>1537</v>
      </c>
      <c r="B728">
        <v>50727</v>
      </c>
      <c r="C728" s="2">
        <v>45103.718906302092</v>
      </c>
      <c r="D728">
        <v>28</v>
      </c>
      <c r="E728" t="s">
        <v>7</v>
      </c>
      <c r="F728" t="s">
        <v>12</v>
      </c>
      <c r="G728">
        <v>4959</v>
      </c>
    </row>
    <row r="729" spans="1:7" x14ac:dyDescent="0.25">
      <c r="A729">
        <v>1145</v>
      </c>
      <c r="B729">
        <v>50728</v>
      </c>
      <c r="C729" s="2">
        <v>45103.962320773593</v>
      </c>
      <c r="D729">
        <v>20</v>
      </c>
      <c r="E729" t="s">
        <v>8</v>
      </c>
      <c r="F729" t="s">
        <v>9</v>
      </c>
      <c r="G729">
        <v>1715</v>
      </c>
    </row>
    <row r="730" spans="1:7" x14ac:dyDescent="0.25">
      <c r="A730">
        <v>1525</v>
      </c>
      <c r="B730">
        <v>50729</v>
      </c>
      <c r="C730" s="2">
        <v>45104.205735245079</v>
      </c>
      <c r="D730">
        <v>50</v>
      </c>
      <c r="E730" t="s">
        <v>8</v>
      </c>
      <c r="F730" t="s">
        <v>9</v>
      </c>
      <c r="G730">
        <v>239</v>
      </c>
    </row>
    <row r="731" spans="1:7" x14ac:dyDescent="0.25">
      <c r="A731">
        <v>1212</v>
      </c>
      <c r="B731">
        <v>50730</v>
      </c>
      <c r="C731" s="2">
        <v>45104.449149716573</v>
      </c>
      <c r="D731">
        <v>28</v>
      </c>
      <c r="E731" t="s">
        <v>8</v>
      </c>
      <c r="F731" t="s">
        <v>12</v>
      </c>
      <c r="G731">
        <v>1582</v>
      </c>
    </row>
    <row r="732" spans="1:7" x14ac:dyDescent="0.25">
      <c r="A732">
        <v>1025</v>
      </c>
      <c r="B732">
        <v>50731</v>
      </c>
      <c r="C732" s="2">
        <v>45104.692564188059</v>
      </c>
      <c r="D732">
        <v>33</v>
      </c>
      <c r="E732" t="s">
        <v>8</v>
      </c>
      <c r="F732" t="s">
        <v>10</v>
      </c>
      <c r="G732">
        <v>2230</v>
      </c>
    </row>
    <row r="733" spans="1:7" x14ac:dyDescent="0.25">
      <c r="A733">
        <v>1580</v>
      </c>
      <c r="B733">
        <v>50732</v>
      </c>
      <c r="C733" s="2">
        <v>45104.935978659552</v>
      </c>
      <c r="D733">
        <v>35</v>
      </c>
      <c r="E733" t="s">
        <v>7</v>
      </c>
      <c r="F733" t="s">
        <v>12</v>
      </c>
      <c r="G733">
        <v>2821</v>
      </c>
    </row>
    <row r="734" spans="1:7" x14ac:dyDescent="0.25">
      <c r="A734">
        <v>1394</v>
      </c>
      <c r="B734">
        <v>50733</v>
      </c>
      <c r="C734" s="2">
        <v>45105.179393131039</v>
      </c>
      <c r="D734">
        <v>47</v>
      </c>
      <c r="E734" t="s">
        <v>7</v>
      </c>
      <c r="F734" t="s">
        <v>9</v>
      </c>
      <c r="G734">
        <v>2100</v>
      </c>
    </row>
    <row r="735" spans="1:7" x14ac:dyDescent="0.25">
      <c r="A735">
        <v>1067</v>
      </c>
      <c r="B735">
        <v>50734</v>
      </c>
      <c r="C735" s="2">
        <v>45105.422807602517</v>
      </c>
      <c r="D735">
        <v>27</v>
      </c>
      <c r="E735" t="s">
        <v>7</v>
      </c>
      <c r="F735" t="s">
        <v>11</v>
      </c>
      <c r="G735">
        <v>2417</v>
      </c>
    </row>
    <row r="736" spans="1:7" x14ac:dyDescent="0.25">
      <c r="A736">
        <v>1233</v>
      </c>
      <c r="B736">
        <v>50735</v>
      </c>
      <c r="C736" s="2">
        <v>45105.666222074018</v>
      </c>
      <c r="D736">
        <v>35</v>
      </c>
      <c r="E736" t="s">
        <v>7</v>
      </c>
      <c r="F736" t="s">
        <v>11</v>
      </c>
      <c r="G736">
        <v>4996</v>
      </c>
    </row>
    <row r="737" spans="1:7" x14ac:dyDescent="0.25">
      <c r="A737">
        <v>1109</v>
      </c>
      <c r="B737">
        <v>50736</v>
      </c>
      <c r="C737" s="2">
        <v>45105.909636545512</v>
      </c>
      <c r="D737">
        <v>55</v>
      </c>
      <c r="E737" t="s">
        <v>8</v>
      </c>
      <c r="F737" t="s">
        <v>12</v>
      </c>
      <c r="G737">
        <v>4806</v>
      </c>
    </row>
    <row r="738" spans="1:7" x14ac:dyDescent="0.25">
      <c r="A738">
        <v>1146</v>
      </c>
      <c r="B738">
        <v>50737</v>
      </c>
      <c r="C738" s="2">
        <v>45106.153051017012</v>
      </c>
      <c r="D738">
        <v>36</v>
      </c>
      <c r="E738" t="s">
        <v>7</v>
      </c>
      <c r="F738" t="s">
        <v>11</v>
      </c>
      <c r="G738">
        <v>1483</v>
      </c>
    </row>
    <row r="739" spans="1:7" x14ac:dyDescent="0.25">
      <c r="A739">
        <v>1111</v>
      </c>
      <c r="B739">
        <v>50738</v>
      </c>
      <c r="C739" s="2">
        <v>45106.396465488499</v>
      </c>
      <c r="D739">
        <v>53</v>
      </c>
      <c r="E739" t="s">
        <v>7</v>
      </c>
      <c r="F739" t="s">
        <v>9</v>
      </c>
      <c r="G739">
        <v>783</v>
      </c>
    </row>
    <row r="740" spans="1:7" x14ac:dyDescent="0.25">
      <c r="A740">
        <v>1228</v>
      </c>
      <c r="B740">
        <v>50739</v>
      </c>
      <c r="C740" s="2">
        <v>45106.639879959977</v>
      </c>
      <c r="D740">
        <v>30</v>
      </c>
      <c r="E740" t="s">
        <v>7</v>
      </c>
      <c r="F740" t="s">
        <v>9</v>
      </c>
      <c r="G740">
        <v>658</v>
      </c>
    </row>
    <row r="741" spans="1:7" x14ac:dyDescent="0.25">
      <c r="A741">
        <v>1111</v>
      </c>
      <c r="B741">
        <v>50740</v>
      </c>
      <c r="C741" s="2">
        <v>45106.883294431471</v>
      </c>
      <c r="D741">
        <v>63</v>
      </c>
      <c r="E741" t="s">
        <v>7</v>
      </c>
      <c r="F741" t="s">
        <v>12</v>
      </c>
      <c r="G741">
        <v>2465</v>
      </c>
    </row>
    <row r="742" spans="1:7" x14ac:dyDescent="0.25">
      <c r="A742">
        <v>1470</v>
      </c>
      <c r="B742">
        <v>50741</v>
      </c>
      <c r="C742" s="2">
        <v>45107.126708902957</v>
      </c>
      <c r="D742">
        <v>20</v>
      </c>
      <c r="E742" t="s">
        <v>8</v>
      </c>
      <c r="F742" t="s">
        <v>9</v>
      </c>
      <c r="G742">
        <v>2866</v>
      </c>
    </row>
    <row r="743" spans="1:7" x14ac:dyDescent="0.25">
      <c r="A743">
        <v>1034</v>
      </c>
      <c r="B743">
        <v>50742</v>
      </c>
      <c r="C743" s="2">
        <v>45107.370123374458</v>
      </c>
      <c r="D743">
        <v>27</v>
      </c>
      <c r="E743" t="s">
        <v>7</v>
      </c>
      <c r="F743" t="s">
        <v>10</v>
      </c>
      <c r="G743">
        <v>1015</v>
      </c>
    </row>
    <row r="744" spans="1:7" x14ac:dyDescent="0.25">
      <c r="A744">
        <v>1369</v>
      </c>
      <c r="B744">
        <v>50743</v>
      </c>
      <c r="C744" s="2">
        <v>45107.613537845937</v>
      </c>
      <c r="D744">
        <v>55</v>
      </c>
      <c r="E744" t="s">
        <v>7</v>
      </c>
      <c r="F744" t="s">
        <v>9</v>
      </c>
      <c r="G744">
        <v>2711</v>
      </c>
    </row>
    <row r="745" spans="1:7" x14ac:dyDescent="0.25">
      <c r="A745">
        <v>1595</v>
      </c>
      <c r="B745">
        <v>50744</v>
      </c>
      <c r="C745" s="2">
        <v>45107.85695231743</v>
      </c>
      <c r="D745">
        <v>18</v>
      </c>
      <c r="E745" t="s">
        <v>7</v>
      </c>
      <c r="F745" t="s">
        <v>12</v>
      </c>
      <c r="G745">
        <v>446</v>
      </c>
    </row>
    <row r="746" spans="1:7" x14ac:dyDescent="0.25">
      <c r="A746">
        <v>1554</v>
      </c>
      <c r="B746">
        <v>50745</v>
      </c>
      <c r="C746" s="2">
        <v>45108.100366788924</v>
      </c>
      <c r="D746">
        <v>44</v>
      </c>
      <c r="E746" t="s">
        <v>8</v>
      </c>
      <c r="F746" t="s">
        <v>10</v>
      </c>
      <c r="G746">
        <v>616</v>
      </c>
    </row>
    <row r="747" spans="1:7" x14ac:dyDescent="0.25">
      <c r="A747">
        <v>1425</v>
      </c>
      <c r="B747">
        <v>50746</v>
      </c>
      <c r="C747" s="2">
        <v>45108.343781260417</v>
      </c>
      <c r="D747">
        <v>63</v>
      </c>
      <c r="E747" t="s">
        <v>8</v>
      </c>
      <c r="F747" t="s">
        <v>10</v>
      </c>
      <c r="G747">
        <v>4663</v>
      </c>
    </row>
    <row r="748" spans="1:7" x14ac:dyDescent="0.25">
      <c r="A748">
        <v>1518</v>
      </c>
      <c r="B748">
        <v>50747</v>
      </c>
      <c r="C748" s="2">
        <v>45108.58719573191</v>
      </c>
      <c r="D748">
        <v>25</v>
      </c>
      <c r="E748" t="s">
        <v>7</v>
      </c>
      <c r="F748" t="s">
        <v>11</v>
      </c>
      <c r="G748">
        <v>3917</v>
      </c>
    </row>
    <row r="749" spans="1:7" x14ac:dyDescent="0.25">
      <c r="A749">
        <v>1282</v>
      </c>
      <c r="B749">
        <v>50748</v>
      </c>
      <c r="C749" s="2">
        <v>45108.830610203389</v>
      </c>
      <c r="D749">
        <v>63</v>
      </c>
      <c r="E749" t="s">
        <v>7</v>
      </c>
      <c r="F749" t="s">
        <v>9</v>
      </c>
      <c r="G749">
        <v>307</v>
      </c>
    </row>
    <row r="750" spans="1:7" x14ac:dyDescent="0.25">
      <c r="A750">
        <v>1320</v>
      </c>
      <c r="B750">
        <v>50749</v>
      </c>
      <c r="C750" s="2">
        <v>45109.074024674883</v>
      </c>
      <c r="D750">
        <v>59</v>
      </c>
      <c r="E750" t="s">
        <v>7</v>
      </c>
      <c r="F750" t="s">
        <v>12</v>
      </c>
      <c r="G750">
        <v>2831</v>
      </c>
    </row>
    <row r="751" spans="1:7" x14ac:dyDescent="0.25">
      <c r="A751">
        <v>1443</v>
      </c>
      <c r="B751">
        <v>50750</v>
      </c>
      <c r="C751" s="2">
        <v>45109.317439146384</v>
      </c>
      <c r="D751">
        <v>34</v>
      </c>
      <c r="E751" t="s">
        <v>8</v>
      </c>
      <c r="F751" t="s">
        <v>11</v>
      </c>
      <c r="G751">
        <v>1038</v>
      </c>
    </row>
    <row r="752" spans="1:7" x14ac:dyDescent="0.25">
      <c r="A752">
        <v>1315</v>
      </c>
      <c r="B752">
        <v>50751</v>
      </c>
      <c r="C752" s="2">
        <v>45109.56085361787</v>
      </c>
      <c r="D752">
        <v>26</v>
      </c>
      <c r="E752" t="s">
        <v>7</v>
      </c>
      <c r="F752" t="s">
        <v>11</v>
      </c>
      <c r="G752">
        <v>4713</v>
      </c>
    </row>
    <row r="753" spans="1:7" x14ac:dyDescent="0.25">
      <c r="A753">
        <v>1377</v>
      </c>
      <c r="B753">
        <v>50752</v>
      </c>
      <c r="C753" s="2">
        <v>45109.804268089349</v>
      </c>
      <c r="D753">
        <v>23</v>
      </c>
      <c r="E753" t="s">
        <v>7</v>
      </c>
      <c r="F753" t="s">
        <v>9</v>
      </c>
      <c r="G753">
        <v>1621</v>
      </c>
    </row>
    <row r="754" spans="1:7" x14ac:dyDescent="0.25">
      <c r="A754">
        <v>1289</v>
      </c>
      <c r="B754">
        <v>50753</v>
      </c>
      <c r="C754" s="2">
        <v>45110.047682560842</v>
      </c>
      <c r="D754">
        <v>60</v>
      </c>
      <c r="E754" t="s">
        <v>7</v>
      </c>
      <c r="F754" t="s">
        <v>9</v>
      </c>
      <c r="G754">
        <v>4978</v>
      </c>
    </row>
    <row r="755" spans="1:7" x14ac:dyDescent="0.25">
      <c r="A755">
        <v>1437</v>
      </c>
      <c r="B755">
        <v>50754</v>
      </c>
      <c r="C755" s="2">
        <v>45110.291097032343</v>
      </c>
      <c r="D755">
        <v>42</v>
      </c>
      <c r="E755" t="s">
        <v>8</v>
      </c>
      <c r="F755" t="s">
        <v>12</v>
      </c>
      <c r="G755">
        <v>4112</v>
      </c>
    </row>
    <row r="756" spans="1:7" x14ac:dyDescent="0.25">
      <c r="A756">
        <v>1277</v>
      </c>
      <c r="B756">
        <v>50755</v>
      </c>
      <c r="C756" s="2">
        <v>45110.534511503829</v>
      </c>
      <c r="D756">
        <v>56</v>
      </c>
      <c r="E756" t="s">
        <v>7</v>
      </c>
      <c r="F756" t="s">
        <v>11</v>
      </c>
      <c r="G756">
        <v>455</v>
      </c>
    </row>
    <row r="757" spans="1:7" x14ac:dyDescent="0.25">
      <c r="A757">
        <v>1582</v>
      </c>
      <c r="B757">
        <v>50756</v>
      </c>
      <c r="C757" s="2">
        <v>45110.777925975322</v>
      </c>
      <c r="D757">
        <v>45</v>
      </c>
      <c r="E757" t="s">
        <v>7</v>
      </c>
      <c r="F757" t="s">
        <v>12</v>
      </c>
      <c r="G757">
        <v>3027</v>
      </c>
    </row>
    <row r="758" spans="1:7" x14ac:dyDescent="0.25">
      <c r="A758">
        <v>1503</v>
      </c>
      <c r="B758">
        <v>50757</v>
      </c>
      <c r="C758" s="2">
        <v>45111.021340446809</v>
      </c>
      <c r="D758">
        <v>50</v>
      </c>
      <c r="E758" t="s">
        <v>8</v>
      </c>
      <c r="F758" t="s">
        <v>11</v>
      </c>
      <c r="G758">
        <v>1037</v>
      </c>
    </row>
    <row r="759" spans="1:7" x14ac:dyDescent="0.25">
      <c r="A759">
        <v>1516</v>
      </c>
      <c r="B759">
        <v>50758</v>
      </c>
      <c r="C759" s="2">
        <v>45111.264754918302</v>
      </c>
      <c r="D759">
        <v>54</v>
      </c>
      <c r="E759" t="s">
        <v>8</v>
      </c>
      <c r="F759" t="s">
        <v>11</v>
      </c>
      <c r="G759">
        <v>3162</v>
      </c>
    </row>
    <row r="760" spans="1:7" x14ac:dyDescent="0.25">
      <c r="A760">
        <v>1350</v>
      </c>
      <c r="B760">
        <v>50759</v>
      </c>
      <c r="C760" s="2">
        <v>45111.508169389788</v>
      </c>
      <c r="D760">
        <v>26</v>
      </c>
      <c r="E760" t="s">
        <v>7</v>
      </c>
      <c r="F760" t="s">
        <v>11</v>
      </c>
      <c r="G760">
        <v>2482</v>
      </c>
    </row>
    <row r="761" spans="1:7" x14ac:dyDescent="0.25">
      <c r="A761">
        <v>1446</v>
      </c>
      <c r="B761">
        <v>50760</v>
      </c>
      <c r="C761" s="2">
        <v>45111.751583861282</v>
      </c>
      <c r="D761">
        <v>35</v>
      </c>
      <c r="E761" t="s">
        <v>8</v>
      </c>
      <c r="F761" t="s">
        <v>9</v>
      </c>
      <c r="G761">
        <v>752</v>
      </c>
    </row>
    <row r="762" spans="1:7" x14ac:dyDescent="0.25">
      <c r="A762">
        <v>1350</v>
      </c>
      <c r="B762">
        <v>50761</v>
      </c>
      <c r="C762" s="2">
        <v>45111.994998332768</v>
      </c>
      <c r="D762">
        <v>38</v>
      </c>
      <c r="E762" t="s">
        <v>7</v>
      </c>
      <c r="F762" t="s">
        <v>11</v>
      </c>
      <c r="G762">
        <v>380</v>
      </c>
    </row>
    <row r="763" spans="1:7" x14ac:dyDescent="0.25">
      <c r="A763">
        <v>1137</v>
      </c>
      <c r="B763">
        <v>50762</v>
      </c>
      <c r="C763" s="2">
        <v>45112.238412804261</v>
      </c>
      <c r="D763">
        <v>19</v>
      </c>
      <c r="E763" t="s">
        <v>8</v>
      </c>
      <c r="F763" t="s">
        <v>11</v>
      </c>
      <c r="G763">
        <v>4452</v>
      </c>
    </row>
    <row r="764" spans="1:7" x14ac:dyDescent="0.25">
      <c r="A764">
        <v>1243</v>
      </c>
      <c r="B764">
        <v>50763</v>
      </c>
      <c r="C764" s="2">
        <v>45112.481827275747</v>
      </c>
      <c r="D764">
        <v>60</v>
      </c>
      <c r="E764" t="s">
        <v>8</v>
      </c>
      <c r="F764" t="s">
        <v>11</v>
      </c>
      <c r="G764">
        <v>1677</v>
      </c>
    </row>
    <row r="765" spans="1:7" x14ac:dyDescent="0.25">
      <c r="A765">
        <v>1543</v>
      </c>
      <c r="B765">
        <v>50764</v>
      </c>
      <c r="C765" s="2">
        <v>45112.725241747248</v>
      </c>
      <c r="D765">
        <v>55</v>
      </c>
      <c r="E765" t="s">
        <v>7</v>
      </c>
      <c r="F765" t="s">
        <v>10</v>
      </c>
      <c r="G765">
        <v>770</v>
      </c>
    </row>
    <row r="766" spans="1:7" x14ac:dyDescent="0.25">
      <c r="A766">
        <v>1040</v>
      </c>
      <c r="B766">
        <v>50765</v>
      </c>
      <c r="C766" s="2">
        <v>45112.968656218742</v>
      </c>
      <c r="D766">
        <v>57</v>
      </c>
      <c r="E766" t="s">
        <v>7</v>
      </c>
      <c r="F766" t="s">
        <v>9</v>
      </c>
      <c r="G766">
        <v>1927</v>
      </c>
    </row>
    <row r="767" spans="1:7" x14ac:dyDescent="0.25">
      <c r="A767">
        <v>1229</v>
      </c>
      <c r="B767">
        <v>50766</v>
      </c>
      <c r="C767" s="2">
        <v>45113.212070690221</v>
      </c>
      <c r="D767">
        <v>53</v>
      </c>
      <c r="E767" t="s">
        <v>7</v>
      </c>
      <c r="F767" t="s">
        <v>10</v>
      </c>
      <c r="G767">
        <v>791</v>
      </c>
    </row>
    <row r="768" spans="1:7" x14ac:dyDescent="0.25">
      <c r="A768">
        <v>1548</v>
      </c>
      <c r="B768">
        <v>50767</v>
      </c>
      <c r="C768" s="2">
        <v>45113.455485161707</v>
      </c>
      <c r="D768">
        <v>60</v>
      </c>
      <c r="E768" t="s">
        <v>8</v>
      </c>
      <c r="F768" t="s">
        <v>9</v>
      </c>
      <c r="G768">
        <v>4716</v>
      </c>
    </row>
    <row r="769" spans="1:7" x14ac:dyDescent="0.25">
      <c r="A769">
        <v>1223</v>
      </c>
      <c r="B769">
        <v>50768</v>
      </c>
      <c r="C769" s="2">
        <v>45113.698899633207</v>
      </c>
      <c r="D769">
        <v>54</v>
      </c>
      <c r="E769" t="s">
        <v>7</v>
      </c>
      <c r="F769" t="s">
        <v>12</v>
      </c>
      <c r="G769">
        <v>2460</v>
      </c>
    </row>
    <row r="770" spans="1:7" x14ac:dyDescent="0.25">
      <c r="A770">
        <v>1006</v>
      </c>
      <c r="B770">
        <v>50769</v>
      </c>
      <c r="C770" s="2">
        <v>45113.942314104701</v>
      </c>
      <c r="D770">
        <v>32</v>
      </c>
      <c r="E770" t="s">
        <v>7</v>
      </c>
      <c r="F770" t="s">
        <v>10</v>
      </c>
      <c r="G770">
        <v>3147</v>
      </c>
    </row>
    <row r="771" spans="1:7" x14ac:dyDescent="0.25">
      <c r="A771">
        <v>1322</v>
      </c>
      <c r="B771">
        <v>50770</v>
      </c>
      <c r="C771" s="2">
        <v>45114.18572857618</v>
      </c>
      <c r="D771">
        <v>45</v>
      </c>
      <c r="E771" t="s">
        <v>7</v>
      </c>
      <c r="F771" t="s">
        <v>12</v>
      </c>
      <c r="G771">
        <v>547</v>
      </c>
    </row>
    <row r="772" spans="1:7" x14ac:dyDescent="0.25">
      <c r="A772">
        <v>1468</v>
      </c>
      <c r="B772">
        <v>50771</v>
      </c>
      <c r="C772" s="2">
        <v>45114.429143047673</v>
      </c>
      <c r="D772">
        <v>35</v>
      </c>
      <c r="E772" t="s">
        <v>7</v>
      </c>
      <c r="F772" t="s">
        <v>11</v>
      </c>
      <c r="G772">
        <v>365</v>
      </c>
    </row>
    <row r="773" spans="1:7" x14ac:dyDescent="0.25">
      <c r="A773">
        <v>1075</v>
      </c>
      <c r="B773">
        <v>50772</v>
      </c>
      <c r="C773" s="2">
        <v>45114.672557519167</v>
      </c>
      <c r="D773">
        <v>51</v>
      </c>
      <c r="E773" t="s">
        <v>7</v>
      </c>
      <c r="F773" t="s">
        <v>12</v>
      </c>
      <c r="G773">
        <v>4643</v>
      </c>
    </row>
    <row r="774" spans="1:7" x14ac:dyDescent="0.25">
      <c r="A774">
        <v>1004</v>
      </c>
      <c r="B774">
        <v>50773</v>
      </c>
      <c r="C774" s="2">
        <v>45114.91597199066</v>
      </c>
      <c r="D774">
        <v>39</v>
      </c>
      <c r="E774" t="s">
        <v>8</v>
      </c>
      <c r="F774" t="s">
        <v>12</v>
      </c>
      <c r="G774">
        <v>3096</v>
      </c>
    </row>
    <row r="775" spans="1:7" x14ac:dyDescent="0.25">
      <c r="A775">
        <v>1118</v>
      </c>
      <c r="B775">
        <v>50774</v>
      </c>
      <c r="C775" s="2">
        <v>45115.159386462154</v>
      </c>
      <c r="D775">
        <v>28</v>
      </c>
      <c r="E775" t="s">
        <v>7</v>
      </c>
      <c r="F775" t="s">
        <v>12</v>
      </c>
      <c r="G775">
        <v>4693</v>
      </c>
    </row>
    <row r="776" spans="1:7" x14ac:dyDescent="0.25">
      <c r="A776">
        <v>1504</v>
      </c>
      <c r="B776">
        <v>50775</v>
      </c>
      <c r="C776" s="2">
        <v>45115.402800933633</v>
      </c>
      <c r="D776">
        <v>30</v>
      </c>
      <c r="E776" t="s">
        <v>7</v>
      </c>
      <c r="F776" t="s">
        <v>12</v>
      </c>
      <c r="G776">
        <v>782</v>
      </c>
    </row>
    <row r="777" spans="1:7" x14ac:dyDescent="0.25">
      <c r="A777">
        <v>1574</v>
      </c>
      <c r="B777">
        <v>50776</v>
      </c>
      <c r="C777" s="2">
        <v>45115.646215405133</v>
      </c>
      <c r="D777">
        <v>21</v>
      </c>
      <c r="E777" t="s">
        <v>8</v>
      </c>
      <c r="F777" t="s">
        <v>9</v>
      </c>
      <c r="G777">
        <v>3706</v>
      </c>
    </row>
    <row r="778" spans="1:7" x14ac:dyDescent="0.25">
      <c r="A778">
        <v>1441</v>
      </c>
      <c r="B778">
        <v>50777</v>
      </c>
      <c r="C778" s="2">
        <v>45115.889629876619</v>
      </c>
      <c r="D778">
        <v>39</v>
      </c>
      <c r="E778" t="s">
        <v>7</v>
      </c>
      <c r="F778" t="s">
        <v>10</v>
      </c>
      <c r="G778">
        <v>4603</v>
      </c>
    </row>
    <row r="779" spans="1:7" x14ac:dyDescent="0.25">
      <c r="A779">
        <v>1194</v>
      </c>
      <c r="B779">
        <v>50778</v>
      </c>
      <c r="C779" s="2">
        <v>45116.133044348113</v>
      </c>
      <c r="D779">
        <v>24</v>
      </c>
      <c r="E779" t="s">
        <v>7</v>
      </c>
      <c r="F779" t="s">
        <v>9</v>
      </c>
      <c r="G779">
        <v>3238</v>
      </c>
    </row>
    <row r="780" spans="1:7" x14ac:dyDescent="0.25">
      <c r="A780">
        <v>1392</v>
      </c>
      <c r="B780">
        <v>50779</v>
      </c>
      <c r="C780" s="2">
        <v>45116.376458819614</v>
      </c>
      <c r="D780">
        <v>60</v>
      </c>
      <c r="E780" t="s">
        <v>7</v>
      </c>
      <c r="F780" t="s">
        <v>9</v>
      </c>
      <c r="G780">
        <v>3045</v>
      </c>
    </row>
    <row r="781" spans="1:7" x14ac:dyDescent="0.25">
      <c r="A781">
        <v>1026</v>
      </c>
      <c r="B781">
        <v>50780</v>
      </c>
      <c r="C781" s="2">
        <v>45116.619873291093</v>
      </c>
      <c r="D781">
        <v>41</v>
      </c>
      <c r="E781" t="s">
        <v>7</v>
      </c>
      <c r="F781" t="s">
        <v>9</v>
      </c>
      <c r="G781">
        <v>2966</v>
      </c>
    </row>
    <row r="782" spans="1:7" x14ac:dyDescent="0.25">
      <c r="A782">
        <v>1435</v>
      </c>
      <c r="B782">
        <v>50781</v>
      </c>
      <c r="C782" s="2">
        <v>45116.863287762579</v>
      </c>
      <c r="D782">
        <v>21</v>
      </c>
      <c r="E782" t="s">
        <v>7</v>
      </c>
      <c r="F782" t="s">
        <v>12</v>
      </c>
      <c r="G782">
        <v>4394</v>
      </c>
    </row>
    <row r="783" spans="1:7" x14ac:dyDescent="0.25">
      <c r="A783">
        <v>1173</v>
      </c>
      <c r="B783">
        <v>50782</v>
      </c>
      <c r="C783" s="2">
        <v>45117.106702234072</v>
      </c>
      <c r="D783">
        <v>45</v>
      </c>
      <c r="E783" t="s">
        <v>8</v>
      </c>
      <c r="F783" t="s">
        <v>9</v>
      </c>
      <c r="G783">
        <v>1465</v>
      </c>
    </row>
    <row r="784" spans="1:7" x14ac:dyDescent="0.25">
      <c r="A784">
        <v>1300</v>
      </c>
      <c r="B784">
        <v>50783</v>
      </c>
      <c r="C784" s="2">
        <v>45117.350116705573</v>
      </c>
      <c r="D784">
        <v>32</v>
      </c>
      <c r="E784" t="s">
        <v>8</v>
      </c>
      <c r="F784" t="s">
        <v>10</v>
      </c>
      <c r="G784">
        <v>4453</v>
      </c>
    </row>
    <row r="785" spans="1:7" x14ac:dyDescent="0.25">
      <c r="A785">
        <v>1326</v>
      </c>
      <c r="B785">
        <v>50784</v>
      </c>
      <c r="C785" s="2">
        <v>45117.593531177052</v>
      </c>
      <c r="D785">
        <v>18</v>
      </c>
      <c r="E785" t="s">
        <v>8</v>
      </c>
      <c r="F785" t="s">
        <v>9</v>
      </c>
      <c r="G785">
        <v>4849</v>
      </c>
    </row>
    <row r="786" spans="1:7" x14ac:dyDescent="0.25">
      <c r="A786">
        <v>1410</v>
      </c>
      <c r="B786">
        <v>50785</v>
      </c>
      <c r="C786" s="2">
        <v>45117.836945648553</v>
      </c>
      <c r="D786">
        <v>20</v>
      </c>
      <c r="E786" t="s">
        <v>7</v>
      </c>
      <c r="F786" t="s">
        <v>11</v>
      </c>
      <c r="G786">
        <v>4946</v>
      </c>
    </row>
    <row r="787" spans="1:7" x14ac:dyDescent="0.25">
      <c r="A787">
        <v>1118</v>
      </c>
      <c r="B787">
        <v>50786</v>
      </c>
      <c r="C787" s="2">
        <v>45118.080360120031</v>
      </c>
      <c r="D787">
        <v>31</v>
      </c>
      <c r="E787" t="s">
        <v>8</v>
      </c>
      <c r="F787" t="s">
        <v>12</v>
      </c>
      <c r="G787">
        <v>3167</v>
      </c>
    </row>
    <row r="788" spans="1:7" x14ac:dyDescent="0.25">
      <c r="A788">
        <v>1225</v>
      </c>
      <c r="B788">
        <v>50787</v>
      </c>
      <c r="C788" s="2">
        <v>45118.323774591518</v>
      </c>
      <c r="D788">
        <v>55</v>
      </c>
      <c r="E788" t="s">
        <v>7</v>
      </c>
      <c r="F788" t="s">
        <v>11</v>
      </c>
      <c r="G788">
        <v>2474</v>
      </c>
    </row>
    <row r="789" spans="1:7" x14ac:dyDescent="0.25">
      <c r="A789">
        <v>1532</v>
      </c>
      <c r="B789">
        <v>50788</v>
      </c>
      <c r="C789" s="2">
        <v>45118.567189063018</v>
      </c>
      <c r="D789">
        <v>18</v>
      </c>
      <c r="E789" t="s">
        <v>7</v>
      </c>
      <c r="F789" t="s">
        <v>10</v>
      </c>
      <c r="G789">
        <v>2670</v>
      </c>
    </row>
    <row r="790" spans="1:7" x14ac:dyDescent="0.25">
      <c r="A790">
        <v>1113</v>
      </c>
      <c r="B790">
        <v>50789</v>
      </c>
      <c r="C790" s="2">
        <v>45118.810603534497</v>
      </c>
      <c r="D790">
        <v>55</v>
      </c>
      <c r="E790" t="s">
        <v>7</v>
      </c>
      <c r="F790" t="s">
        <v>10</v>
      </c>
      <c r="G790">
        <v>2490</v>
      </c>
    </row>
    <row r="791" spans="1:7" x14ac:dyDescent="0.25">
      <c r="A791">
        <v>1140</v>
      </c>
      <c r="B791">
        <v>50790</v>
      </c>
      <c r="C791" s="2">
        <v>45119.054018005998</v>
      </c>
      <c r="D791">
        <v>55</v>
      </c>
      <c r="E791" t="s">
        <v>8</v>
      </c>
      <c r="F791" t="s">
        <v>10</v>
      </c>
      <c r="G791">
        <v>2777</v>
      </c>
    </row>
    <row r="792" spans="1:7" x14ac:dyDescent="0.25">
      <c r="A792">
        <v>1559</v>
      </c>
      <c r="B792">
        <v>50791</v>
      </c>
      <c r="C792" s="2">
        <v>45119.297432477491</v>
      </c>
      <c r="D792">
        <v>38</v>
      </c>
      <c r="E792" t="s">
        <v>8</v>
      </c>
      <c r="F792" t="s">
        <v>10</v>
      </c>
      <c r="G792">
        <v>3860</v>
      </c>
    </row>
    <row r="793" spans="1:7" x14ac:dyDescent="0.25">
      <c r="A793">
        <v>1001</v>
      </c>
      <c r="B793">
        <v>50792</v>
      </c>
      <c r="C793" s="2">
        <v>45119.540846948978</v>
      </c>
      <c r="D793">
        <v>46</v>
      </c>
      <c r="E793" t="s">
        <v>8</v>
      </c>
      <c r="F793" t="s">
        <v>9</v>
      </c>
      <c r="G793">
        <v>1268</v>
      </c>
    </row>
    <row r="794" spans="1:7" x14ac:dyDescent="0.25">
      <c r="A794">
        <v>1090</v>
      </c>
      <c r="B794">
        <v>50793</v>
      </c>
      <c r="C794" s="2">
        <v>45119.784261420456</v>
      </c>
      <c r="D794">
        <v>22</v>
      </c>
      <c r="E794" t="s">
        <v>7</v>
      </c>
      <c r="F794" t="s">
        <v>12</v>
      </c>
      <c r="G794">
        <v>2936</v>
      </c>
    </row>
    <row r="795" spans="1:7" x14ac:dyDescent="0.25">
      <c r="A795">
        <v>1320</v>
      </c>
      <c r="B795">
        <v>50794</v>
      </c>
      <c r="C795" s="2">
        <v>45120.027675891957</v>
      </c>
      <c r="D795">
        <v>27</v>
      </c>
      <c r="E795" t="s">
        <v>8</v>
      </c>
      <c r="F795" t="s">
        <v>10</v>
      </c>
      <c r="G795">
        <v>2150</v>
      </c>
    </row>
    <row r="796" spans="1:7" x14ac:dyDescent="0.25">
      <c r="A796">
        <v>1550</v>
      </c>
      <c r="B796">
        <v>50795</v>
      </c>
      <c r="C796" s="2">
        <v>45120.271090363451</v>
      </c>
      <c r="D796">
        <v>45</v>
      </c>
      <c r="E796" t="s">
        <v>7</v>
      </c>
      <c r="F796" t="s">
        <v>11</v>
      </c>
      <c r="G796">
        <v>291</v>
      </c>
    </row>
    <row r="797" spans="1:7" x14ac:dyDescent="0.25">
      <c r="A797">
        <v>1139</v>
      </c>
      <c r="B797">
        <v>50796</v>
      </c>
      <c r="C797" s="2">
        <v>45120.514504834937</v>
      </c>
      <c r="D797">
        <v>38</v>
      </c>
      <c r="E797" t="s">
        <v>8</v>
      </c>
      <c r="F797" t="s">
        <v>10</v>
      </c>
      <c r="G797">
        <v>3293</v>
      </c>
    </row>
    <row r="798" spans="1:7" x14ac:dyDescent="0.25">
      <c r="A798">
        <v>1511</v>
      </c>
      <c r="B798">
        <v>50797</v>
      </c>
      <c r="C798" s="2">
        <v>45120.757919306438</v>
      </c>
      <c r="D798">
        <v>24</v>
      </c>
      <c r="E798" t="s">
        <v>8</v>
      </c>
      <c r="F798" t="s">
        <v>12</v>
      </c>
      <c r="G798">
        <v>2419</v>
      </c>
    </row>
    <row r="799" spans="1:7" x14ac:dyDescent="0.25">
      <c r="A799">
        <v>1259</v>
      </c>
      <c r="B799">
        <v>50798</v>
      </c>
      <c r="C799" s="2">
        <v>45121.001333777916</v>
      </c>
      <c r="D799">
        <v>20</v>
      </c>
      <c r="E799" t="s">
        <v>7</v>
      </c>
      <c r="F799" t="s">
        <v>11</v>
      </c>
      <c r="G799">
        <v>1587</v>
      </c>
    </row>
    <row r="800" spans="1:7" x14ac:dyDescent="0.25">
      <c r="A800">
        <v>1010</v>
      </c>
      <c r="B800">
        <v>50799</v>
      </c>
      <c r="C800" s="2">
        <v>45121.24474824941</v>
      </c>
      <c r="D800">
        <v>62</v>
      </c>
      <c r="E800" t="s">
        <v>7</v>
      </c>
      <c r="F800" t="s">
        <v>11</v>
      </c>
      <c r="G800">
        <v>4474</v>
      </c>
    </row>
    <row r="801" spans="1:7" x14ac:dyDescent="0.25">
      <c r="A801">
        <v>1261</v>
      </c>
      <c r="B801">
        <v>50800</v>
      </c>
      <c r="C801" s="2">
        <v>45121.488162720903</v>
      </c>
      <c r="D801">
        <v>64</v>
      </c>
      <c r="E801" t="s">
        <v>8</v>
      </c>
      <c r="F801" t="s">
        <v>11</v>
      </c>
      <c r="G801">
        <v>2485</v>
      </c>
    </row>
    <row r="802" spans="1:7" x14ac:dyDescent="0.25">
      <c r="A802">
        <v>1172</v>
      </c>
      <c r="B802">
        <v>50801</v>
      </c>
      <c r="C802" s="2">
        <v>45121.731577192397</v>
      </c>
      <c r="D802">
        <v>37</v>
      </c>
      <c r="E802" t="s">
        <v>8</v>
      </c>
      <c r="F802" t="s">
        <v>9</v>
      </c>
      <c r="G802">
        <v>3406</v>
      </c>
    </row>
    <row r="803" spans="1:7" x14ac:dyDescent="0.25">
      <c r="A803">
        <v>1013</v>
      </c>
      <c r="B803">
        <v>50802</v>
      </c>
      <c r="C803" s="2">
        <v>45121.974991663883</v>
      </c>
      <c r="D803">
        <v>36</v>
      </c>
      <c r="E803" t="s">
        <v>8</v>
      </c>
      <c r="F803" t="s">
        <v>10</v>
      </c>
      <c r="G803">
        <v>3124</v>
      </c>
    </row>
    <row r="804" spans="1:7" x14ac:dyDescent="0.25">
      <c r="A804">
        <v>1168</v>
      </c>
      <c r="B804">
        <v>50803</v>
      </c>
      <c r="C804" s="2">
        <v>45122.218406135369</v>
      </c>
      <c r="D804">
        <v>52</v>
      </c>
      <c r="E804" t="s">
        <v>7</v>
      </c>
      <c r="F804" t="s">
        <v>9</v>
      </c>
      <c r="G804">
        <v>479</v>
      </c>
    </row>
    <row r="805" spans="1:7" x14ac:dyDescent="0.25">
      <c r="A805">
        <v>1596</v>
      </c>
      <c r="B805">
        <v>50804</v>
      </c>
      <c r="C805" s="2">
        <v>45122.461820606863</v>
      </c>
      <c r="D805">
        <v>21</v>
      </c>
      <c r="E805" t="s">
        <v>7</v>
      </c>
      <c r="F805" t="s">
        <v>11</v>
      </c>
      <c r="G805">
        <v>1818</v>
      </c>
    </row>
    <row r="806" spans="1:7" x14ac:dyDescent="0.25">
      <c r="A806">
        <v>1321</v>
      </c>
      <c r="B806">
        <v>50805</v>
      </c>
      <c r="C806" s="2">
        <v>45122.705235078363</v>
      </c>
      <c r="D806">
        <v>22</v>
      </c>
      <c r="E806" t="s">
        <v>8</v>
      </c>
      <c r="F806" t="s">
        <v>9</v>
      </c>
      <c r="G806">
        <v>2987</v>
      </c>
    </row>
    <row r="807" spans="1:7" x14ac:dyDescent="0.25">
      <c r="A807">
        <v>1319</v>
      </c>
      <c r="B807">
        <v>50806</v>
      </c>
      <c r="C807" s="2">
        <v>45122.94864954985</v>
      </c>
      <c r="D807">
        <v>18</v>
      </c>
      <c r="E807" t="s">
        <v>8</v>
      </c>
      <c r="F807" t="s">
        <v>9</v>
      </c>
      <c r="G807">
        <v>570</v>
      </c>
    </row>
    <row r="808" spans="1:7" x14ac:dyDescent="0.25">
      <c r="A808">
        <v>1329</v>
      </c>
      <c r="B808">
        <v>50807</v>
      </c>
      <c r="C808" s="2">
        <v>45123.192064021328</v>
      </c>
      <c r="D808">
        <v>21</v>
      </c>
      <c r="E808" t="s">
        <v>7</v>
      </c>
      <c r="F808" t="s">
        <v>9</v>
      </c>
      <c r="G808">
        <v>3383</v>
      </c>
    </row>
    <row r="809" spans="1:7" x14ac:dyDescent="0.25">
      <c r="A809">
        <v>1550</v>
      </c>
      <c r="B809">
        <v>50808</v>
      </c>
      <c r="C809" s="2">
        <v>45123.435478492822</v>
      </c>
      <c r="D809">
        <v>29</v>
      </c>
      <c r="E809" t="s">
        <v>8</v>
      </c>
      <c r="F809" t="s">
        <v>10</v>
      </c>
      <c r="G809">
        <v>4034</v>
      </c>
    </row>
    <row r="810" spans="1:7" x14ac:dyDescent="0.25">
      <c r="A810">
        <v>1419</v>
      </c>
      <c r="B810">
        <v>50809</v>
      </c>
      <c r="C810" s="2">
        <v>45123.678892964323</v>
      </c>
      <c r="D810">
        <v>44</v>
      </c>
      <c r="E810" t="s">
        <v>7</v>
      </c>
      <c r="F810" t="s">
        <v>11</v>
      </c>
      <c r="G810">
        <v>1903</v>
      </c>
    </row>
    <row r="811" spans="1:7" x14ac:dyDescent="0.25">
      <c r="A811">
        <v>1095</v>
      </c>
      <c r="B811">
        <v>50810</v>
      </c>
      <c r="C811" s="2">
        <v>45123.922307435809</v>
      </c>
      <c r="D811">
        <v>59</v>
      </c>
      <c r="E811" t="s">
        <v>7</v>
      </c>
      <c r="F811" t="s">
        <v>11</v>
      </c>
      <c r="G811">
        <v>2468</v>
      </c>
    </row>
    <row r="812" spans="1:7" x14ac:dyDescent="0.25">
      <c r="A812">
        <v>1581</v>
      </c>
      <c r="B812">
        <v>50811</v>
      </c>
      <c r="C812" s="2">
        <v>45124.165721907288</v>
      </c>
      <c r="D812">
        <v>40</v>
      </c>
      <c r="E812" t="s">
        <v>7</v>
      </c>
      <c r="F812" t="s">
        <v>10</v>
      </c>
      <c r="G812">
        <v>503</v>
      </c>
    </row>
    <row r="813" spans="1:7" x14ac:dyDescent="0.25">
      <c r="A813">
        <v>1318</v>
      </c>
      <c r="B813">
        <v>50812</v>
      </c>
      <c r="C813" s="2">
        <v>45124.409136378781</v>
      </c>
      <c r="D813">
        <v>42</v>
      </c>
      <c r="E813" t="s">
        <v>7</v>
      </c>
      <c r="F813" t="s">
        <v>9</v>
      </c>
      <c r="G813">
        <v>3974</v>
      </c>
    </row>
    <row r="814" spans="1:7" x14ac:dyDescent="0.25">
      <c r="A814">
        <v>1236</v>
      </c>
      <c r="B814">
        <v>50813</v>
      </c>
      <c r="C814" s="2">
        <v>45124.652550850267</v>
      </c>
      <c r="D814">
        <v>38</v>
      </c>
      <c r="E814" t="s">
        <v>7</v>
      </c>
      <c r="F814" t="s">
        <v>9</v>
      </c>
      <c r="G814">
        <v>1548</v>
      </c>
    </row>
    <row r="815" spans="1:7" x14ac:dyDescent="0.25">
      <c r="A815">
        <v>1334</v>
      </c>
      <c r="B815">
        <v>50814</v>
      </c>
      <c r="C815" s="2">
        <v>45124.895965321768</v>
      </c>
      <c r="D815">
        <v>41</v>
      </c>
      <c r="E815" t="s">
        <v>7</v>
      </c>
      <c r="F815" t="s">
        <v>12</v>
      </c>
      <c r="G815">
        <v>2622</v>
      </c>
    </row>
    <row r="816" spans="1:7" x14ac:dyDescent="0.25">
      <c r="A816">
        <v>1376</v>
      </c>
      <c r="B816">
        <v>50815</v>
      </c>
      <c r="C816" s="2">
        <v>45125.139379793261</v>
      </c>
      <c r="D816">
        <v>42</v>
      </c>
      <c r="E816" t="s">
        <v>8</v>
      </c>
      <c r="F816" t="s">
        <v>12</v>
      </c>
      <c r="G816">
        <v>3828</v>
      </c>
    </row>
    <row r="817" spans="1:7" x14ac:dyDescent="0.25">
      <c r="A817">
        <v>1459</v>
      </c>
      <c r="B817">
        <v>50816</v>
      </c>
      <c r="C817" s="2">
        <v>45125.382794264748</v>
      </c>
      <c r="D817">
        <v>62</v>
      </c>
      <c r="E817" t="s">
        <v>7</v>
      </c>
      <c r="F817" t="s">
        <v>12</v>
      </c>
      <c r="G817">
        <v>2628</v>
      </c>
    </row>
    <row r="818" spans="1:7" x14ac:dyDescent="0.25">
      <c r="A818">
        <v>1137</v>
      </c>
      <c r="B818">
        <v>50817</v>
      </c>
      <c r="C818" s="2">
        <v>45125.626208736241</v>
      </c>
      <c r="D818">
        <v>63</v>
      </c>
      <c r="E818" t="s">
        <v>7</v>
      </c>
      <c r="F818" t="s">
        <v>10</v>
      </c>
      <c r="G818">
        <v>3233</v>
      </c>
    </row>
    <row r="819" spans="1:7" x14ac:dyDescent="0.25">
      <c r="A819">
        <v>1588</v>
      </c>
      <c r="B819">
        <v>50818</v>
      </c>
      <c r="C819" s="2">
        <v>45125.869623207727</v>
      </c>
      <c r="D819">
        <v>49</v>
      </c>
      <c r="E819" t="s">
        <v>8</v>
      </c>
      <c r="F819" t="s">
        <v>11</v>
      </c>
      <c r="G819">
        <v>868</v>
      </c>
    </row>
    <row r="820" spans="1:7" x14ac:dyDescent="0.25">
      <c r="A820">
        <v>1547</v>
      </c>
      <c r="B820">
        <v>50819</v>
      </c>
      <c r="C820" s="2">
        <v>45126.113037679228</v>
      </c>
      <c r="D820">
        <v>49</v>
      </c>
      <c r="E820" t="s">
        <v>7</v>
      </c>
      <c r="F820" t="s">
        <v>12</v>
      </c>
      <c r="G820">
        <v>699</v>
      </c>
    </row>
    <row r="821" spans="1:7" x14ac:dyDescent="0.25">
      <c r="A821">
        <v>1513</v>
      </c>
      <c r="B821">
        <v>50820</v>
      </c>
      <c r="C821" s="2">
        <v>45126.356452150707</v>
      </c>
      <c r="D821">
        <v>22</v>
      </c>
      <c r="E821" t="s">
        <v>8</v>
      </c>
      <c r="F821" t="s">
        <v>11</v>
      </c>
      <c r="G821">
        <v>1614</v>
      </c>
    </row>
    <row r="822" spans="1:7" x14ac:dyDescent="0.25">
      <c r="A822">
        <v>1296</v>
      </c>
      <c r="B822">
        <v>50821</v>
      </c>
      <c r="C822" s="2">
        <v>45126.5998666222</v>
      </c>
      <c r="D822">
        <v>53</v>
      </c>
      <c r="E822" t="s">
        <v>7</v>
      </c>
      <c r="F822" t="s">
        <v>11</v>
      </c>
      <c r="G822">
        <v>729</v>
      </c>
    </row>
    <row r="823" spans="1:7" x14ac:dyDescent="0.25">
      <c r="A823">
        <v>1320</v>
      </c>
      <c r="B823">
        <v>50822</v>
      </c>
      <c r="C823" s="2">
        <v>45126.843281093687</v>
      </c>
      <c r="D823">
        <v>63</v>
      </c>
      <c r="E823" t="s">
        <v>8</v>
      </c>
      <c r="F823" t="s">
        <v>11</v>
      </c>
      <c r="G823">
        <v>3821</v>
      </c>
    </row>
    <row r="824" spans="1:7" x14ac:dyDescent="0.25">
      <c r="A824">
        <v>1572</v>
      </c>
      <c r="B824">
        <v>50823</v>
      </c>
      <c r="C824" s="2">
        <v>45127.086695565187</v>
      </c>
      <c r="D824">
        <v>59</v>
      </c>
      <c r="E824" t="s">
        <v>8</v>
      </c>
      <c r="F824" t="s">
        <v>10</v>
      </c>
      <c r="G824">
        <v>3656</v>
      </c>
    </row>
    <row r="825" spans="1:7" x14ac:dyDescent="0.25">
      <c r="A825">
        <v>1349</v>
      </c>
      <c r="B825">
        <v>50824</v>
      </c>
      <c r="C825" s="2">
        <v>45127.330110036681</v>
      </c>
      <c r="D825">
        <v>59</v>
      </c>
      <c r="E825" t="s">
        <v>7</v>
      </c>
      <c r="F825" t="s">
        <v>10</v>
      </c>
      <c r="G825">
        <v>954</v>
      </c>
    </row>
    <row r="826" spans="1:7" x14ac:dyDescent="0.25">
      <c r="A826">
        <v>1229</v>
      </c>
      <c r="B826">
        <v>50825</v>
      </c>
      <c r="C826" s="2">
        <v>45127.57352450816</v>
      </c>
      <c r="D826">
        <v>56</v>
      </c>
      <c r="E826" t="s">
        <v>7</v>
      </c>
      <c r="F826" t="s">
        <v>10</v>
      </c>
      <c r="G826">
        <v>2547</v>
      </c>
    </row>
    <row r="827" spans="1:7" x14ac:dyDescent="0.25">
      <c r="A827">
        <v>1270</v>
      </c>
      <c r="B827">
        <v>50826</v>
      </c>
      <c r="C827" s="2">
        <v>45127.816938979653</v>
      </c>
      <c r="D827">
        <v>33</v>
      </c>
      <c r="E827" t="s">
        <v>7</v>
      </c>
      <c r="F827" t="s">
        <v>10</v>
      </c>
      <c r="G827">
        <v>926</v>
      </c>
    </row>
    <row r="828" spans="1:7" x14ac:dyDescent="0.25">
      <c r="A828">
        <v>1291</v>
      </c>
      <c r="B828">
        <v>50827</v>
      </c>
      <c r="C828" s="2">
        <v>45128.060353451147</v>
      </c>
      <c r="D828">
        <v>50</v>
      </c>
      <c r="E828" t="s">
        <v>7</v>
      </c>
      <c r="F828" t="s">
        <v>12</v>
      </c>
      <c r="G828">
        <v>2849</v>
      </c>
    </row>
    <row r="829" spans="1:7" x14ac:dyDescent="0.25">
      <c r="A829">
        <v>1165</v>
      </c>
      <c r="B829">
        <v>50828</v>
      </c>
      <c r="C829" s="2">
        <v>45128.30376792264</v>
      </c>
      <c r="D829">
        <v>38</v>
      </c>
      <c r="E829" t="s">
        <v>8</v>
      </c>
      <c r="F829" t="s">
        <v>9</v>
      </c>
      <c r="G829">
        <v>2246</v>
      </c>
    </row>
    <row r="830" spans="1:7" x14ac:dyDescent="0.25">
      <c r="A830">
        <v>1005</v>
      </c>
      <c r="B830">
        <v>50829</v>
      </c>
      <c r="C830" s="2">
        <v>45128.547182394119</v>
      </c>
      <c r="D830">
        <v>26</v>
      </c>
      <c r="E830" t="s">
        <v>8</v>
      </c>
      <c r="F830" t="s">
        <v>9</v>
      </c>
      <c r="G830">
        <v>3015</v>
      </c>
    </row>
    <row r="831" spans="1:7" x14ac:dyDescent="0.25">
      <c r="A831">
        <v>1379</v>
      </c>
      <c r="B831">
        <v>50830</v>
      </c>
      <c r="C831" s="2">
        <v>45128.790596865612</v>
      </c>
      <c r="D831">
        <v>23</v>
      </c>
      <c r="E831" t="s">
        <v>8</v>
      </c>
      <c r="F831" t="s">
        <v>9</v>
      </c>
      <c r="G831">
        <v>1074</v>
      </c>
    </row>
    <row r="832" spans="1:7" x14ac:dyDescent="0.25">
      <c r="A832">
        <v>1078</v>
      </c>
      <c r="B832">
        <v>50831</v>
      </c>
      <c r="C832" s="2">
        <v>45129.034011337113</v>
      </c>
      <c r="D832">
        <v>62</v>
      </c>
      <c r="E832" t="s">
        <v>7</v>
      </c>
      <c r="F832" t="s">
        <v>12</v>
      </c>
      <c r="G832">
        <v>3479</v>
      </c>
    </row>
    <row r="833" spans="1:7" x14ac:dyDescent="0.25">
      <c r="A833">
        <v>1410</v>
      </c>
      <c r="B833">
        <v>50832</v>
      </c>
      <c r="C833" s="2">
        <v>45129.277425808599</v>
      </c>
      <c r="D833">
        <v>52</v>
      </c>
      <c r="E833" t="s">
        <v>8</v>
      </c>
      <c r="F833" t="s">
        <v>9</v>
      </c>
      <c r="G833">
        <v>3184</v>
      </c>
    </row>
    <row r="834" spans="1:7" x14ac:dyDescent="0.25">
      <c r="A834">
        <v>1574</v>
      </c>
      <c r="B834">
        <v>50833</v>
      </c>
      <c r="C834" s="2">
        <v>45129.520840280093</v>
      </c>
      <c r="D834">
        <v>56</v>
      </c>
      <c r="E834" t="s">
        <v>7</v>
      </c>
      <c r="F834" t="s">
        <v>12</v>
      </c>
      <c r="G834">
        <v>2378</v>
      </c>
    </row>
    <row r="835" spans="1:7" x14ac:dyDescent="0.25">
      <c r="A835">
        <v>1132</v>
      </c>
      <c r="B835">
        <v>50834</v>
      </c>
      <c r="C835" s="2">
        <v>45129.764254751572</v>
      </c>
      <c r="D835">
        <v>39</v>
      </c>
      <c r="E835" t="s">
        <v>7</v>
      </c>
      <c r="F835" t="s">
        <v>12</v>
      </c>
      <c r="G835">
        <v>4007</v>
      </c>
    </row>
    <row r="836" spans="1:7" x14ac:dyDescent="0.25">
      <c r="A836">
        <v>1042</v>
      </c>
      <c r="B836">
        <v>50835</v>
      </c>
      <c r="C836" s="2">
        <v>45130.007669223072</v>
      </c>
      <c r="D836">
        <v>58</v>
      </c>
      <c r="E836" t="s">
        <v>8</v>
      </c>
      <c r="F836" t="s">
        <v>12</v>
      </c>
      <c r="G836">
        <v>807</v>
      </c>
    </row>
    <row r="837" spans="1:7" x14ac:dyDescent="0.25">
      <c r="A837">
        <v>1089</v>
      </c>
      <c r="B837">
        <v>50836</v>
      </c>
      <c r="C837" s="2">
        <v>45130.251083694558</v>
      </c>
      <c r="D837">
        <v>22</v>
      </c>
      <c r="E837" t="s">
        <v>7</v>
      </c>
      <c r="F837" t="s">
        <v>9</v>
      </c>
      <c r="G837">
        <v>834</v>
      </c>
    </row>
    <row r="838" spans="1:7" x14ac:dyDescent="0.25">
      <c r="A838">
        <v>1402</v>
      </c>
      <c r="B838">
        <v>50837</v>
      </c>
      <c r="C838" s="2">
        <v>45130.494498166052</v>
      </c>
      <c r="D838">
        <v>59</v>
      </c>
      <c r="E838" t="s">
        <v>8</v>
      </c>
      <c r="F838" t="s">
        <v>11</v>
      </c>
      <c r="G838">
        <v>4779</v>
      </c>
    </row>
    <row r="839" spans="1:7" x14ac:dyDescent="0.25">
      <c r="A839">
        <v>1296</v>
      </c>
      <c r="B839">
        <v>50838</v>
      </c>
      <c r="C839" s="2">
        <v>45130.737912637538</v>
      </c>
      <c r="D839">
        <v>40</v>
      </c>
      <c r="E839" t="s">
        <v>7</v>
      </c>
      <c r="F839" t="s">
        <v>9</v>
      </c>
      <c r="G839">
        <v>2927</v>
      </c>
    </row>
    <row r="840" spans="1:7" x14ac:dyDescent="0.25">
      <c r="A840">
        <v>1295</v>
      </c>
      <c r="B840">
        <v>50839</v>
      </c>
      <c r="C840" s="2">
        <v>45130.981327109017</v>
      </c>
      <c r="D840">
        <v>34</v>
      </c>
      <c r="E840" t="s">
        <v>8</v>
      </c>
      <c r="F840" t="s">
        <v>9</v>
      </c>
      <c r="G840">
        <v>1274</v>
      </c>
    </row>
    <row r="841" spans="1:7" x14ac:dyDescent="0.25">
      <c r="A841">
        <v>1526</v>
      </c>
      <c r="B841">
        <v>50840</v>
      </c>
      <c r="C841" s="2">
        <v>45131.224741580518</v>
      </c>
      <c r="D841">
        <v>29</v>
      </c>
      <c r="E841" t="s">
        <v>7</v>
      </c>
      <c r="F841" t="s">
        <v>10</v>
      </c>
      <c r="G841">
        <v>2114</v>
      </c>
    </row>
    <row r="842" spans="1:7" x14ac:dyDescent="0.25">
      <c r="A842">
        <v>1422</v>
      </c>
      <c r="B842">
        <v>50841</v>
      </c>
      <c r="C842" s="2">
        <v>45131.468156052011</v>
      </c>
      <c r="D842">
        <v>40</v>
      </c>
      <c r="E842" t="s">
        <v>8</v>
      </c>
      <c r="F842" t="s">
        <v>12</v>
      </c>
      <c r="G842">
        <v>788</v>
      </c>
    </row>
    <row r="843" spans="1:7" x14ac:dyDescent="0.25">
      <c r="A843">
        <v>1023</v>
      </c>
      <c r="B843">
        <v>50842</v>
      </c>
      <c r="C843" s="2">
        <v>45131.711570523497</v>
      </c>
      <c r="D843">
        <v>33</v>
      </c>
      <c r="E843" t="s">
        <v>8</v>
      </c>
      <c r="F843" t="s">
        <v>11</v>
      </c>
      <c r="G843">
        <v>3431</v>
      </c>
    </row>
    <row r="844" spans="1:7" x14ac:dyDescent="0.25">
      <c r="A844">
        <v>1575</v>
      </c>
      <c r="B844">
        <v>50843</v>
      </c>
      <c r="C844" s="2">
        <v>45131.954984994991</v>
      </c>
      <c r="D844">
        <v>20</v>
      </c>
      <c r="E844" t="s">
        <v>7</v>
      </c>
      <c r="F844" t="s">
        <v>10</v>
      </c>
      <c r="G844">
        <v>2504</v>
      </c>
    </row>
    <row r="845" spans="1:7" x14ac:dyDescent="0.25">
      <c r="A845">
        <v>1143</v>
      </c>
      <c r="B845">
        <v>50844</v>
      </c>
      <c r="C845" s="2">
        <v>45132.198399466477</v>
      </c>
      <c r="D845">
        <v>47</v>
      </c>
      <c r="E845" t="s">
        <v>7</v>
      </c>
      <c r="F845" t="s">
        <v>11</v>
      </c>
      <c r="G845">
        <v>4038</v>
      </c>
    </row>
    <row r="846" spans="1:7" x14ac:dyDescent="0.25">
      <c r="A846">
        <v>1145</v>
      </c>
      <c r="B846">
        <v>50845</v>
      </c>
      <c r="C846" s="2">
        <v>45132.441813937978</v>
      </c>
      <c r="D846">
        <v>39</v>
      </c>
      <c r="E846" t="s">
        <v>8</v>
      </c>
      <c r="F846" t="s">
        <v>11</v>
      </c>
      <c r="G846">
        <v>2173</v>
      </c>
    </row>
    <row r="847" spans="1:7" x14ac:dyDescent="0.25">
      <c r="A847">
        <v>1225</v>
      </c>
      <c r="B847">
        <v>50846</v>
      </c>
      <c r="C847" s="2">
        <v>45132.685228409471</v>
      </c>
      <c r="D847">
        <v>26</v>
      </c>
      <c r="E847" t="s">
        <v>7</v>
      </c>
      <c r="F847" t="s">
        <v>12</v>
      </c>
      <c r="G847">
        <v>2255</v>
      </c>
    </row>
    <row r="848" spans="1:7" x14ac:dyDescent="0.25">
      <c r="A848">
        <v>1503</v>
      </c>
      <c r="B848">
        <v>50847</v>
      </c>
      <c r="C848" s="2">
        <v>45132.92864288095</v>
      </c>
      <c r="D848">
        <v>46</v>
      </c>
      <c r="E848" t="s">
        <v>7</v>
      </c>
      <c r="F848" t="s">
        <v>9</v>
      </c>
      <c r="G848">
        <v>3680</v>
      </c>
    </row>
    <row r="849" spans="1:7" x14ac:dyDescent="0.25">
      <c r="A849">
        <v>1104</v>
      </c>
      <c r="B849">
        <v>50848</v>
      </c>
      <c r="C849" s="2">
        <v>45133.172057352444</v>
      </c>
      <c r="D849">
        <v>64</v>
      </c>
      <c r="E849" t="s">
        <v>7</v>
      </c>
      <c r="F849" t="s">
        <v>12</v>
      </c>
      <c r="G849">
        <v>2279</v>
      </c>
    </row>
    <row r="850" spans="1:7" x14ac:dyDescent="0.25">
      <c r="A850">
        <v>1039</v>
      </c>
      <c r="B850">
        <v>50849</v>
      </c>
      <c r="C850" s="2">
        <v>45133.415471823937</v>
      </c>
      <c r="D850">
        <v>54</v>
      </c>
      <c r="E850" t="s">
        <v>8</v>
      </c>
      <c r="F850" t="s">
        <v>12</v>
      </c>
      <c r="G850">
        <v>3252</v>
      </c>
    </row>
    <row r="851" spans="1:7" x14ac:dyDescent="0.25">
      <c r="A851">
        <v>1198</v>
      </c>
      <c r="B851">
        <v>50850</v>
      </c>
      <c r="C851" s="2">
        <v>45133.65888629543</v>
      </c>
      <c r="D851">
        <v>40</v>
      </c>
      <c r="E851" t="s">
        <v>8</v>
      </c>
      <c r="F851" t="s">
        <v>10</v>
      </c>
      <c r="G851">
        <v>4682</v>
      </c>
    </row>
    <row r="852" spans="1:7" x14ac:dyDescent="0.25">
      <c r="A852">
        <v>1579</v>
      </c>
      <c r="B852">
        <v>50851</v>
      </c>
      <c r="C852" s="2">
        <v>45133.902300766917</v>
      </c>
      <c r="D852">
        <v>30</v>
      </c>
      <c r="E852" t="s">
        <v>7</v>
      </c>
      <c r="F852" t="s">
        <v>12</v>
      </c>
      <c r="G852">
        <v>1451</v>
      </c>
    </row>
    <row r="853" spans="1:7" x14ac:dyDescent="0.25">
      <c r="A853">
        <v>1391</v>
      </c>
      <c r="B853">
        <v>50852</v>
      </c>
      <c r="C853" s="2">
        <v>45134.145715238403</v>
      </c>
      <c r="D853">
        <v>49</v>
      </c>
      <c r="E853" t="s">
        <v>7</v>
      </c>
      <c r="F853" t="s">
        <v>9</v>
      </c>
      <c r="G853">
        <v>3995</v>
      </c>
    </row>
    <row r="854" spans="1:7" x14ac:dyDescent="0.25">
      <c r="A854">
        <v>1179</v>
      </c>
      <c r="B854">
        <v>50853</v>
      </c>
      <c r="C854" s="2">
        <v>45134.389129709904</v>
      </c>
      <c r="D854">
        <v>63</v>
      </c>
      <c r="E854" t="s">
        <v>8</v>
      </c>
      <c r="F854" t="s">
        <v>11</v>
      </c>
      <c r="G854">
        <v>4022</v>
      </c>
    </row>
    <row r="855" spans="1:7" x14ac:dyDescent="0.25">
      <c r="A855">
        <v>1554</v>
      </c>
      <c r="B855">
        <v>50854</v>
      </c>
      <c r="C855" s="2">
        <v>45134.63254418139</v>
      </c>
      <c r="D855">
        <v>64</v>
      </c>
      <c r="E855" t="s">
        <v>7</v>
      </c>
      <c r="F855" t="s">
        <v>12</v>
      </c>
      <c r="G855">
        <v>4502</v>
      </c>
    </row>
    <row r="856" spans="1:7" x14ac:dyDescent="0.25">
      <c r="A856">
        <v>1448</v>
      </c>
      <c r="B856">
        <v>50855</v>
      </c>
      <c r="C856" s="2">
        <v>45134.875958652883</v>
      </c>
      <c r="D856">
        <v>40</v>
      </c>
      <c r="E856" t="s">
        <v>8</v>
      </c>
      <c r="F856" t="s">
        <v>11</v>
      </c>
      <c r="G856">
        <v>3589</v>
      </c>
    </row>
    <row r="857" spans="1:7" x14ac:dyDescent="0.25">
      <c r="A857">
        <v>1500</v>
      </c>
      <c r="B857">
        <v>50856</v>
      </c>
      <c r="C857" s="2">
        <v>45135.119373124362</v>
      </c>
      <c r="D857">
        <v>62</v>
      </c>
      <c r="E857" t="s">
        <v>7</v>
      </c>
      <c r="F857" t="s">
        <v>12</v>
      </c>
      <c r="G857">
        <v>1980</v>
      </c>
    </row>
    <row r="858" spans="1:7" x14ac:dyDescent="0.25">
      <c r="A858">
        <v>1015</v>
      </c>
      <c r="B858">
        <v>50857</v>
      </c>
      <c r="C858" s="2">
        <v>45135.362787595863</v>
      </c>
      <c r="D858">
        <v>34</v>
      </c>
      <c r="E858" t="s">
        <v>7</v>
      </c>
      <c r="F858" t="s">
        <v>11</v>
      </c>
      <c r="G858">
        <v>2804</v>
      </c>
    </row>
    <row r="859" spans="1:7" x14ac:dyDescent="0.25">
      <c r="A859">
        <v>1289</v>
      </c>
      <c r="B859">
        <v>50858</v>
      </c>
      <c r="C859" s="2">
        <v>45135.606202067349</v>
      </c>
      <c r="D859">
        <v>57</v>
      </c>
      <c r="E859" t="s">
        <v>7</v>
      </c>
      <c r="F859" t="s">
        <v>12</v>
      </c>
      <c r="G859">
        <v>3888</v>
      </c>
    </row>
    <row r="860" spans="1:7" x14ac:dyDescent="0.25">
      <c r="A860">
        <v>1478</v>
      </c>
      <c r="B860">
        <v>50859</v>
      </c>
      <c r="C860" s="2">
        <v>45135.849616538842</v>
      </c>
      <c r="D860">
        <v>38</v>
      </c>
      <c r="E860" t="s">
        <v>8</v>
      </c>
      <c r="F860" t="s">
        <v>10</v>
      </c>
      <c r="G860">
        <v>1924</v>
      </c>
    </row>
    <row r="861" spans="1:7" x14ac:dyDescent="0.25">
      <c r="A861">
        <v>1231</v>
      </c>
      <c r="B861">
        <v>50860</v>
      </c>
      <c r="C861" s="2">
        <v>45136.093031010343</v>
      </c>
      <c r="D861">
        <v>19</v>
      </c>
      <c r="E861" t="s">
        <v>8</v>
      </c>
      <c r="F861" t="s">
        <v>11</v>
      </c>
      <c r="G861">
        <v>2984</v>
      </c>
    </row>
    <row r="862" spans="1:7" x14ac:dyDescent="0.25">
      <c r="A862">
        <v>1420</v>
      </c>
      <c r="B862">
        <v>50861</v>
      </c>
      <c r="C862" s="2">
        <v>45136.336445481807</v>
      </c>
      <c r="D862">
        <v>54</v>
      </c>
      <c r="E862" t="s">
        <v>8</v>
      </c>
      <c r="F862" t="s">
        <v>12</v>
      </c>
      <c r="G862">
        <v>3919</v>
      </c>
    </row>
    <row r="863" spans="1:7" x14ac:dyDescent="0.25">
      <c r="A863">
        <v>1157</v>
      </c>
      <c r="B863">
        <v>50862</v>
      </c>
      <c r="C863" s="2">
        <v>45136.579859953308</v>
      </c>
      <c r="D863">
        <v>23</v>
      </c>
      <c r="E863" t="s">
        <v>8</v>
      </c>
      <c r="F863" t="s">
        <v>12</v>
      </c>
      <c r="G863">
        <v>1877</v>
      </c>
    </row>
    <row r="864" spans="1:7" x14ac:dyDescent="0.25">
      <c r="A864">
        <v>1550</v>
      </c>
      <c r="B864">
        <v>50863</v>
      </c>
      <c r="C864" s="2">
        <v>45136.823274424802</v>
      </c>
      <c r="D864">
        <v>61</v>
      </c>
      <c r="E864" t="s">
        <v>7</v>
      </c>
      <c r="F864" t="s">
        <v>10</v>
      </c>
      <c r="G864">
        <v>648</v>
      </c>
    </row>
    <row r="865" spans="1:7" x14ac:dyDescent="0.25">
      <c r="A865">
        <v>1441</v>
      </c>
      <c r="B865">
        <v>50864</v>
      </c>
      <c r="C865" s="2">
        <v>45137.066688896302</v>
      </c>
      <c r="D865">
        <v>35</v>
      </c>
      <c r="E865" t="s">
        <v>7</v>
      </c>
      <c r="F865" t="s">
        <v>10</v>
      </c>
      <c r="G865">
        <v>4887</v>
      </c>
    </row>
    <row r="866" spans="1:7" x14ac:dyDescent="0.25">
      <c r="A866">
        <v>1097</v>
      </c>
      <c r="B866">
        <v>50865</v>
      </c>
      <c r="C866" s="2">
        <v>45137.310103367781</v>
      </c>
      <c r="D866">
        <v>47</v>
      </c>
      <c r="E866" t="s">
        <v>8</v>
      </c>
      <c r="F866" t="s">
        <v>10</v>
      </c>
      <c r="G866">
        <v>281</v>
      </c>
    </row>
    <row r="867" spans="1:7" x14ac:dyDescent="0.25">
      <c r="A867">
        <v>1411</v>
      </c>
      <c r="B867">
        <v>50866</v>
      </c>
      <c r="C867" s="2">
        <v>45137.553517839267</v>
      </c>
      <c r="D867">
        <v>39</v>
      </c>
      <c r="E867" t="s">
        <v>7</v>
      </c>
      <c r="F867" t="s">
        <v>11</v>
      </c>
      <c r="G867">
        <v>1606</v>
      </c>
    </row>
    <row r="868" spans="1:7" x14ac:dyDescent="0.25">
      <c r="A868">
        <v>1289</v>
      </c>
      <c r="B868">
        <v>50867</v>
      </c>
      <c r="C868" s="2">
        <v>45137.796932310761</v>
      </c>
      <c r="D868">
        <v>50</v>
      </c>
      <c r="E868" t="s">
        <v>7</v>
      </c>
      <c r="F868" t="s">
        <v>11</v>
      </c>
      <c r="G868">
        <v>1680</v>
      </c>
    </row>
    <row r="869" spans="1:7" x14ac:dyDescent="0.25">
      <c r="A869">
        <v>1254</v>
      </c>
      <c r="B869">
        <v>50868</v>
      </c>
      <c r="C869" s="2">
        <v>45138.040346782247</v>
      </c>
      <c r="D869">
        <v>47</v>
      </c>
      <c r="E869" t="s">
        <v>8</v>
      </c>
      <c r="F869" t="s">
        <v>10</v>
      </c>
      <c r="G869">
        <v>1279</v>
      </c>
    </row>
    <row r="870" spans="1:7" x14ac:dyDescent="0.25">
      <c r="A870">
        <v>1196</v>
      </c>
      <c r="B870">
        <v>50869</v>
      </c>
      <c r="C870" s="2">
        <v>45138.283761253748</v>
      </c>
      <c r="D870">
        <v>34</v>
      </c>
      <c r="E870" t="s">
        <v>7</v>
      </c>
      <c r="F870" t="s">
        <v>9</v>
      </c>
      <c r="G870">
        <v>3798</v>
      </c>
    </row>
    <row r="871" spans="1:7" x14ac:dyDescent="0.25">
      <c r="A871">
        <v>1598</v>
      </c>
      <c r="B871">
        <v>50870</v>
      </c>
      <c r="C871" s="2">
        <v>45138.527175725227</v>
      </c>
      <c r="D871">
        <v>60</v>
      </c>
      <c r="E871" t="s">
        <v>7</v>
      </c>
      <c r="F871" t="s">
        <v>9</v>
      </c>
      <c r="G871">
        <v>4714</v>
      </c>
    </row>
    <row r="872" spans="1:7" x14ac:dyDescent="0.25">
      <c r="A872">
        <v>1522</v>
      </c>
      <c r="B872">
        <v>50871</v>
      </c>
      <c r="C872" s="2">
        <v>45138.770590196727</v>
      </c>
      <c r="D872">
        <v>49</v>
      </c>
      <c r="E872" t="s">
        <v>8</v>
      </c>
      <c r="F872" t="s">
        <v>12</v>
      </c>
      <c r="G872">
        <v>4383</v>
      </c>
    </row>
    <row r="873" spans="1:7" x14ac:dyDescent="0.25">
      <c r="A873">
        <v>1517</v>
      </c>
      <c r="B873">
        <v>50872</v>
      </c>
      <c r="C873" s="2">
        <v>45139.014004668221</v>
      </c>
      <c r="D873">
        <v>59</v>
      </c>
      <c r="E873" t="s">
        <v>7</v>
      </c>
      <c r="F873" t="s">
        <v>9</v>
      </c>
      <c r="G873">
        <v>3880</v>
      </c>
    </row>
    <row r="874" spans="1:7" x14ac:dyDescent="0.25">
      <c r="A874">
        <v>1118</v>
      </c>
      <c r="B874">
        <v>50873</v>
      </c>
      <c r="C874" s="2">
        <v>45139.257419139707</v>
      </c>
      <c r="D874">
        <v>31</v>
      </c>
      <c r="E874" t="s">
        <v>7</v>
      </c>
      <c r="F874" t="s">
        <v>12</v>
      </c>
      <c r="G874">
        <v>2903</v>
      </c>
    </row>
    <row r="875" spans="1:7" x14ac:dyDescent="0.25">
      <c r="A875">
        <v>1159</v>
      </c>
      <c r="B875">
        <v>50874</v>
      </c>
      <c r="C875" s="2">
        <v>45139.500833611201</v>
      </c>
      <c r="D875">
        <v>27</v>
      </c>
      <c r="E875" t="s">
        <v>7</v>
      </c>
      <c r="F875" t="s">
        <v>11</v>
      </c>
      <c r="G875">
        <v>4510</v>
      </c>
    </row>
    <row r="876" spans="1:7" x14ac:dyDescent="0.25">
      <c r="A876">
        <v>1228</v>
      </c>
      <c r="B876">
        <v>50875</v>
      </c>
      <c r="C876" s="2">
        <v>45139.744248082687</v>
      </c>
      <c r="D876">
        <v>64</v>
      </c>
      <c r="E876" t="s">
        <v>8</v>
      </c>
      <c r="F876" t="s">
        <v>11</v>
      </c>
      <c r="G876">
        <v>3956</v>
      </c>
    </row>
    <row r="877" spans="1:7" x14ac:dyDescent="0.25">
      <c r="A877">
        <v>1216</v>
      </c>
      <c r="B877">
        <v>50876</v>
      </c>
      <c r="C877" s="2">
        <v>45139.98766255418</v>
      </c>
      <c r="D877">
        <v>53</v>
      </c>
      <c r="E877" t="s">
        <v>8</v>
      </c>
      <c r="F877" t="s">
        <v>9</v>
      </c>
      <c r="G877">
        <v>1958</v>
      </c>
    </row>
    <row r="878" spans="1:7" x14ac:dyDescent="0.25">
      <c r="A878">
        <v>1015</v>
      </c>
      <c r="B878">
        <v>50877</v>
      </c>
      <c r="C878" s="2">
        <v>45140.231077025674</v>
      </c>
      <c r="D878">
        <v>51</v>
      </c>
      <c r="E878" t="s">
        <v>7</v>
      </c>
      <c r="F878" t="s">
        <v>11</v>
      </c>
      <c r="G878">
        <v>2799</v>
      </c>
    </row>
    <row r="879" spans="1:7" x14ac:dyDescent="0.25">
      <c r="A879">
        <v>1157</v>
      </c>
      <c r="B879">
        <v>50878</v>
      </c>
      <c r="C879" s="2">
        <v>45140.474491497167</v>
      </c>
      <c r="D879">
        <v>26</v>
      </c>
      <c r="E879" t="s">
        <v>7</v>
      </c>
      <c r="F879" t="s">
        <v>10</v>
      </c>
      <c r="G879">
        <v>2750</v>
      </c>
    </row>
    <row r="880" spans="1:7" x14ac:dyDescent="0.25">
      <c r="A880">
        <v>1261</v>
      </c>
      <c r="B880">
        <v>50879</v>
      </c>
      <c r="C880" s="2">
        <v>45140.717905968653</v>
      </c>
      <c r="D880">
        <v>59</v>
      </c>
      <c r="E880" t="s">
        <v>7</v>
      </c>
      <c r="F880" t="s">
        <v>10</v>
      </c>
      <c r="G880">
        <v>4053</v>
      </c>
    </row>
    <row r="881" spans="1:7" x14ac:dyDescent="0.25">
      <c r="A881">
        <v>1157</v>
      </c>
      <c r="B881">
        <v>50880</v>
      </c>
      <c r="C881" s="2">
        <v>45140.961320440139</v>
      </c>
      <c r="D881">
        <v>45</v>
      </c>
      <c r="E881" t="s">
        <v>8</v>
      </c>
      <c r="F881" t="s">
        <v>9</v>
      </c>
      <c r="G881">
        <v>2946</v>
      </c>
    </row>
    <row r="882" spans="1:7" x14ac:dyDescent="0.25">
      <c r="A882">
        <v>1047</v>
      </c>
      <c r="B882">
        <v>50881</v>
      </c>
      <c r="C882" s="2">
        <v>45141.204734911633</v>
      </c>
      <c r="D882">
        <v>28</v>
      </c>
      <c r="E882" t="s">
        <v>8</v>
      </c>
      <c r="F882" t="s">
        <v>9</v>
      </c>
      <c r="G882">
        <v>2492</v>
      </c>
    </row>
    <row r="883" spans="1:7" x14ac:dyDescent="0.25">
      <c r="A883">
        <v>1324</v>
      </c>
      <c r="B883">
        <v>50882</v>
      </c>
      <c r="C883" s="2">
        <v>45141.448149383134</v>
      </c>
      <c r="D883">
        <v>31</v>
      </c>
      <c r="E883" t="s">
        <v>8</v>
      </c>
      <c r="F883" t="s">
        <v>12</v>
      </c>
      <c r="G883">
        <v>1701</v>
      </c>
    </row>
    <row r="884" spans="1:7" x14ac:dyDescent="0.25">
      <c r="A884">
        <v>1130</v>
      </c>
      <c r="B884">
        <v>50883</v>
      </c>
      <c r="C884" s="2">
        <v>45141.69156385462</v>
      </c>
      <c r="D884">
        <v>56</v>
      </c>
      <c r="E884" t="s">
        <v>7</v>
      </c>
      <c r="F884" t="s">
        <v>11</v>
      </c>
      <c r="G884">
        <v>4604</v>
      </c>
    </row>
    <row r="885" spans="1:7" x14ac:dyDescent="0.25">
      <c r="A885">
        <v>1411</v>
      </c>
      <c r="B885">
        <v>50884</v>
      </c>
      <c r="C885" s="2">
        <v>45141.934978326099</v>
      </c>
      <c r="D885">
        <v>64</v>
      </c>
      <c r="E885" t="s">
        <v>7</v>
      </c>
      <c r="F885" t="s">
        <v>12</v>
      </c>
      <c r="G885">
        <v>430</v>
      </c>
    </row>
    <row r="886" spans="1:7" x14ac:dyDescent="0.25">
      <c r="A886">
        <v>1095</v>
      </c>
      <c r="B886">
        <v>50885</v>
      </c>
      <c r="C886" s="2">
        <v>45142.178392797592</v>
      </c>
      <c r="D886">
        <v>36</v>
      </c>
      <c r="E886" t="s">
        <v>7</v>
      </c>
      <c r="F886" t="s">
        <v>12</v>
      </c>
      <c r="G886">
        <v>4450</v>
      </c>
    </row>
    <row r="887" spans="1:7" x14ac:dyDescent="0.25">
      <c r="A887">
        <v>1292</v>
      </c>
      <c r="B887">
        <v>50886</v>
      </c>
      <c r="C887" s="2">
        <v>45142.421807269093</v>
      </c>
      <c r="D887">
        <v>32</v>
      </c>
      <c r="E887" t="s">
        <v>7</v>
      </c>
      <c r="F887" t="s">
        <v>10</v>
      </c>
      <c r="G887">
        <v>1398</v>
      </c>
    </row>
    <row r="888" spans="1:7" x14ac:dyDescent="0.25">
      <c r="A888">
        <v>1283</v>
      </c>
      <c r="B888">
        <v>50887</v>
      </c>
      <c r="C888" s="2">
        <v>45142.665221740579</v>
      </c>
      <c r="D888">
        <v>45</v>
      </c>
      <c r="E888" t="s">
        <v>7</v>
      </c>
      <c r="F888" t="s">
        <v>10</v>
      </c>
      <c r="G888">
        <v>314</v>
      </c>
    </row>
    <row r="889" spans="1:7" x14ac:dyDescent="0.25">
      <c r="A889">
        <v>1069</v>
      </c>
      <c r="B889">
        <v>50888</v>
      </c>
      <c r="C889" s="2">
        <v>45142.908636212058</v>
      </c>
      <c r="D889">
        <v>41</v>
      </c>
      <c r="E889" t="s">
        <v>8</v>
      </c>
      <c r="F889" t="s">
        <v>10</v>
      </c>
      <c r="G889">
        <v>1613</v>
      </c>
    </row>
    <row r="890" spans="1:7" x14ac:dyDescent="0.25">
      <c r="A890">
        <v>1011</v>
      </c>
      <c r="B890">
        <v>50889</v>
      </c>
      <c r="C890" s="2">
        <v>45143.152050683551</v>
      </c>
      <c r="D890">
        <v>25</v>
      </c>
      <c r="E890" t="s">
        <v>7</v>
      </c>
      <c r="F890" t="s">
        <v>10</v>
      </c>
      <c r="G890">
        <v>4606</v>
      </c>
    </row>
    <row r="891" spans="1:7" x14ac:dyDescent="0.25">
      <c r="A891">
        <v>1254</v>
      </c>
      <c r="B891">
        <v>50890</v>
      </c>
      <c r="C891" s="2">
        <v>45143.395465155038</v>
      </c>
      <c r="D891">
        <v>60</v>
      </c>
      <c r="E891" t="s">
        <v>7</v>
      </c>
      <c r="F891" t="s">
        <v>12</v>
      </c>
      <c r="G891">
        <v>1192</v>
      </c>
    </row>
    <row r="892" spans="1:7" x14ac:dyDescent="0.25">
      <c r="A892">
        <v>1550</v>
      </c>
      <c r="B892">
        <v>50891</v>
      </c>
      <c r="C892" s="2">
        <v>45143.638879626538</v>
      </c>
      <c r="D892">
        <v>26</v>
      </c>
      <c r="E892" t="s">
        <v>7</v>
      </c>
      <c r="F892" t="s">
        <v>10</v>
      </c>
      <c r="G892">
        <v>2547</v>
      </c>
    </row>
    <row r="893" spans="1:7" x14ac:dyDescent="0.25">
      <c r="A893">
        <v>1134</v>
      </c>
      <c r="B893">
        <v>50892</v>
      </c>
      <c r="C893" s="2">
        <v>45143.882294098032</v>
      </c>
      <c r="D893">
        <v>64</v>
      </c>
      <c r="E893" t="s">
        <v>8</v>
      </c>
      <c r="F893" t="s">
        <v>11</v>
      </c>
      <c r="G893">
        <v>1241</v>
      </c>
    </row>
    <row r="894" spans="1:7" x14ac:dyDescent="0.25">
      <c r="A894">
        <v>1023</v>
      </c>
      <c r="B894">
        <v>50893</v>
      </c>
      <c r="C894" s="2">
        <v>45144.125708569511</v>
      </c>
      <c r="D894">
        <v>50</v>
      </c>
      <c r="E894" t="s">
        <v>7</v>
      </c>
      <c r="F894" t="s">
        <v>10</v>
      </c>
      <c r="G894">
        <v>211</v>
      </c>
    </row>
    <row r="895" spans="1:7" x14ac:dyDescent="0.25">
      <c r="A895">
        <v>1346</v>
      </c>
      <c r="B895">
        <v>50894</v>
      </c>
      <c r="C895" s="2">
        <v>45144.369123040997</v>
      </c>
      <c r="D895">
        <v>50</v>
      </c>
      <c r="E895" t="s">
        <v>8</v>
      </c>
      <c r="F895" t="s">
        <v>10</v>
      </c>
      <c r="G895">
        <v>3876</v>
      </c>
    </row>
    <row r="896" spans="1:7" x14ac:dyDescent="0.25">
      <c r="A896">
        <v>1302</v>
      </c>
      <c r="B896">
        <v>50895</v>
      </c>
      <c r="C896" s="2">
        <v>45144.612537512498</v>
      </c>
      <c r="D896">
        <v>36</v>
      </c>
      <c r="E896" t="s">
        <v>8</v>
      </c>
      <c r="F896" t="s">
        <v>10</v>
      </c>
      <c r="G896">
        <v>3265</v>
      </c>
    </row>
    <row r="897" spans="1:7" x14ac:dyDescent="0.25">
      <c r="A897">
        <v>1363</v>
      </c>
      <c r="B897">
        <v>50896</v>
      </c>
      <c r="C897" s="2">
        <v>45144.855951983991</v>
      </c>
      <c r="D897">
        <v>20</v>
      </c>
      <c r="E897" t="s">
        <v>8</v>
      </c>
      <c r="F897" t="s">
        <v>9</v>
      </c>
      <c r="G897">
        <v>2236</v>
      </c>
    </row>
    <row r="898" spans="1:7" x14ac:dyDescent="0.25">
      <c r="A898">
        <v>1396</v>
      </c>
      <c r="B898">
        <v>50897</v>
      </c>
      <c r="C898" s="2">
        <v>45145.099366455477</v>
      </c>
      <c r="D898">
        <v>27</v>
      </c>
      <c r="E898" t="s">
        <v>8</v>
      </c>
      <c r="F898" t="s">
        <v>11</v>
      </c>
      <c r="G898">
        <v>3246</v>
      </c>
    </row>
    <row r="899" spans="1:7" x14ac:dyDescent="0.25">
      <c r="A899">
        <v>1218</v>
      </c>
      <c r="B899">
        <v>50898</v>
      </c>
      <c r="C899" s="2">
        <v>45145.342780926971</v>
      </c>
      <c r="D899">
        <v>57</v>
      </c>
      <c r="E899" t="s">
        <v>8</v>
      </c>
      <c r="F899" t="s">
        <v>11</v>
      </c>
      <c r="G899">
        <v>2550</v>
      </c>
    </row>
    <row r="900" spans="1:7" x14ac:dyDescent="0.25">
      <c r="A900">
        <v>1141</v>
      </c>
      <c r="B900">
        <v>50899</v>
      </c>
      <c r="C900" s="2">
        <v>45145.586195398457</v>
      </c>
      <c r="D900">
        <v>64</v>
      </c>
      <c r="E900" t="s">
        <v>7</v>
      </c>
      <c r="F900" t="s">
        <v>12</v>
      </c>
      <c r="G900">
        <v>740</v>
      </c>
    </row>
    <row r="901" spans="1:7" x14ac:dyDescent="0.25">
      <c r="A901">
        <v>1210</v>
      </c>
      <c r="B901">
        <v>50900</v>
      </c>
      <c r="C901" s="2">
        <v>45145.82960986995</v>
      </c>
      <c r="D901">
        <v>59</v>
      </c>
      <c r="E901" t="s">
        <v>7</v>
      </c>
      <c r="F901" t="s">
        <v>12</v>
      </c>
      <c r="G901">
        <v>3060</v>
      </c>
    </row>
    <row r="902" spans="1:7" x14ac:dyDescent="0.25">
      <c r="A902">
        <v>1460</v>
      </c>
      <c r="B902">
        <v>50901</v>
      </c>
      <c r="C902" s="2">
        <v>45146.073024341436</v>
      </c>
      <c r="D902">
        <v>18</v>
      </c>
      <c r="E902" t="s">
        <v>8</v>
      </c>
      <c r="F902" t="s">
        <v>10</v>
      </c>
      <c r="G902">
        <v>276</v>
      </c>
    </row>
    <row r="903" spans="1:7" x14ac:dyDescent="0.25">
      <c r="A903">
        <v>1356</v>
      </c>
      <c r="B903">
        <v>50902</v>
      </c>
      <c r="C903" s="2">
        <v>45146.31643881293</v>
      </c>
      <c r="D903">
        <v>46</v>
      </c>
      <c r="E903" t="s">
        <v>8</v>
      </c>
      <c r="F903" t="s">
        <v>9</v>
      </c>
      <c r="G903">
        <v>3267</v>
      </c>
    </row>
    <row r="904" spans="1:7" x14ac:dyDescent="0.25">
      <c r="A904">
        <v>1324</v>
      </c>
      <c r="B904">
        <v>50903</v>
      </c>
      <c r="C904" s="2">
        <v>45146.559853284423</v>
      </c>
      <c r="D904">
        <v>51</v>
      </c>
      <c r="E904" t="s">
        <v>8</v>
      </c>
      <c r="F904" t="s">
        <v>12</v>
      </c>
      <c r="G904">
        <v>223</v>
      </c>
    </row>
    <row r="905" spans="1:7" x14ac:dyDescent="0.25">
      <c r="A905">
        <v>1133</v>
      </c>
      <c r="B905">
        <v>50904</v>
      </c>
      <c r="C905" s="2">
        <v>45146.803267755917</v>
      </c>
      <c r="D905">
        <v>30</v>
      </c>
      <c r="E905" t="s">
        <v>7</v>
      </c>
      <c r="F905" t="s">
        <v>12</v>
      </c>
      <c r="G905">
        <v>875</v>
      </c>
    </row>
    <row r="906" spans="1:7" x14ac:dyDescent="0.25">
      <c r="A906">
        <v>1127</v>
      </c>
      <c r="B906">
        <v>50905</v>
      </c>
      <c r="C906" s="2">
        <v>45147.04668222741</v>
      </c>
      <c r="D906">
        <v>18</v>
      </c>
      <c r="E906" t="s">
        <v>7</v>
      </c>
      <c r="F906" t="s">
        <v>10</v>
      </c>
      <c r="G906">
        <v>2594</v>
      </c>
    </row>
    <row r="907" spans="1:7" x14ac:dyDescent="0.25">
      <c r="A907">
        <v>1106</v>
      </c>
      <c r="B907">
        <v>50906</v>
      </c>
      <c r="C907" s="2">
        <v>45147.290096698889</v>
      </c>
      <c r="D907">
        <v>51</v>
      </c>
      <c r="E907" t="s">
        <v>8</v>
      </c>
      <c r="F907" t="s">
        <v>10</v>
      </c>
      <c r="G907">
        <v>4467</v>
      </c>
    </row>
    <row r="908" spans="1:7" x14ac:dyDescent="0.25">
      <c r="A908">
        <v>1378</v>
      </c>
      <c r="B908">
        <v>50907</v>
      </c>
      <c r="C908" s="2">
        <v>45147.533511170383</v>
      </c>
      <c r="D908">
        <v>46</v>
      </c>
      <c r="E908" t="s">
        <v>7</v>
      </c>
      <c r="F908" t="s">
        <v>12</v>
      </c>
      <c r="G908">
        <v>3598</v>
      </c>
    </row>
    <row r="909" spans="1:7" x14ac:dyDescent="0.25">
      <c r="A909">
        <v>1051</v>
      </c>
      <c r="B909">
        <v>50908</v>
      </c>
      <c r="C909" s="2">
        <v>45147.776925641883</v>
      </c>
      <c r="D909">
        <v>64</v>
      </c>
      <c r="E909" t="s">
        <v>7</v>
      </c>
      <c r="F909" t="s">
        <v>12</v>
      </c>
      <c r="G909">
        <v>2959</v>
      </c>
    </row>
    <row r="910" spans="1:7" x14ac:dyDescent="0.25">
      <c r="A910">
        <v>1029</v>
      </c>
      <c r="B910">
        <v>50909</v>
      </c>
      <c r="C910" s="2">
        <v>45148.020340113369</v>
      </c>
      <c r="D910">
        <v>30</v>
      </c>
      <c r="E910" t="s">
        <v>8</v>
      </c>
      <c r="F910" t="s">
        <v>11</v>
      </c>
      <c r="G910">
        <v>688</v>
      </c>
    </row>
    <row r="911" spans="1:7" x14ac:dyDescent="0.25">
      <c r="A911">
        <v>1462</v>
      </c>
      <c r="B911">
        <v>50910</v>
      </c>
      <c r="C911" s="2">
        <v>45148.263754584863</v>
      </c>
      <c r="D911">
        <v>46</v>
      </c>
      <c r="E911" t="s">
        <v>8</v>
      </c>
      <c r="F911" t="s">
        <v>9</v>
      </c>
      <c r="G911">
        <v>1685</v>
      </c>
    </row>
    <row r="912" spans="1:7" x14ac:dyDescent="0.25">
      <c r="A912">
        <v>1296</v>
      </c>
      <c r="B912">
        <v>50911</v>
      </c>
      <c r="C912" s="2">
        <v>45148.507169056342</v>
      </c>
      <c r="D912">
        <v>56</v>
      </c>
      <c r="E912" t="s">
        <v>7</v>
      </c>
      <c r="F912" t="s">
        <v>11</v>
      </c>
      <c r="G912">
        <v>3859</v>
      </c>
    </row>
    <row r="913" spans="1:7" x14ac:dyDescent="0.25">
      <c r="A913">
        <v>1297</v>
      </c>
      <c r="B913">
        <v>50912</v>
      </c>
      <c r="C913" s="2">
        <v>45148.750583527843</v>
      </c>
      <c r="D913">
        <v>41</v>
      </c>
      <c r="E913" t="s">
        <v>7</v>
      </c>
      <c r="F913" t="s">
        <v>12</v>
      </c>
      <c r="G913">
        <v>3435</v>
      </c>
    </row>
    <row r="914" spans="1:7" x14ac:dyDescent="0.25">
      <c r="A914">
        <v>1407</v>
      </c>
      <c r="B914">
        <v>50913</v>
      </c>
      <c r="C914" s="2">
        <v>45148.993997999329</v>
      </c>
      <c r="D914">
        <v>43</v>
      </c>
      <c r="E914" t="s">
        <v>7</v>
      </c>
      <c r="F914" t="s">
        <v>11</v>
      </c>
      <c r="G914">
        <v>2619</v>
      </c>
    </row>
    <row r="915" spans="1:7" x14ac:dyDescent="0.25">
      <c r="A915">
        <v>1405</v>
      </c>
      <c r="B915">
        <v>50914</v>
      </c>
      <c r="C915" s="2">
        <v>45149.237412470822</v>
      </c>
      <c r="D915">
        <v>34</v>
      </c>
      <c r="E915" t="s">
        <v>8</v>
      </c>
      <c r="F915" t="s">
        <v>11</v>
      </c>
      <c r="G915">
        <v>3695</v>
      </c>
    </row>
    <row r="916" spans="1:7" x14ac:dyDescent="0.25">
      <c r="A916">
        <v>1346</v>
      </c>
      <c r="B916">
        <v>50915</v>
      </c>
      <c r="C916" s="2">
        <v>45149.480826942301</v>
      </c>
      <c r="D916">
        <v>24</v>
      </c>
      <c r="E916" t="s">
        <v>8</v>
      </c>
      <c r="F916" t="s">
        <v>12</v>
      </c>
      <c r="G916">
        <v>956</v>
      </c>
    </row>
    <row r="917" spans="1:7" x14ac:dyDescent="0.25">
      <c r="A917">
        <v>1420</v>
      </c>
      <c r="B917">
        <v>50916</v>
      </c>
      <c r="C917" s="2">
        <v>45149.724241413787</v>
      </c>
      <c r="D917">
        <v>30</v>
      </c>
      <c r="E917" t="s">
        <v>8</v>
      </c>
      <c r="F917" t="s">
        <v>10</v>
      </c>
      <c r="G917">
        <v>2724</v>
      </c>
    </row>
    <row r="918" spans="1:7" x14ac:dyDescent="0.25">
      <c r="A918">
        <v>1182</v>
      </c>
      <c r="B918">
        <v>50917</v>
      </c>
      <c r="C918" s="2">
        <v>45149.967655885288</v>
      </c>
      <c r="D918">
        <v>22</v>
      </c>
      <c r="E918" t="s">
        <v>7</v>
      </c>
      <c r="F918" t="s">
        <v>12</v>
      </c>
      <c r="G918">
        <v>4450</v>
      </c>
    </row>
    <row r="919" spans="1:7" x14ac:dyDescent="0.25">
      <c r="A919">
        <v>1001</v>
      </c>
      <c r="B919">
        <v>50918</v>
      </c>
      <c r="C919" s="2">
        <v>45150.211070356781</v>
      </c>
      <c r="D919">
        <v>43</v>
      </c>
      <c r="E919" t="s">
        <v>7</v>
      </c>
      <c r="F919" t="s">
        <v>10</v>
      </c>
      <c r="G919">
        <v>456</v>
      </c>
    </row>
    <row r="920" spans="1:7" x14ac:dyDescent="0.25">
      <c r="A920">
        <v>1567</v>
      </c>
      <c r="B920">
        <v>50919</v>
      </c>
      <c r="C920" s="2">
        <v>45150.454484828268</v>
      </c>
      <c r="D920">
        <v>20</v>
      </c>
      <c r="E920" t="s">
        <v>8</v>
      </c>
      <c r="F920" t="s">
        <v>12</v>
      </c>
      <c r="G920">
        <v>1979</v>
      </c>
    </row>
    <row r="921" spans="1:7" x14ac:dyDescent="0.25">
      <c r="A921">
        <v>1371</v>
      </c>
      <c r="B921">
        <v>50920</v>
      </c>
      <c r="C921" s="2">
        <v>45150.697899299746</v>
      </c>
      <c r="D921">
        <v>24</v>
      </c>
      <c r="E921" t="s">
        <v>7</v>
      </c>
      <c r="F921" t="s">
        <v>12</v>
      </c>
      <c r="G921">
        <v>4969</v>
      </c>
    </row>
    <row r="922" spans="1:7" x14ac:dyDescent="0.25">
      <c r="A922">
        <v>1431</v>
      </c>
      <c r="B922">
        <v>50921</v>
      </c>
      <c r="C922" s="2">
        <v>45150.941313771247</v>
      </c>
      <c r="D922">
        <v>56</v>
      </c>
      <c r="E922" t="s">
        <v>8</v>
      </c>
      <c r="F922" t="s">
        <v>12</v>
      </c>
      <c r="G922">
        <v>2315</v>
      </c>
    </row>
    <row r="923" spans="1:7" x14ac:dyDescent="0.25">
      <c r="A923">
        <v>1309</v>
      </c>
      <c r="B923">
        <v>50922</v>
      </c>
      <c r="C923" s="2">
        <v>45151.184728242741</v>
      </c>
      <c r="D923">
        <v>18</v>
      </c>
      <c r="E923" t="s">
        <v>7</v>
      </c>
      <c r="F923" t="s">
        <v>9</v>
      </c>
      <c r="G923">
        <v>3548</v>
      </c>
    </row>
    <row r="924" spans="1:7" x14ac:dyDescent="0.25">
      <c r="A924">
        <v>1137</v>
      </c>
      <c r="B924">
        <v>50923</v>
      </c>
      <c r="C924" s="2">
        <v>45151.428142714227</v>
      </c>
      <c r="D924">
        <v>34</v>
      </c>
      <c r="E924" t="s">
        <v>8</v>
      </c>
      <c r="F924" t="s">
        <v>10</v>
      </c>
      <c r="G924">
        <v>4968</v>
      </c>
    </row>
    <row r="925" spans="1:7" x14ac:dyDescent="0.25">
      <c r="A925">
        <v>1202</v>
      </c>
      <c r="B925">
        <v>50924</v>
      </c>
      <c r="C925" s="2">
        <v>45151.67155718572</v>
      </c>
      <c r="D925">
        <v>60</v>
      </c>
      <c r="E925" t="s">
        <v>7</v>
      </c>
      <c r="F925" t="s">
        <v>9</v>
      </c>
      <c r="G925">
        <v>1672</v>
      </c>
    </row>
    <row r="926" spans="1:7" x14ac:dyDescent="0.25">
      <c r="A926">
        <v>1436</v>
      </c>
      <c r="B926">
        <v>50925</v>
      </c>
      <c r="C926" s="2">
        <v>45151.914971657206</v>
      </c>
      <c r="D926">
        <v>42</v>
      </c>
      <c r="E926" t="s">
        <v>7</v>
      </c>
      <c r="F926" t="s">
        <v>12</v>
      </c>
      <c r="G926">
        <v>458</v>
      </c>
    </row>
    <row r="927" spans="1:7" x14ac:dyDescent="0.25">
      <c r="A927">
        <v>1313</v>
      </c>
      <c r="B927">
        <v>50926</v>
      </c>
      <c r="C927" s="2">
        <v>45152.158386128707</v>
      </c>
      <c r="D927">
        <v>20</v>
      </c>
      <c r="E927" t="s">
        <v>8</v>
      </c>
      <c r="F927" t="s">
        <v>11</v>
      </c>
      <c r="G927">
        <v>4275</v>
      </c>
    </row>
    <row r="928" spans="1:7" x14ac:dyDescent="0.25">
      <c r="A928">
        <v>1117</v>
      </c>
      <c r="B928">
        <v>50927</v>
      </c>
      <c r="C928" s="2">
        <v>45152.401800600193</v>
      </c>
      <c r="D928">
        <v>32</v>
      </c>
      <c r="E928" t="s">
        <v>8</v>
      </c>
      <c r="F928" t="s">
        <v>9</v>
      </c>
      <c r="G928">
        <v>506</v>
      </c>
    </row>
    <row r="929" spans="1:7" x14ac:dyDescent="0.25">
      <c r="A929">
        <v>1575</v>
      </c>
      <c r="B929">
        <v>50928</v>
      </c>
      <c r="C929" s="2">
        <v>45152.645215071687</v>
      </c>
      <c r="D929">
        <v>46</v>
      </c>
      <c r="E929" t="s">
        <v>8</v>
      </c>
      <c r="F929" t="s">
        <v>10</v>
      </c>
      <c r="G929">
        <v>1318</v>
      </c>
    </row>
    <row r="930" spans="1:7" x14ac:dyDescent="0.25">
      <c r="A930">
        <v>1244</v>
      </c>
      <c r="B930">
        <v>50929</v>
      </c>
      <c r="C930" s="2">
        <v>45152.888629543173</v>
      </c>
      <c r="D930">
        <v>60</v>
      </c>
      <c r="E930" t="s">
        <v>8</v>
      </c>
      <c r="F930" t="s">
        <v>12</v>
      </c>
      <c r="G930">
        <v>3217</v>
      </c>
    </row>
    <row r="931" spans="1:7" x14ac:dyDescent="0.25">
      <c r="A931">
        <v>1537</v>
      </c>
      <c r="B931">
        <v>50930</v>
      </c>
      <c r="C931" s="2">
        <v>45153.132044014666</v>
      </c>
      <c r="D931">
        <v>49</v>
      </c>
      <c r="E931" t="s">
        <v>8</v>
      </c>
      <c r="F931" t="s">
        <v>9</v>
      </c>
      <c r="G931">
        <v>4541</v>
      </c>
    </row>
    <row r="932" spans="1:7" x14ac:dyDescent="0.25">
      <c r="A932">
        <v>1075</v>
      </c>
      <c r="B932">
        <v>50931</v>
      </c>
      <c r="C932" s="2">
        <v>45153.37545848616</v>
      </c>
      <c r="D932">
        <v>43</v>
      </c>
      <c r="E932" t="s">
        <v>7</v>
      </c>
      <c r="F932" t="s">
        <v>11</v>
      </c>
      <c r="G932">
        <v>2980</v>
      </c>
    </row>
    <row r="933" spans="1:7" x14ac:dyDescent="0.25">
      <c r="A933">
        <v>1386</v>
      </c>
      <c r="B933">
        <v>50932</v>
      </c>
      <c r="C933" s="2">
        <v>45153.618872957653</v>
      </c>
      <c r="D933">
        <v>33</v>
      </c>
      <c r="E933" t="s">
        <v>8</v>
      </c>
      <c r="F933" t="s">
        <v>9</v>
      </c>
      <c r="G933">
        <v>1858</v>
      </c>
    </row>
    <row r="934" spans="1:7" x14ac:dyDescent="0.25">
      <c r="A934">
        <v>1210</v>
      </c>
      <c r="B934">
        <v>50933</v>
      </c>
      <c r="C934" s="2">
        <v>45153.862287429132</v>
      </c>
      <c r="D934">
        <v>42</v>
      </c>
      <c r="E934" t="s">
        <v>8</v>
      </c>
      <c r="F934" t="s">
        <v>10</v>
      </c>
      <c r="G934">
        <v>386</v>
      </c>
    </row>
    <row r="935" spans="1:7" x14ac:dyDescent="0.25">
      <c r="A935">
        <v>1475</v>
      </c>
      <c r="B935">
        <v>50934</v>
      </c>
      <c r="C935" s="2">
        <v>45154.105701900633</v>
      </c>
      <c r="D935">
        <v>45</v>
      </c>
      <c r="E935" t="s">
        <v>8</v>
      </c>
      <c r="F935" t="s">
        <v>9</v>
      </c>
      <c r="G935">
        <v>1997</v>
      </c>
    </row>
    <row r="936" spans="1:7" x14ac:dyDescent="0.25">
      <c r="A936">
        <v>1418</v>
      </c>
      <c r="B936">
        <v>50935</v>
      </c>
      <c r="C936" s="2">
        <v>45154.349116372119</v>
      </c>
      <c r="D936">
        <v>26</v>
      </c>
      <c r="E936" t="s">
        <v>8</v>
      </c>
      <c r="F936" t="s">
        <v>11</v>
      </c>
      <c r="G936">
        <v>1124</v>
      </c>
    </row>
    <row r="937" spans="1:7" x14ac:dyDescent="0.25">
      <c r="A937">
        <v>1347</v>
      </c>
      <c r="B937">
        <v>50936</v>
      </c>
      <c r="C937" s="2">
        <v>45154.592530843613</v>
      </c>
      <c r="D937">
        <v>18</v>
      </c>
      <c r="E937" t="s">
        <v>8</v>
      </c>
      <c r="F937" t="s">
        <v>11</v>
      </c>
      <c r="G937">
        <v>984</v>
      </c>
    </row>
    <row r="938" spans="1:7" x14ac:dyDescent="0.25">
      <c r="A938">
        <v>1529</v>
      </c>
      <c r="B938">
        <v>50937</v>
      </c>
      <c r="C938" s="2">
        <v>45154.835945315113</v>
      </c>
      <c r="D938">
        <v>46</v>
      </c>
      <c r="E938" t="s">
        <v>7</v>
      </c>
      <c r="F938" t="s">
        <v>10</v>
      </c>
      <c r="G938">
        <v>3644</v>
      </c>
    </row>
    <row r="939" spans="1:7" x14ac:dyDescent="0.25">
      <c r="A939">
        <v>1179</v>
      </c>
      <c r="B939">
        <v>50938</v>
      </c>
      <c r="C939" s="2">
        <v>45155.079359786578</v>
      </c>
      <c r="D939">
        <v>39</v>
      </c>
      <c r="E939" t="s">
        <v>8</v>
      </c>
      <c r="F939" t="s">
        <v>11</v>
      </c>
      <c r="G939">
        <v>3396</v>
      </c>
    </row>
    <row r="940" spans="1:7" x14ac:dyDescent="0.25">
      <c r="A940">
        <v>1182</v>
      </c>
      <c r="B940">
        <v>50939</v>
      </c>
      <c r="C940" s="2">
        <v>45155.322774258078</v>
      </c>
      <c r="D940">
        <v>33</v>
      </c>
      <c r="E940" t="s">
        <v>8</v>
      </c>
      <c r="F940" t="s">
        <v>12</v>
      </c>
      <c r="G940">
        <v>1560</v>
      </c>
    </row>
    <row r="941" spans="1:7" x14ac:dyDescent="0.25">
      <c r="A941">
        <v>1025</v>
      </c>
      <c r="B941">
        <v>50940</v>
      </c>
      <c r="C941" s="2">
        <v>45155.566188729572</v>
      </c>
      <c r="D941">
        <v>58</v>
      </c>
      <c r="E941" t="s">
        <v>8</v>
      </c>
      <c r="F941" t="s">
        <v>11</v>
      </c>
      <c r="G941">
        <v>540</v>
      </c>
    </row>
    <row r="942" spans="1:7" x14ac:dyDescent="0.25">
      <c r="A942">
        <v>1180</v>
      </c>
      <c r="B942">
        <v>50941</v>
      </c>
      <c r="C942" s="2">
        <v>45155.809603201073</v>
      </c>
      <c r="D942">
        <v>61</v>
      </c>
      <c r="E942" t="s">
        <v>7</v>
      </c>
      <c r="F942" t="s">
        <v>12</v>
      </c>
      <c r="G942">
        <v>762</v>
      </c>
    </row>
    <row r="943" spans="1:7" x14ac:dyDescent="0.25">
      <c r="A943">
        <v>1501</v>
      </c>
      <c r="B943">
        <v>50942</v>
      </c>
      <c r="C943" s="2">
        <v>45156.053017672537</v>
      </c>
      <c r="D943">
        <v>58</v>
      </c>
      <c r="E943" t="s">
        <v>7</v>
      </c>
      <c r="F943" t="s">
        <v>9</v>
      </c>
      <c r="G943">
        <v>4946</v>
      </c>
    </row>
    <row r="944" spans="1:7" x14ac:dyDescent="0.25">
      <c r="A944">
        <v>1161</v>
      </c>
      <c r="B944">
        <v>50943</v>
      </c>
      <c r="C944" s="2">
        <v>45156.296432144038</v>
      </c>
      <c r="D944">
        <v>24</v>
      </c>
      <c r="E944" t="s">
        <v>8</v>
      </c>
      <c r="F944" t="s">
        <v>12</v>
      </c>
      <c r="G944">
        <v>3199</v>
      </c>
    </row>
    <row r="945" spans="1:7" x14ac:dyDescent="0.25">
      <c r="A945">
        <v>1177</v>
      </c>
      <c r="B945">
        <v>50944</v>
      </c>
      <c r="C945" s="2">
        <v>45156.539846615531</v>
      </c>
      <c r="D945">
        <v>31</v>
      </c>
      <c r="E945" t="s">
        <v>8</v>
      </c>
      <c r="F945" t="s">
        <v>12</v>
      </c>
      <c r="G945">
        <v>1393</v>
      </c>
    </row>
    <row r="946" spans="1:7" x14ac:dyDescent="0.25">
      <c r="A946">
        <v>1285</v>
      </c>
      <c r="B946">
        <v>50945</v>
      </c>
      <c r="C946" s="2">
        <v>45156.783261087017</v>
      </c>
      <c r="D946">
        <v>46</v>
      </c>
      <c r="E946" t="s">
        <v>7</v>
      </c>
      <c r="F946" t="s">
        <v>9</v>
      </c>
      <c r="G946">
        <v>3310</v>
      </c>
    </row>
    <row r="947" spans="1:7" x14ac:dyDescent="0.25">
      <c r="A947">
        <v>1063</v>
      </c>
      <c r="B947">
        <v>50946</v>
      </c>
      <c r="C947" s="2">
        <v>45157.026675558518</v>
      </c>
      <c r="D947">
        <v>36</v>
      </c>
      <c r="E947" t="s">
        <v>7</v>
      </c>
      <c r="F947" t="s">
        <v>11</v>
      </c>
      <c r="G947">
        <v>268</v>
      </c>
    </row>
    <row r="948" spans="1:7" x14ac:dyDescent="0.25">
      <c r="A948">
        <v>1156</v>
      </c>
      <c r="B948">
        <v>50947</v>
      </c>
      <c r="C948" s="2">
        <v>45157.270090029997</v>
      </c>
      <c r="D948">
        <v>36</v>
      </c>
      <c r="E948" t="s">
        <v>7</v>
      </c>
      <c r="F948" t="s">
        <v>12</v>
      </c>
      <c r="G948">
        <v>2628</v>
      </c>
    </row>
    <row r="949" spans="1:7" x14ac:dyDescent="0.25">
      <c r="A949">
        <v>1469</v>
      </c>
      <c r="B949">
        <v>50948</v>
      </c>
      <c r="C949" s="2">
        <v>45157.51350450149</v>
      </c>
      <c r="D949">
        <v>19</v>
      </c>
      <c r="E949" t="s">
        <v>8</v>
      </c>
      <c r="F949" t="s">
        <v>11</v>
      </c>
      <c r="G949">
        <v>3798</v>
      </c>
    </row>
    <row r="950" spans="1:7" x14ac:dyDescent="0.25">
      <c r="A950">
        <v>1049</v>
      </c>
      <c r="B950">
        <v>50949</v>
      </c>
      <c r="C950" s="2">
        <v>45157.756918972977</v>
      </c>
      <c r="D950">
        <v>58</v>
      </c>
      <c r="E950" t="s">
        <v>8</v>
      </c>
      <c r="F950" t="s">
        <v>9</v>
      </c>
      <c r="G950">
        <v>2572</v>
      </c>
    </row>
    <row r="951" spans="1:7" x14ac:dyDescent="0.25">
      <c r="A951">
        <v>1084</v>
      </c>
      <c r="B951">
        <v>50950</v>
      </c>
      <c r="C951" s="2">
        <v>45158.000333444477</v>
      </c>
      <c r="D951">
        <v>62</v>
      </c>
      <c r="E951" t="s">
        <v>7</v>
      </c>
      <c r="F951" t="s">
        <v>10</v>
      </c>
      <c r="G951">
        <v>4756</v>
      </c>
    </row>
    <row r="952" spans="1:7" x14ac:dyDescent="0.25">
      <c r="A952">
        <v>1361</v>
      </c>
      <c r="B952">
        <v>50951</v>
      </c>
      <c r="C952" s="2">
        <v>45158.243747915963</v>
      </c>
      <c r="D952">
        <v>32</v>
      </c>
      <c r="E952" t="s">
        <v>8</v>
      </c>
      <c r="F952" t="s">
        <v>11</v>
      </c>
      <c r="G952">
        <v>1043</v>
      </c>
    </row>
    <row r="953" spans="1:7" x14ac:dyDescent="0.25">
      <c r="A953">
        <v>1148</v>
      </c>
      <c r="B953">
        <v>50952</v>
      </c>
      <c r="C953" s="2">
        <v>45158.487162387457</v>
      </c>
      <c r="D953">
        <v>20</v>
      </c>
      <c r="E953" t="s">
        <v>7</v>
      </c>
      <c r="F953" t="s">
        <v>11</v>
      </c>
      <c r="G953">
        <v>773</v>
      </c>
    </row>
    <row r="954" spans="1:7" x14ac:dyDescent="0.25">
      <c r="A954">
        <v>1342</v>
      </c>
      <c r="B954">
        <v>50953</v>
      </c>
      <c r="C954" s="2">
        <v>45158.73057685895</v>
      </c>
      <c r="D954">
        <v>28</v>
      </c>
      <c r="E954" t="s">
        <v>7</v>
      </c>
      <c r="F954" t="s">
        <v>10</v>
      </c>
      <c r="G954">
        <v>4414</v>
      </c>
    </row>
    <row r="955" spans="1:7" x14ac:dyDescent="0.25">
      <c r="A955">
        <v>1476</v>
      </c>
      <c r="B955">
        <v>50954</v>
      </c>
      <c r="C955" s="2">
        <v>45158.973991330437</v>
      </c>
      <c r="D955">
        <v>63</v>
      </c>
      <c r="E955" t="s">
        <v>7</v>
      </c>
      <c r="F955" t="s">
        <v>10</v>
      </c>
      <c r="G955">
        <v>2796</v>
      </c>
    </row>
    <row r="956" spans="1:7" x14ac:dyDescent="0.25">
      <c r="A956">
        <v>1063</v>
      </c>
      <c r="B956">
        <v>50955</v>
      </c>
      <c r="C956" s="2">
        <v>45159.21740580193</v>
      </c>
      <c r="D956">
        <v>47</v>
      </c>
      <c r="E956" t="s">
        <v>8</v>
      </c>
      <c r="F956" t="s">
        <v>9</v>
      </c>
      <c r="G956">
        <v>4941</v>
      </c>
    </row>
    <row r="957" spans="1:7" x14ac:dyDescent="0.25">
      <c r="A957">
        <v>1360</v>
      </c>
      <c r="B957">
        <v>50956</v>
      </c>
      <c r="C957" s="2">
        <v>45159.460820273423</v>
      </c>
      <c r="D957">
        <v>57</v>
      </c>
      <c r="E957" t="s">
        <v>7</v>
      </c>
      <c r="F957" t="s">
        <v>11</v>
      </c>
      <c r="G957">
        <v>1678</v>
      </c>
    </row>
    <row r="958" spans="1:7" x14ac:dyDescent="0.25">
      <c r="A958">
        <v>1561</v>
      </c>
      <c r="B958">
        <v>50957</v>
      </c>
      <c r="C958" s="2">
        <v>45159.70423474491</v>
      </c>
      <c r="D958">
        <v>35</v>
      </c>
      <c r="E958" t="s">
        <v>7</v>
      </c>
      <c r="F958" t="s">
        <v>11</v>
      </c>
      <c r="G958">
        <v>2273</v>
      </c>
    </row>
    <row r="959" spans="1:7" x14ac:dyDescent="0.25">
      <c r="A959">
        <v>1327</v>
      </c>
      <c r="B959">
        <v>50958</v>
      </c>
      <c r="C959" s="2">
        <v>45159.947649216403</v>
      </c>
      <c r="D959">
        <v>19</v>
      </c>
      <c r="E959" t="s">
        <v>8</v>
      </c>
      <c r="F959" t="s">
        <v>9</v>
      </c>
      <c r="G959">
        <v>1713</v>
      </c>
    </row>
    <row r="960" spans="1:7" x14ac:dyDescent="0.25">
      <c r="A960">
        <v>1141</v>
      </c>
      <c r="B960">
        <v>50959</v>
      </c>
      <c r="C960" s="2">
        <v>45160.191063687897</v>
      </c>
      <c r="D960">
        <v>49</v>
      </c>
      <c r="E960" t="s">
        <v>7</v>
      </c>
      <c r="F960" t="s">
        <v>11</v>
      </c>
      <c r="G960">
        <v>1168</v>
      </c>
    </row>
    <row r="961" spans="1:7" x14ac:dyDescent="0.25">
      <c r="A961">
        <v>1215</v>
      </c>
      <c r="B961">
        <v>50960</v>
      </c>
      <c r="C961" s="2">
        <v>45160.434478159383</v>
      </c>
      <c r="D961">
        <v>25</v>
      </c>
      <c r="E961" t="s">
        <v>8</v>
      </c>
      <c r="F961" t="s">
        <v>12</v>
      </c>
      <c r="G961">
        <v>2396</v>
      </c>
    </row>
    <row r="962" spans="1:7" x14ac:dyDescent="0.25">
      <c r="A962">
        <v>1435</v>
      </c>
      <c r="B962">
        <v>50961</v>
      </c>
      <c r="C962" s="2">
        <v>45160.677892630869</v>
      </c>
      <c r="D962">
        <v>39</v>
      </c>
      <c r="E962" t="s">
        <v>7</v>
      </c>
      <c r="F962" t="s">
        <v>12</v>
      </c>
      <c r="G962">
        <v>1711</v>
      </c>
    </row>
    <row r="963" spans="1:7" x14ac:dyDescent="0.25">
      <c r="A963">
        <v>1318</v>
      </c>
      <c r="B963">
        <v>50962</v>
      </c>
      <c r="C963" s="2">
        <v>45160.921307102362</v>
      </c>
      <c r="D963">
        <v>23</v>
      </c>
      <c r="E963" t="s">
        <v>8</v>
      </c>
      <c r="F963" t="s">
        <v>12</v>
      </c>
      <c r="G963">
        <v>854</v>
      </c>
    </row>
    <row r="964" spans="1:7" x14ac:dyDescent="0.25">
      <c r="A964">
        <v>1032</v>
      </c>
      <c r="B964">
        <v>50963</v>
      </c>
      <c r="C964" s="2">
        <v>45161.164721573863</v>
      </c>
      <c r="D964">
        <v>29</v>
      </c>
      <c r="E964" t="s">
        <v>7</v>
      </c>
      <c r="F964" t="s">
        <v>11</v>
      </c>
      <c r="G964">
        <v>3192</v>
      </c>
    </row>
    <row r="965" spans="1:7" x14ac:dyDescent="0.25">
      <c r="A965">
        <v>1285</v>
      </c>
      <c r="B965">
        <v>50964</v>
      </c>
      <c r="C965" s="2">
        <v>45161.408136045349</v>
      </c>
      <c r="D965">
        <v>64</v>
      </c>
      <c r="E965" t="s">
        <v>7</v>
      </c>
      <c r="F965" t="s">
        <v>12</v>
      </c>
      <c r="G965">
        <v>4850</v>
      </c>
    </row>
    <row r="966" spans="1:7" x14ac:dyDescent="0.25">
      <c r="A966">
        <v>1305</v>
      </c>
      <c r="B966">
        <v>50965</v>
      </c>
      <c r="C966" s="2">
        <v>45161.651550516828</v>
      </c>
      <c r="D966">
        <v>57</v>
      </c>
      <c r="E966" t="s">
        <v>7</v>
      </c>
      <c r="F966" t="s">
        <v>12</v>
      </c>
      <c r="G966">
        <v>4720</v>
      </c>
    </row>
    <row r="967" spans="1:7" x14ac:dyDescent="0.25">
      <c r="A967">
        <v>1429</v>
      </c>
      <c r="B967">
        <v>50966</v>
      </c>
      <c r="C967" s="2">
        <v>45161.894964988322</v>
      </c>
      <c r="D967">
        <v>53</v>
      </c>
      <c r="E967" t="s">
        <v>7</v>
      </c>
      <c r="F967" t="s">
        <v>9</v>
      </c>
      <c r="G967">
        <v>492</v>
      </c>
    </row>
    <row r="968" spans="1:7" x14ac:dyDescent="0.25">
      <c r="A968">
        <v>1477</v>
      </c>
      <c r="B968">
        <v>50967</v>
      </c>
      <c r="C968" s="2">
        <v>45162.138379459822</v>
      </c>
      <c r="D968">
        <v>32</v>
      </c>
      <c r="E968" t="s">
        <v>7</v>
      </c>
      <c r="F968" t="s">
        <v>9</v>
      </c>
      <c r="G968">
        <v>2801</v>
      </c>
    </row>
    <row r="969" spans="1:7" x14ac:dyDescent="0.25">
      <c r="A969">
        <v>1286</v>
      </c>
      <c r="B969">
        <v>50968</v>
      </c>
      <c r="C969" s="2">
        <v>45162.381793931308</v>
      </c>
      <c r="D969">
        <v>45</v>
      </c>
      <c r="E969" t="s">
        <v>8</v>
      </c>
      <c r="F969" t="s">
        <v>10</v>
      </c>
      <c r="G969">
        <v>4726</v>
      </c>
    </row>
    <row r="970" spans="1:7" x14ac:dyDescent="0.25">
      <c r="A970">
        <v>1144</v>
      </c>
      <c r="B970">
        <v>50969</v>
      </c>
      <c r="C970" s="2">
        <v>45162.625208402802</v>
      </c>
      <c r="D970">
        <v>62</v>
      </c>
      <c r="E970" t="s">
        <v>8</v>
      </c>
      <c r="F970" t="s">
        <v>10</v>
      </c>
      <c r="G970">
        <v>4612</v>
      </c>
    </row>
    <row r="971" spans="1:7" x14ac:dyDescent="0.25">
      <c r="A971">
        <v>1424</v>
      </c>
      <c r="B971">
        <v>50970</v>
      </c>
      <c r="C971" s="2">
        <v>45162.868622874281</v>
      </c>
      <c r="D971">
        <v>35</v>
      </c>
      <c r="E971" t="s">
        <v>7</v>
      </c>
      <c r="F971" t="s">
        <v>10</v>
      </c>
      <c r="G971">
        <v>4693</v>
      </c>
    </row>
    <row r="972" spans="1:7" x14ac:dyDescent="0.25">
      <c r="A972">
        <v>1019</v>
      </c>
      <c r="B972">
        <v>50971</v>
      </c>
      <c r="C972" s="2">
        <v>45163.112037345767</v>
      </c>
      <c r="D972">
        <v>19</v>
      </c>
      <c r="E972" t="s">
        <v>7</v>
      </c>
      <c r="F972" t="s">
        <v>10</v>
      </c>
      <c r="G972">
        <v>1788</v>
      </c>
    </row>
    <row r="973" spans="1:7" x14ac:dyDescent="0.25">
      <c r="A973">
        <v>1018</v>
      </c>
      <c r="B973">
        <v>50972</v>
      </c>
      <c r="C973" s="2">
        <v>45163.355451817268</v>
      </c>
      <c r="D973">
        <v>30</v>
      </c>
      <c r="E973" t="s">
        <v>7</v>
      </c>
      <c r="F973" t="s">
        <v>9</v>
      </c>
      <c r="G973">
        <v>795</v>
      </c>
    </row>
    <row r="974" spans="1:7" x14ac:dyDescent="0.25">
      <c r="A974">
        <v>1590</v>
      </c>
      <c r="B974">
        <v>50973</v>
      </c>
      <c r="C974" s="2">
        <v>45163.598866288761</v>
      </c>
      <c r="D974">
        <v>62</v>
      </c>
      <c r="E974" t="s">
        <v>8</v>
      </c>
      <c r="F974" t="s">
        <v>9</v>
      </c>
      <c r="G974">
        <v>2793</v>
      </c>
    </row>
    <row r="975" spans="1:7" x14ac:dyDescent="0.25">
      <c r="A975">
        <v>1371</v>
      </c>
      <c r="B975">
        <v>50974</v>
      </c>
      <c r="C975" s="2">
        <v>45163.84228076024</v>
      </c>
      <c r="D975">
        <v>32</v>
      </c>
      <c r="E975" t="s">
        <v>8</v>
      </c>
      <c r="F975" t="s">
        <v>9</v>
      </c>
      <c r="G975">
        <v>2323</v>
      </c>
    </row>
    <row r="976" spans="1:7" x14ac:dyDescent="0.25">
      <c r="A976">
        <v>1175</v>
      </c>
      <c r="B976">
        <v>50975</v>
      </c>
      <c r="C976" s="2">
        <v>45164.085695231734</v>
      </c>
      <c r="D976">
        <v>37</v>
      </c>
      <c r="E976" t="s">
        <v>7</v>
      </c>
      <c r="F976" t="s">
        <v>12</v>
      </c>
      <c r="G976">
        <v>2143</v>
      </c>
    </row>
    <row r="977" spans="1:7" x14ac:dyDescent="0.25">
      <c r="A977">
        <v>1194</v>
      </c>
      <c r="B977">
        <v>50976</v>
      </c>
      <c r="C977" s="2">
        <v>45164.329109703227</v>
      </c>
      <c r="D977">
        <v>46</v>
      </c>
      <c r="E977" t="s">
        <v>8</v>
      </c>
      <c r="F977" t="s">
        <v>12</v>
      </c>
      <c r="G977">
        <v>1115</v>
      </c>
    </row>
    <row r="978" spans="1:7" x14ac:dyDescent="0.25">
      <c r="A978">
        <v>1502</v>
      </c>
      <c r="B978">
        <v>50977</v>
      </c>
      <c r="C978" s="2">
        <v>45164.57252417472</v>
      </c>
      <c r="D978">
        <v>59</v>
      </c>
      <c r="E978" t="s">
        <v>7</v>
      </c>
      <c r="F978" t="s">
        <v>10</v>
      </c>
      <c r="G978">
        <v>4069</v>
      </c>
    </row>
    <row r="979" spans="1:7" x14ac:dyDescent="0.25">
      <c r="A979">
        <v>1113</v>
      </c>
      <c r="B979">
        <v>50978</v>
      </c>
      <c r="C979" s="2">
        <v>45164.815938646207</v>
      </c>
      <c r="D979">
        <v>46</v>
      </c>
      <c r="E979" t="s">
        <v>7</v>
      </c>
      <c r="F979" t="s">
        <v>12</v>
      </c>
      <c r="G979">
        <v>2994</v>
      </c>
    </row>
    <row r="980" spans="1:7" x14ac:dyDescent="0.25">
      <c r="A980">
        <v>1114</v>
      </c>
      <c r="B980">
        <v>50979</v>
      </c>
      <c r="C980" s="2">
        <v>45165.0593531177</v>
      </c>
      <c r="D980">
        <v>20</v>
      </c>
      <c r="E980" t="s">
        <v>7</v>
      </c>
      <c r="F980" t="s">
        <v>11</v>
      </c>
      <c r="G980">
        <v>3278</v>
      </c>
    </row>
    <row r="981" spans="1:7" x14ac:dyDescent="0.25">
      <c r="A981">
        <v>1222</v>
      </c>
      <c r="B981">
        <v>50980</v>
      </c>
      <c r="C981" s="2">
        <v>45165.302767589194</v>
      </c>
      <c r="D981">
        <v>36</v>
      </c>
      <c r="E981" t="s">
        <v>8</v>
      </c>
      <c r="F981" t="s">
        <v>9</v>
      </c>
      <c r="G981">
        <v>1175</v>
      </c>
    </row>
    <row r="982" spans="1:7" x14ac:dyDescent="0.25">
      <c r="A982">
        <v>1264</v>
      </c>
      <c r="B982">
        <v>50981</v>
      </c>
      <c r="C982" s="2">
        <v>45165.54618206068</v>
      </c>
      <c r="D982">
        <v>20</v>
      </c>
      <c r="E982" t="s">
        <v>7</v>
      </c>
      <c r="F982" t="s">
        <v>10</v>
      </c>
      <c r="G982">
        <v>1275</v>
      </c>
    </row>
    <row r="983" spans="1:7" x14ac:dyDescent="0.25">
      <c r="A983">
        <v>1055</v>
      </c>
      <c r="B983">
        <v>50982</v>
      </c>
      <c r="C983" s="2">
        <v>45165.789596532173</v>
      </c>
      <c r="D983">
        <v>31</v>
      </c>
      <c r="E983" t="s">
        <v>7</v>
      </c>
      <c r="F983" t="s">
        <v>10</v>
      </c>
      <c r="G983">
        <v>3189</v>
      </c>
    </row>
    <row r="984" spans="1:7" x14ac:dyDescent="0.25">
      <c r="A984">
        <v>1458</v>
      </c>
      <c r="B984">
        <v>50983</v>
      </c>
      <c r="C984" s="2">
        <v>45166.033011003659</v>
      </c>
      <c r="D984">
        <v>57</v>
      </c>
      <c r="E984" t="s">
        <v>7</v>
      </c>
      <c r="F984" t="s">
        <v>11</v>
      </c>
      <c r="G984">
        <v>3667</v>
      </c>
    </row>
    <row r="985" spans="1:7" x14ac:dyDescent="0.25">
      <c r="A985">
        <v>1162</v>
      </c>
      <c r="B985">
        <v>50984</v>
      </c>
      <c r="C985" s="2">
        <v>45166.276425475153</v>
      </c>
      <c r="D985">
        <v>21</v>
      </c>
      <c r="E985" t="s">
        <v>8</v>
      </c>
      <c r="F985" t="s">
        <v>12</v>
      </c>
      <c r="G985">
        <v>1651</v>
      </c>
    </row>
    <row r="986" spans="1:7" x14ac:dyDescent="0.25">
      <c r="A986">
        <v>1380</v>
      </c>
      <c r="B986">
        <v>50985</v>
      </c>
      <c r="C986" s="2">
        <v>45166.519839946654</v>
      </c>
      <c r="D986">
        <v>28</v>
      </c>
      <c r="E986" t="s">
        <v>8</v>
      </c>
      <c r="F986" t="s">
        <v>10</v>
      </c>
      <c r="G986">
        <v>4023</v>
      </c>
    </row>
    <row r="987" spans="1:7" x14ac:dyDescent="0.25">
      <c r="A987">
        <v>1087</v>
      </c>
      <c r="B987">
        <v>50986</v>
      </c>
      <c r="C987" s="2">
        <v>45166.76325441814</v>
      </c>
      <c r="D987">
        <v>48</v>
      </c>
      <c r="E987" t="s">
        <v>8</v>
      </c>
      <c r="F987" t="s">
        <v>12</v>
      </c>
      <c r="G987">
        <v>4132</v>
      </c>
    </row>
    <row r="988" spans="1:7" x14ac:dyDescent="0.25">
      <c r="A988">
        <v>1055</v>
      </c>
      <c r="B988">
        <v>50987</v>
      </c>
      <c r="C988" s="2">
        <v>45167.006668889633</v>
      </c>
      <c r="D988">
        <v>60</v>
      </c>
      <c r="E988" t="s">
        <v>7</v>
      </c>
      <c r="F988" t="s">
        <v>12</v>
      </c>
      <c r="G988">
        <v>2228</v>
      </c>
    </row>
    <row r="989" spans="1:7" x14ac:dyDescent="0.25">
      <c r="A989">
        <v>1476</v>
      </c>
      <c r="B989">
        <v>50988</v>
      </c>
      <c r="C989" s="2">
        <v>45167.250083361112</v>
      </c>
      <c r="D989">
        <v>49</v>
      </c>
      <c r="E989" t="s">
        <v>8</v>
      </c>
      <c r="F989" t="s">
        <v>11</v>
      </c>
      <c r="G989">
        <v>562</v>
      </c>
    </row>
    <row r="990" spans="1:7" x14ac:dyDescent="0.25">
      <c r="A990">
        <v>1178</v>
      </c>
      <c r="B990">
        <v>50989</v>
      </c>
      <c r="C990" s="2">
        <v>45167.493497832613</v>
      </c>
      <c r="D990">
        <v>44</v>
      </c>
      <c r="E990" t="s">
        <v>7</v>
      </c>
      <c r="F990" t="s">
        <v>10</v>
      </c>
      <c r="G990">
        <v>2629</v>
      </c>
    </row>
    <row r="991" spans="1:7" x14ac:dyDescent="0.25">
      <c r="A991">
        <v>1391</v>
      </c>
      <c r="B991">
        <v>50990</v>
      </c>
      <c r="C991" s="2">
        <v>45167.736912304099</v>
      </c>
      <c r="D991">
        <v>47</v>
      </c>
      <c r="E991" t="s">
        <v>8</v>
      </c>
      <c r="F991" t="s">
        <v>12</v>
      </c>
      <c r="G991">
        <v>3832</v>
      </c>
    </row>
    <row r="992" spans="1:7" x14ac:dyDescent="0.25">
      <c r="A992">
        <v>1349</v>
      </c>
      <c r="B992">
        <v>50991</v>
      </c>
      <c r="C992" s="2">
        <v>45167.980326775592</v>
      </c>
      <c r="D992">
        <v>60</v>
      </c>
      <c r="E992" t="s">
        <v>7</v>
      </c>
      <c r="F992" t="s">
        <v>12</v>
      </c>
      <c r="G992">
        <v>2518</v>
      </c>
    </row>
    <row r="993" spans="1:7" x14ac:dyDescent="0.25">
      <c r="A993">
        <v>1008</v>
      </c>
      <c r="B993">
        <v>50992</v>
      </c>
      <c r="C993" s="2">
        <v>45168.223741247071</v>
      </c>
      <c r="D993">
        <v>19</v>
      </c>
      <c r="E993" t="s">
        <v>8</v>
      </c>
      <c r="F993" t="s">
        <v>11</v>
      </c>
      <c r="G993">
        <v>3285</v>
      </c>
    </row>
    <row r="994" spans="1:7" x14ac:dyDescent="0.25">
      <c r="A994">
        <v>1313</v>
      </c>
      <c r="B994">
        <v>50993</v>
      </c>
      <c r="C994" s="2">
        <v>45168.467155718557</v>
      </c>
      <c r="D994">
        <v>26</v>
      </c>
      <c r="E994" t="s">
        <v>7</v>
      </c>
      <c r="F994" t="s">
        <v>11</v>
      </c>
      <c r="G994">
        <v>2545</v>
      </c>
    </row>
    <row r="995" spans="1:7" x14ac:dyDescent="0.25">
      <c r="A995">
        <v>1443</v>
      </c>
      <c r="B995">
        <v>50994</v>
      </c>
      <c r="C995" s="2">
        <v>45168.710570190058</v>
      </c>
      <c r="D995">
        <v>45</v>
      </c>
      <c r="E995" t="s">
        <v>8</v>
      </c>
      <c r="F995" t="s">
        <v>12</v>
      </c>
      <c r="G995">
        <v>3798</v>
      </c>
    </row>
    <row r="996" spans="1:7" x14ac:dyDescent="0.25">
      <c r="A996">
        <v>1328</v>
      </c>
      <c r="B996">
        <v>50995</v>
      </c>
      <c r="C996" s="2">
        <v>45168.953984661552</v>
      </c>
      <c r="D996">
        <v>48</v>
      </c>
      <c r="E996" t="s">
        <v>8</v>
      </c>
      <c r="F996" t="s">
        <v>11</v>
      </c>
      <c r="G996">
        <v>4529</v>
      </c>
    </row>
    <row r="997" spans="1:7" x14ac:dyDescent="0.25">
      <c r="A997">
        <v>1054</v>
      </c>
      <c r="B997">
        <v>50996</v>
      </c>
      <c r="C997" s="2">
        <v>45169.197399133052</v>
      </c>
      <c r="D997">
        <v>51</v>
      </c>
      <c r="E997" t="s">
        <v>8</v>
      </c>
      <c r="F997" t="s">
        <v>12</v>
      </c>
      <c r="G997">
        <v>1931</v>
      </c>
    </row>
    <row r="998" spans="1:7" x14ac:dyDescent="0.25">
      <c r="A998">
        <v>1239</v>
      </c>
      <c r="B998">
        <v>50997</v>
      </c>
      <c r="C998" s="2">
        <v>45169.440813604517</v>
      </c>
      <c r="D998">
        <v>32</v>
      </c>
      <c r="E998" t="s">
        <v>7</v>
      </c>
      <c r="F998" t="s">
        <v>10</v>
      </c>
      <c r="G998">
        <v>226</v>
      </c>
    </row>
    <row r="999" spans="1:7" x14ac:dyDescent="0.25">
      <c r="A999">
        <v>1229</v>
      </c>
      <c r="B999">
        <v>50998</v>
      </c>
      <c r="C999" s="2">
        <v>45169.684228076017</v>
      </c>
      <c r="D999">
        <v>42</v>
      </c>
      <c r="E999" t="s">
        <v>8</v>
      </c>
      <c r="F999" t="s">
        <v>9</v>
      </c>
      <c r="G999">
        <v>292</v>
      </c>
    </row>
    <row r="1000" spans="1:7" x14ac:dyDescent="0.25">
      <c r="A1000">
        <v>1579</v>
      </c>
      <c r="B1000">
        <v>50999</v>
      </c>
      <c r="C1000" s="2">
        <v>45169.927642547511</v>
      </c>
      <c r="D1000">
        <v>53</v>
      </c>
      <c r="E1000" t="s">
        <v>8</v>
      </c>
      <c r="F1000" t="s">
        <v>11</v>
      </c>
      <c r="G1000">
        <v>2864</v>
      </c>
    </row>
    <row r="1001" spans="1:7" x14ac:dyDescent="0.25">
      <c r="A1001">
        <v>1051</v>
      </c>
      <c r="B1001">
        <v>51000</v>
      </c>
      <c r="C1001" s="2">
        <v>45170.171057018997</v>
      </c>
      <c r="D1001">
        <v>25</v>
      </c>
      <c r="E1001" t="s">
        <v>8</v>
      </c>
      <c r="F1001" t="s">
        <v>9</v>
      </c>
      <c r="G1001">
        <v>508</v>
      </c>
    </row>
    <row r="1002" spans="1:7" x14ac:dyDescent="0.25">
      <c r="A1002">
        <v>1264</v>
      </c>
      <c r="B1002">
        <v>51001</v>
      </c>
      <c r="C1002" s="2">
        <v>45170.414471490483</v>
      </c>
      <c r="D1002">
        <v>26</v>
      </c>
      <c r="E1002" t="s">
        <v>8</v>
      </c>
      <c r="F1002" t="s">
        <v>12</v>
      </c>
      <c r="G1002">
        <v>251</v>
      </c>
    </row>
    <row r="1003" spans="1:7" x14ac:dyDescent="0.25">
      <c r="A1003">
        <v>1418</v>
      </c>
      <c r="B1003">
        <v>51002</v>
      </c>
      <c r="C1003" s="2">
        <v>45170.657885961977</v>
      </c>
      <c r="D1003">
        <v>54</v>
      </c>
      <c r="E1003" t="s">
        <v>7</v>
      </c>
      <c r="F1003" t="s">
        <v>12</v>
      </c>
      <c r="G1003">
        <v>518</v>
      </c>
    </row>
    <row r="1004" spans="1:7" x14ac:dyDescent="0.25">
      <c r="A1004">
        <v>1096</v>
      </c>
      <c r="B1004">
        <v>51003</v>
      </c>
      <c r="C1004" s="2">
        <v>45170.90130043347</v>
      </c>
      <c r="D1004">
        <v>62</v>
      </c>
      <c r="E1004" t="s">
        <v>8</v>
      </c>
      <c r="F1004" t="s">
        <v>12</v>
      </c>
      <c r="G1004">
        <v>2192</v>
      </c>
    </row>
    <row r="1005" spans="1:7" x14ac:dyDescent="0.25">
      <c r="A1005">
        <v>1088</v>
      </c>
      <c r="B1005">
        <v>51004</v>
      </c>
      <c r="C1005" s="2">
        <v>45171.144714904964</v>
      </c>
      <c r="D1005">
        <v>56</v>
      </c>
      <c r="E1005" t="s">
        <v>7</v>
      </c>
      <c r="F1005" t="s">
        <v>9</v>
      </c>
      <c r="G1005">
        <v>4476</v>
      </c>
    </row>
    <row r="1006" spans="1:7" x14ac:dyDescent="0.25">
      <c r="A1006">
        <v>1078</v>
      </c>
      <c r="B1006">
        <v>51005</v>
      </c>
      <c r="C1006" s="2">
        <v>45171.388129376457</v>
      </c>
      <c r="D1006">
        <v>49</v>
      </c>
      <c r="E1006" t="s">
        <v>7</v>
      </c>
      <c r="F1006" t="s">
        <v>12</v>
      </c>
      <c r="G1006">
        <v>4091</v>
      </c>
    </row>
    <row r="1007" spans="1:7" x14ac:dyDescent="0.25">
      <c r="A1007">
        <v>1288</v>
      </c>
      <c r="B1007">
        <v>51006</v>
      </c>
      <c r="C1007" s="2">
        <v>45171.631543847943</v>
      </c>
      <c r="D1007">
        <v>34</v>
      </c>
      <c r="E1007" t="s">
        <v>7</v>
      </c>
      <c r="F1007" t="s">
        <v>11</v>
      </c>
      <c r="G1007">
        <v>4942</v>
      </c>
    </row>
    <row r="1008" spans="1:7" x14ac:dyDescent="0.25">
      <c r="A1008">
        <v>1120</v>
      </c>
      <c r="B1008">
        <v>51007</v>
      </c>
      <c r="C1008" s="2">
        <v>45171.874958319429</v>
      </c>
      <c r="D1008">
        <v>52</v>
      </c>
      <c r="E1008" t="s">
        <v>7</v>
      </c>
      <c r="F1008" t="s">
        <v>10</v>
      </c>
      <c r="G1008">
        <v>4156</v>
      </c>
    </row>
    <row r="1009" spans="1:7" x14ac:dyDescent="0.25">
      <c r="A1009">
        <v>1491</v>
      </c>
      <c r="B1009">
        <v>51008</v>
      </c>
      <c r="C1009" s="2">
        <v>45172.118372790923</v>
      </c>
      <c r="D1009">
        <v>54</v>
      </c>
      <c r="E1009" t="s">
        <v>8</v>
      </c>
      <c r="F1009" t="s">
        <v>10</v>
      </c>
      <c r="G1009">
        <v>2892</v>
      </c>
    </row>
    <row r="1010" spans="1:7" x14ac:dyDescent="0.25">
      <c r="A1010">
        <v>1452</v>
      </c>
      <c r="B1010">
        <v>51009</v>
      </c>
      <c r="C1010" s="2">
        <v>45172.361787262424</v>
      </c>
      <c r="D1010">
        <v>36</v>
      </c>
      <c r="E1010" t="s">
        <v>7</v>
      </c>
      <c r="F1010" t="s">
        <v>11</v>
      </c>
      <c r="G1010">
        <v>3218</v>
      </c>
    </row>
    <row r="1011" spans="1:7" x14ac:dyDescent="0.25">
      <c r="A1011">
        <v>1500</v>
      </c>
      <c r="B1011">
        <v>51010</v>
      </c>
      <c r="C1011" s="2">
        <v>45172.605201733903</v>
      </c>
      <c r="D1011">
        <v>61</v>
      </c>
      <c r="E1011" t="s">
        <v>7</v>
      </c>
      <c r="F1011" t="s">
        <v>10</v>
      </c>
      <c r="G1011">
        <v>2224</v>
      </c>
    </row>
    <row r="1012" spans="1:7" x14ac:dyDescent="0.25">
      <c r="A1012">
        <v>1165</v>
      </c>
      <c r="B1012">
        <v>51011</v>
      </c>
      <c r="C1012" s="2">
        <v>45172.848616205403</v>
      </c>
      <c r="D1012">
        <v>46</v>
      </c>
      <c r="E1012" t="s">
        <v>7</v>
      </c>
      <c r="F1012" t="s">
        <v>9</v>
      </c>
      <c r="G1012">
        <v>4631</v>
      </c>
    </row>
    <row r="1013" spans="1:7" x14ac:dyDescent="0.25">
      <c r="A1013">
        <v>1182</v>
      </c>
      <c r="B1013">
        <v>51012</v>
      </c>
      <c r="C1013" s="2">
        <v>45173.092030676889</v>
      </c>
      <c r="D1013">
        <v>24</v>
      </c>
      <c r="E1013" t="s">
        <v>7</v>
      </c>
      <c r="F1013" t="s">
        <v>12</v>
      </c>
      <c r="G1013">
        <v>1725</v>
      </c>
    </row>
    <row r="1014" spans="1:7" x14ac:dyDescent="0.25">
      <c r="A1014">
        <v>1469</v>
      </c>
      <c r="B1014">
        <v>51013</v>
      </c>
      <c r="C1014" s="2">
        <v>45173.335445148383</v>
      </c>
      <c r="D1014">
        <v>45</v>
      </c>
      <c r="E1014" t="s">
        <v>8</v>
      </c>
      <c r="F1014" t="s">
        <v>12</v>
      </c>
      <c r="G1014">
        <v>1478</v>
      </c>
    </row>
    <row r="1015" spans="1:7" x14ac:dyDescent="0.25">
      <c r="A1015">
        <v>1007</v>
      </c>
      <c r="B1015">
        <v>51014</v>
      </c>
      <c r="C1015" s="2">
        <v>45173.578859619884</v>
      </c>
      <c r="D1015">
        <v>26</v>
      </c>
      <c r="E1015" t="s">
        <v>8</v>
      </c>
      <c r="F1015" t="s">
        <v>12</v>
      </c>
      <c r="G1015">
        <v>713</v>
      </c>
    </row>
    <row r="1016" spans="1:7" x14ac:dyDescent="0.25">
      <c r="A1016">
        <v>1330</v>
      </c>
      <c r="B1016">
        <v>51015</v>
      </c>
      <c r="C1016" s="2">
        <v>45173.822274091362</v>
      </c>
      <c r="D1016">
        <v>45</v>
      </c>
      <c r="E1016" t="s">
        <v>7</v>
      </c>
      <c r="F1016" t="s">
        <v>9</v>
      </c>
      <c r="G1016">
        <v>4537</v>
      </c>
    </row>
    <row r="1017" spans="1:7" x14ac:dyDescent="0.25">
      <c r="A1017">
        <v>1151</v>
      </c>
      <c r="B1017">
        <v>51016</v>
      </c>
      <c r="C1017" s="2">
        <v>45174.065688562849</v>
      </c>
      <c r="D1017">
        <v>23</v>
      </c>
      <c r="E1017" t="s">
        <v>7</v>
      </c>
      <c r="F1017" t="s">
        <v>9</v>
      </c>
      <c r="G1017">
        <v>1933</v>
      </c>
    </row>
    <row r="1018" spans="1:7" x14ac:dyDescent="0.25">
      <c r="A1018">
        <v>1085</v>
      </c>
      <c r="B1018">
        <v>51017</v>
      </c>
      <c r="C1018" s="2">
        <v>45174.309103034342</v>
      </c>
      <c r="D1018">
        <v>46</v>
      </c>
      <c r="E1018" t="s">
        <v>7</v>
      </c>
      <c r="F1018" t="s">
        <v>9</v>
      </c>
      <c r="G1018">
        <v>3570</v>
      </c>
    </row>
    <row r="1019" spans="1:7" x14ac:dyDescent="0.25">
      <c r="A1019">
        <v>1147</v>
      </c>
      <c r="B1019">
        <v>51018</v>
      </c>
      <c r="C1019" s="2">
        <v>45174.552517505843</v>
      </c>
      <c r="D1019">
        <v>34</v>
      </c>
      <c r="E1019" t="s">
        <v>8</v>
      </c>
      <c r="F1019" t="s">
        <v>11</v>
      </c>
      <c r="G1019">
        <v>4121</v>
      </c>
    </row>
    <row r="1020" spans="1:7" x14ac:dyDescent="0.25">
      <c r="A1020">
        <v>1381</v>
      </c>
      <c r="B1020">
        <v>51019</v>
      </c>
      <c r="C1020" s="2">
        <v>45174.795931977307</v>
      </c>
      <c r="D1020">
        <v>33</v>
      </c>
      <c r="E1020" t="s">
        <v>8</v>
      </c>
      <c r="F1020" t="s">
        <v>9</v>
      </c>
      <c r="G1020">
        <v>2700</v>
      </c>
    </row>
    <row r="1021" spans="1:7" x14ac:dyDescent="0.25">
      <c r="A1021">
        <v>1548</v>
      </c>
      <c r="B1021">
        <v>51020</v>
      </c>
      <c r="C1021" s="2">
        <v>45175.039346448808</v>
      </c>
      <c r="D1021">
        <v>40</v>
      </c>
      <c r="E1021" t="s">
        <v>8</v>
      </c>
      <c r="F1021" t="s">
        <v>10</v>
      </c>
      <c r="G1021">
        <v>3664</v>
      </c>
    </row>
    <row r="1022" spans="1:7" x14ac:dyDescent="0.25">
      <c r="A1022">
        <v>1285</v>
      </c>
      <c r="B1022">
        <v>51021</v>
      </c>
      <c r="C1022" s="2">
        <v>45175.282760920301</v>
      </c>
      <c r="D1022">
        <v>48</v>
      </c>
      <c r="E1022" t="s">
        <v>8</v>
      </c>
      <c r="F1022" t="s">
        <v>11</v>
      </c>
      <c r="G1022">
        <v>2459</v>
      </c>
    </row>
    <row r="1023" spans="1:7" x14ac:dyDescent="0.25">
      <c r="A1023">
        <v>1082</v>
      </c>
      <c r="B1023">
        <v>51022</v>
      </c>
      <c r="C1023" s="2">
        <v>45175.526175391788</v>
      </c>
      <c r="D1023">
        <v>20</v>
      </c>
      <c r="E1023" t="s">
        <v>8</v>
      </c>
      <c r="F1023" t="s">
        <v>11</v>
      </c>
      <c r="G1023">
        <v>4963</v>
      </c>
    </row>
    <row r="1024" spans="1:7" x14ac:dyDescent="0.25">
      <c r="A1024">
        <v>1514</v>
      </c>
      <c r="B1024">
        <v>51023</v>
      </c>
      <c r="C1024" s="2">
        <v>45175.769589863288</v>
      </c>
      <c r="D1024">
        <v>38</v>
      </c>
      <c r="E1024" t="s">
        <v>7</v>
      </c>
      <c r="F1024" t="s">
        <v>11</v>
      </c>
      <c r="G1024">
        <v>4889</v>
      </c>
    </row>
    <row r="1025" spans="1:7" x14ac:dyDescent="0.25">
      <c r="A1025">
        <v>1523</v>
      </c>
      <c r="B1025">
        <v>51024</v>
      </c>
      <c r="C1025" s="2">
        <v>45176.013004334767</v>
      </c>
      <c r="D1025">
        <v>43</v>
      </c>
      <c r="E1025" t="s">
        <v>8</v>
      </c>
      <c r="F1025" t="s">
        <v>9</v>
      </c>
      <c r="G1025">
        <v>2859</v>
      </c>
    </row>
    <row r="1026" spans="1:7" x14ac:dyDescent="0.25">
      <c r="A1026">
        <v>1386</v>
      </c>
      <c r="B1026">
        <v>51025</v>
      </c>
      <c r="C1026" s="2">
        <v>45176.256418806261</v>
      </c>
      <c r="D1026">
        <v>53</v>
      </c>
      <c r="E1026" t="s">
        <v>8</v>
      </c>
      <c r="F1026" t="s">
        <v>11</v>
      </c>
      <c r="G1026">
        <v>455</v>
      </c>
    </row>
    <row r="1027" spans="1:7" x14ac:dyDescent="0.25">
      <c r="A1027">
        <v>1471</v>
      </c>
      <c r="B1027">
        <v>51026</v>
      </c>
      <c r="C1027" s="2">
        <v>45176.499833277747</v>
      </c>
      <c r="D1027">
        <v>59</v>
      </c>
      <c r="E1027" t="s">
        <v>7</v>
      </c>
      <c r="F1027" t="s">
        <v>9</v>
      </c>
      <c r="G1027">
        <v>1702</v>
      </c>
    </row>
    <row r="1028" spans="1:7" x14ac:dyDescent="0.25">
      <c r="A1028">
        <v>1119</v>
      </c>
      <c r="B1028">
        <v>51027</v>
      </c>
      <c r="C1028" s="2">
        <v>45176.743247749248</v>
      </c>
      <c r="D1028">
        <v>54</v>
      </c>
      <c r="E1028" t="s">
        <v>8</v>
      </c>
      <c r="F1028" t="s">
        <v>9</v>
      </c>
      <c r="G1028">
        <v>4856</v>
      </c>
    </row>
    <row r="1029" spans="1:7" x14ac:dyDescent="0.25">
      <c r="A1029">
        <v>1396</v>
      </c>
      <c r="B1029">
        <v>51028</v>
      </c>
      <c r="C1029" s="2">
        <v>45176.986662220726</v>
      </c>
      <c r="D1029">
        <v>39</v>
      </c>
      <c r="E1029" t="s">
        <v>8</v>
      </c>
      <c r="F1029" t="s">
        <v>11</v>
      </c>
      <c r="G1029">
        <v>2310</v>
      </c>
    </row>
    <row r="1030" spans="1:7" x14ac:dyDescent="0.25">
      <c r="A1030">
        <v>1532</v>
      </c>
      <c r="B1030">
        <v>51029</v>
      </c>
      <c r="C1030" s="2">
        <v>45177.23007669222</v>
      </c>
      <c r="D1030">
        <v>59</v>
      </c>
      <c r="E1030" t="s">
        <v>8</v>
      </c>
      <c r="F1030" t="s">
        <v>12</v>
      </c>
      <c r="G1030">
        <v>606</v>
      </c>
    </row>
    <row r="1031" spans="1:7" x14ac:dyDescent="0.25">
      <c r="A1031">
        <v>1261</v>
      </c>
      <c r="B1031">
        <v>51030</v>
      </c>
      <c r="C1031" s="2">
        <v>45177.473491163713</v>
      </c>
      <c r="D1031">
        <v>29</v>
      </c>
      <c r="E1031" t="s">
        <v>7</v>
      </c>
      <c r="F1031" t="s">
        <v>12</v>
      </c>
      <c r="G1031">
        <v>3049</v>
      </c>
    </row>
    <row r="1032" spans="1:7" x14ac:dyDescent="0.25">
      <c r="A1032">
        <v>1256</v>
      </c>
      <c r="B1032">
        <v>51031</v>
      </c>
      <c r="C1032" s="2">
        <v>45177.716905635207</v>
      </c>
      <c r="D1032">
        <v>59</v>
      </c>
      <c r="E1032" t="s">
        <v>8</v>
      </c>
      <c r="F1032" t="s">
        <v>11</v>
      </c>
      <c r="G1032">
        <v>3376</v>
      </c>
    </row>
    <row r="1033" spans="1:7" x14ac:dyDescent="0.25">
      <c r="A1033">
        <v>1226</v>
      </c>
      <c r="B1033">
        <v>51032</v>
      </c>
      <c r="C1033" s="2">
        <v>45177.9603201067</v>
      </c>
      <c r="D1033">
        <v>30</v>
      </c>
      <c r="E1033" t="s">
        <v>7</v>
      </c>
      <c r="F1033" t="s">
        <v>12</v>
      </c>
      <c r="G1033">
        <v>2060</v>
      </c>
    </row>
    <row r="1034" spans="1:7" x14ac:dyDescent="0.25">
      <c r="A1034">
        <v>1053</v>
      </c>
      <c r="B1034">
        <v>51033</v>
      </c>
      <c r="C1034" s="2">
        <v>45178.203734578186</v>
      </c>
      <c r="D1034">
        <v>28</v>
      </c>
      <c r="E1034" t="s">
        <v>7</v>
      </c>
      <c r="F1034" t="s">
        <v>10</v>
      </c>
      <c r="G1034">
        <v>4554</v>
      </c>
    </row>
    <row r="1035" spans="1:7" x14ac:dyDescent="0.25">
      <c r="A1035">
        <v>1500</v>
      </c>
      <c r="B1035">
        <v>51034</v>
      </c>
      <c r="C1035" s="2">
        <v>45178.447149049673</v>
      </c>
      <c r="D1035">
        <v>33</v>
      </c>
      <c r="E1035" t="s">
        <v>8</v>
      </c>
      <c r="F1035" t="s">
        <v>10</v>
      </c>
      <c r="G1035">
        <v>922</v>
      </c>
    </row>
    <row r="1036" spans="1:7" x14ac:dyDescent="0.25">
      <c r="A1036">
        <v>1506</v>
      </c>
      <c r="B1036">
        <v>51035</v>
      </c>
      <c r="C1036" s="2">
        <v>45178.690563521173</v>
      </c>
      <c r="D1036">
        <v>25</v>
      </c>
      <c r="E1036" t="s">
        <v>8</v>
      </c>
      <c r="F1036" t="s">
        <v>9</v>
      </c>
      <c r="G1036">
        <v>1482</v>
      </c>
    </row>
    <row r="1037" spans="1:7" x14ac:dyDescent="0.25">
      <c r="A1037">
        <v>1364</v>
      </c>
      <c r="B1037">
        <v>51036</v>
      </c>
      <c r="C1037" s="2">
        <v>45178.933977992659</v>
      </c>
      <c r="D1037">
        <v>57</v>
      </c>
      <c r="E1037" t="s">
        <v>8</v>
      </c>
      <c r="F1037" t="s">
        <v>12</v>
      </c>
      <c r="G1037">
        <v>813</v>
      </c>
    </row>
    <row r="1038" spans="1:7" x14ac:dyDescent="0.25">
      <c r="A1038">
        <v>1280</v>
      </c>
      <c r="B1038">
        <v>51037</v>
      </c>
      <c r="C1038" s="2">
        <v>45179.177392464153</v>
      </c>
      <c r="D1038">
        <v>57</v>
      </c>
      <c r="E1038" t="s">
        <v>8</v>
      </c>
      <c r="F1038" t="s">
        <v>10</v>
      </c>
      <c r="G1038">
        <v>3531</v>
      </c>
    </row>
    <row r="1039" spans="1:7" x14ac:dyDescent="0.25">
      <c r="A1039">
        <v>1593</v>
      </c>
      <c r="B1039">
        <v>51038</v>
      </c>
      <c r="C1039" s="2">
        <v>45179.420806935639</v>
      </c>
      <c r="D1039">
        <v>62</v>
      </c>
      <c r="E1039" t="s">
        <v>7</v>
      </c>
      <c r="F1039" t="s">
        <v>11</v>
      </c>
      <c r="G1039">
        <v>3316</v>
      </c>
    </row>
    <row r="1040" spans="1:7" x14ac:dyDescent="0.25">
      <c r="A1040">
        <v>1158</v>
      </c>
      <c r="B1040">
        <v>51039</v>
      </c>
      <c r="C1040" s="2">
        <v>45179.664221407133</v>
      </c>
      <c r="D1040">
        <v>19</v>
      </c>
      <c r="E1040" t="s">
        <v>8</v>
      </c>
      <c r="F1040" t="s">
        <v>12</v>
      </c>
      <c r="G1040">
        <v>2178</v>
      </c>
    </row>
    <row r="1041" spans="1:7" x14ac:dyDescent="0.25">
      <c r="A1041">
        <v>1059</v>
      </c>
      <c r="B1041">
        <v>51040</v>
      </c>
      <c r="C1041" s="2">
        <v>45179.907635878633</v>
      </c>
      <c r="D1041">
        <v>47</v>
      </c>
      <c r="E1041" t="s">
        <v>7</v>
      </c>
      <c r="F1041" t="s">
        <v>10</v>
      </c>
      <c r="G1041">
        <v>1012</v>
      </c>
    </row>
    <row r="1042" spans="1:7" x14ac:dyDescent="0.25">
      <c r="A1042">
        <v>1128</v>
      </c>
      <c r="B1042">
        <v>51041</v>
      </c>
      <c r="C1042" s="2">
        <v>45180.151050350112</v>
      </c>
      <c r="D1042">
        <v>47</v>
      </c>
      <c r="E1042" t="s">
        <v>7</v>
      </c>
      <c r="F1042" t="s">
        <v>10</v>
      </c>
      <c r="G1042">
        <v>1986</v>
      </c>
    </row>
    <row r="1043" spans="1:7" x14ac:dyDescent="0.25">
      <c r="A1043">
        <v>1115</v>
      </c>
      <c r="B1043">
        <v>51042</v>
      </c>
      <c r="C1043" s="2">
        <v>45180.394464821598</v>
      </c>
      <c r="D1043">
        <v>29</v>
      </c>
      <c r="E1043" t="s">
        <v>7</v>
      </c>
      <c r="F1043" t="s">
        <v>11</v>
      </c>
      <c r="G1043">
        <v>530</v>
      </c>
    </row>
    <row r="1044" spans="1:7" x14ac:dyDescent="0.25">
      <c r="A1044">
        <v>1209</v>
      </c>
      <c r="B1044">
        <v>51043</v>
      </c>
      <c r="C1044" s="2">
        <v>45180.637879293092</v>
      </c>
      <c r="D1044">
        <v>27</v>
      </c>
      <c r="E1044" t="s">
        <v>7</v>
      </c>
      <c r="F1044" t="s">
        <v>9</v>
      </c>
      <c r="G1044">
        <v>2412</v>
      </c>
    </row>
    <row r="1045" spans="1:7" x14ac:dyDescent="0.25">
      <c r="A1045">
        <v>1526</v>
      </c>
      <c r="B1045">
        <v>51044</v>
      </c>
      <c r="C1045" s="2">
        <v>45180.881293764593</v>
      </c>
      <c r="D1045">
        <v>61</v>
      </c>
      <c r="E1045" t="s">
        <v>7</v>
      </c>
      <c r="F1045" t="s">
        <v>11</v>
      </c>
      <c r="G1045">
        <v>1416</v>
      </c>
    </row>
    <row r="1046" spans="1:7" x14ac:dyDescent="0.25">
      <c r="A1046">
        <v>1521</v>
      </c>
      <c r="B1046">
        <v>51045</v>
      </c>
      <c r="C1046" s="2">
        <v>45181.124708236079</v>
      </c>
      <c r="D1046">
        <v>28</v>
      </c>
      <c r="E1046" t="s">
        <v>8</v>
      </c>
      <c r="F1046" t="s">
        <v>9</v>
      </c>
      <c r="G1046">
        <v>4682</v>
      </c>
    </row>
    <row r="1047" spans="1:7" x14ac:dyDescent="0.25">
      <c r="A1047">
        <v>1552</v>
      </c>
      <c r="B1047">
        <v>51046</v>
      </c>
      <c r="C1047" s="2">
        <v>45181.368122707558</v>
      </c>
      <c r="D1047">
        <v>32</v>
      </c>
      <c r="E1047" t="s">
        <v>7</v>
      </c>
      <c r="F1047" t="s">
        <v>10</v>
      </c>
      <c r="G1047">
        <v>3537</v>
      </c>
    </row>
    <row r="1048" spans="1:7" x14ac:dyDescent="0.25">
      <c r="A1048">
        <v>1237</v>
      </c>
      <c r="B1048">
        <v>51047</v>
      </c>
      <c r="C1048" s="2">
        <v>45181.611537179051</v>
      </c>
      <c r="D1048">
        <v>33</v>
      </c>
      <c r="E1048" t="s">
        <v>7</v>
      </c>
      <c r="F1048" t="s">
        <v>9</v>
      </c>
      <c r="G1048">
        <v>2575</v>
      </c>
    </row>
    <row r="1049" spans="1:7" x14ac:dyDescent="0.25">
      <c r="A1049">
        <v>1281</v>
      </c>
      <c r="B1049">
        <v>51048</v>
      </c>
      <c r="C1049" s="2">
        <v>45181.854951650537</v>
      </c>
      <c r="D1049">
        <v>34</v>
      </c>
      <c r="E1049" t="s">
        <v>8</v>
      </c>
      <c r="F1049" t="s">
        <v>10</v>
      </c>
      <c r="G1049">
        <v>1440</v>
      </c>
    </row>
    <row r="1050" spans="1:7" x14ac:dyDescent="0.25">
      <c r="A1050">
        <v>1359</v>
      </c>
      <c r="B1050">
        <v>51049</v>
      </c>
      <c r="C1050" s="2">
        <v>45182.098366122038</v>
      </c>
      <c r="D1050">
        <v>43</v>
      </c>
      <c r="E1050" t="s">
        <v>8</v>
      </c>
      <c r="F1050" t="s">
        <v>10</v>
      </c>
      <c r="G1050">
        <v>519</v>
      </c>
    </row>
    <row r="1051" spans="1:7" x14ac:dyDescent="0.25">
      <c r="A1051">
        <v>1201</v>
      </c>
      <c r="B1051">
        <v>51050</v>
      </c>
      <c r="C1051" s="2">
        <v>45182.341780593531</v>
      </c>
      <c r="D1051">
        <v>19</v>
      </c>
      <c r="E1051" t="s">
        <v>7</v>
      </c>
      <c r="F1051" t="s">
        <v>12</v>
      </c>
      <c r="G1051">
        <v>4694</v>
      </c>
    </row>
    <row r="1052" spans="1:7" x14ac:dyDescent="0.25">
      <c r="A1052">
        <v>1278</v>
      </c>
      <c r="B1052">
        <v>51051</v>
      </c>
      <c r="C1052" s="2">
        <v>45182.58519506501</v>
      </c>
      <c r="D1052">
        <v>29</v>
      </c>
      <c r="E1052" t="s">
        <v>7</v>
      </c>
      <c r="F1052" t="s">
        <v>9</v>
      </c>
      <c r="G1052">
        <v>2114</v>
      </c>
    </row>
    <row r="1053" spans="1:7" x14ac:dyDescent="0.25">
      <c r="A1053">
        <v>1235</v>
      </c>
      <c r="B1053">
        <v>51052</v>
      </c>
      <c r="C1053" s="2">
        <v>45182.828609536497</v>
      </c>
      <c r="D1053">
        <v>43</v>
      </c>
      <c r="E1053" t="s">
        <v>8</v>
      </c>
      <c r="F1053" t="s">
        <v>9</v>
      </c>
      <c r="G1053">
        <v>4400</v>
      </c>
    </row>
    <row r="1054" spans="1:7" x14ac:dyDescent="0.25">
      <c r="A1054">
        <v>1494</v>
      </c>
      <c r="B1054">
        <v>51053</v>
      </c>
      <c r="C1054" s="2">
        <v>45183.072024007997</v>
      </c>
      <c r="D1054">
        <v>40</v>
      </c>
      <c r="E1054" t="s">
        <v>7</v>
      </c>
      <c r="F1054" t="s">
        <v>9</v>
      </c>
      <c r="G1054">
        <v>4991</v>
      </c>
    </row>
    <row r="1055" spans="1:7" x14ac:dyDescent="0.25">
      <c r="A1055">
        <v>1004</v>
      </c>
      <c r="B1055">
        <v>51054</v>
      </c>
      <c r="C1055" s="2">
        <v>45183.315438479491</v>
      </c>
      <c r="D1055">
        <v>35</v>
      </c>
      <c r="E1055" t="s">
        <v>8</v>
      </c>
      <c r="F1055" t="s">
        <v>11</v>
      </c>
      <c r="G1055">
        <v>529</v>
      </c>
    </row>
    <row r="1056" spans="1:7" x14ac:dyDescent="0.25">
      <c r="A1056">
        <v>1442</v>
      </c>
      <c r="B1056">
        <v>51055</v>
      </c>
      <c r="C1056" s="2">
        <v>45183.55885295097</v>
      </c>
      <c r="D1056">
        <v>49</v>
      </c>
      <c r="E1056" t="s">
        <v>8</v>
      </c>
      <c r="F1056" t="s">
        <v>12</v>
      </c>
      <c r="G1056">
        <v>859</v>
      </c>
    </row>
    <row r="1057" spans="1:7" x14ac:dyDescent="0.25">
      <c r="A1057">
        <v>1029</v>
      </c>
      <c r="B1057">
        <v>51056</v>
      </c>
      <c r="C1057" s="2">
        <v>45183.802267422463</v>
      </c>
      <c r="D1057">
        <v>55</v>
      </c>
      <c r="E1057" t="s">
        <v>7</v>
      </c>
      <c r="F1057" t="s">
        <v>12</v>
      </c>
      <c r="G1057">
        <v>3888</v>
      </c>
    </row>
    <row r="1058" spans="1:7" x14ac:dyDescent="0.25">
      <c r="A1058">
        <v>1109</v>
      </c>
      <c r="B1058">
        <v>51057</v>
      </c>
      <c r="C1058" s="2">
        <v>45184.045681893956</v>
      </c>
      <c r="D1058">
        <v>64</v>
      </c>
      <c r="E1058" t="s">
        <v>8</v>
      </c>
      <c r="F1058" t="s">
        <v>12</v>
      </c>
      <c r="G1058">
        <v>3318</v>
      </c>
    </row>
    <row r="1059" spans="1:7" x14ac:dyDescent="0.25">
      <c r="A1059">
        <v>1075</v>
      </c>
      <c r="B1059">
        <v>51058</v>
      </c>
      <c r="C1059" s="2">
        <v>45184.28909636545</v>
      </c>
      <c r="D1059">
        <v>20</v>
      </c>
      <c r="E1059" t="s">
        <v>7</v>
      </c>
      <c r="F1059" t="s">
        <v>11</v>
      </c>
      <c r="G1059">
        <v>2172</v>
      </c>
    </row>
    <row r="1060" spans="1:7" x14ac:dyDescent="0.25">
      <c r="A1060">
        <v>1146</v>
      </c>
      <c r="B1060">
        <v>51059</v>
      </c>
      <c r="C1060" s="2">
        <v>45184.532510836943</v>
      </c>
      <c r="D1060">
        <v>55</v>
      </c>
      <c r="E1060" t="s">
        <v>7</v>
      </c>
      <c r="F1060" t="s">
        <v>9</v>
      </c>
      <c r="G1060">
        <v>1993</v>
      </c>
    </row>
    <row r="1061" spans="1:7" x14ac:dyDescent="0.25">
      <c r="A1061">
        <v>1128</v>
      </c>
      <c r="B1061">
        <v>51060</v>
      </c>
      <c r="C1061" s="2">
        <v>45184.775925308422</v>
      </c>
      <c r="D1061">
        <v>20</v>
      </c>
      <c r="E1061" t="s">
        <v>7</v>
      </c>
      <c r="F1061" t="s">
        <v>9</v>
      </c>
      <c r="G1061">
        <v>3418</v>
      </c>
    </row>
    <row r="1062" spans="1:7" x14ac:dyDescent="0.25">
      <c r="A1062">
        <v>1042</v>
      </c>
      <c r="B1062">
        <v>51061</v>
      </c>
      <c r="C1062" s="2">
        <v>45185.019339779923</v>
      </c>
      <c r="D1062">
        <v>47</v>
      </c>
      <c r="E1062" t="s">
        <v>8</v>
      </c>
      <c r="F1062" t="s">
        <v>9</v>
      </c>
      <c r="G1062">
        <v>4757</v>
      </c>
    </row>
    <row r="1063" spans="1:7" x14ac:dyDescent="0.25">
      <c r="A1063">
        <v>1356</v>
      </c>
      <c r="B1063">
        <v>51062</v>
      </c>
      <c r="C1063" s="2">
        <v>45185.262754251409</v>
      </c>
      <c r="D1063">
        <v>18</v>
      </c>
      <c r="E1063" t="s">
        <v>7</v>
      </c>
      <c r="F1063" t="s">
        <v>12</v>
      </c>
      <c r="G1063">
        <v>2733</v>
      </c>
    </row>
    <row r="1064" spans="1:7" x14ac:dyDescent="0.25">
      <c r="A1064">
        <v>1041</v>
      </c>
      <c r="B1064">
        <v>51063</v>
      </c>
      <c r="C1064" s="2">
        <v>45185.506168722903</v>
      </c>
      <c r="D1064">
        <v>47</v>
      </c>
      <c r="E1064" t="s">
        <v>8</v>
      </c>
      <c r="F1064" t="s">
        <v>12</v>
      </c>
      <c r="G1064">
        <v>2657</v>
      </c>
    </row>
    <row r="1065" spans="1:7" x14ac:dyDescent="0.25">
      <c r="A1065">
        <v>1034</v>
      </c>
      <c r="B1065">
        <v>51064</v>
      </c>
      <c r="C1065" s="2">
        <v>45185.749583194403</v>
      </c>
      <c r="D1065">
        <v>62</v>
      </c>
      <c r="E1065" t="s">
        <v>7</v>
      </c>
      <c r="F1065" t="s">
        <v>10</v>
      </c>
      <c r="G1065">
        <v>3300</v>
      </c>
    </row>
    <row r="1066" spans="1:7" x14ac:dyDescent="0.25">
      <c r="A1066">
        <v>1017</v>
      </c>
      <c r="B1066">
        <v>51065</v>
      </c>
      <c r="C1066" s="2">
        <v>45185.992997665882</v>
      </c>
      <c r="D1066">
        <v>49</v>
      </c>
      <c r="E1066" t="s">
        <v>7</v>
      </c>
      <c r="F1066" t="s">
        <v>11</v>
      </c>
      <c r="G1066">
        <v>4566</v>
      </c>
    </row>
    <row r="1067" spans="1:7" x14ac:dyDescent="0.25">
      <c r="A1067">
        <v>1153</v>
      </c>
      <c r="B1067">
        <v>51066</v>
      </c>
      <c r="C1067" s="2">
        <v>45186.236412137383</v>
      </c>
      <c r="D1067">
        <v>45</v>
      </c>
      <c r="E1067" t="s">
        <v>8</v>
      </c>
      <c r="F1067" t="s">
        <v>11</v>
      </c>
      <c r="G1067">
        <v>2933</v>
      </c>
    </row>
    <row r="1068" spans="1:7" x14ac:dyDescent="0.25">
      <c r="A1068">
        <v>1378</v>
      </c>
      <c r="B1068">
        <v>51067</v>
      </c>
      <c r="C1068" s="2">
        <v>45186.479826608869</v>
      </c>
      <c r="D1068">
        <v>38</v>
      </c>
      <c r="E1068" t="s">
        <v>7</v>
      </c>
      <c r="F1068" t="s">
        <v>12</v>
      </c>
      <c r="G1068">
        <v>4680</v>
      </c>
    </row>
    <row r="1069" spans="1:7" x14ac:dyDescent="0.25">
      <c r="A1069">
        <v>1588</v>
      </c>
      <c r="B1069">
        <v>51068</v>
      </c>
      <c r="C1069" s="2">
        <v>45186.723241080363</v>
      </c>
      <c r="D1069">
        <v>63</v>
      </c>
      <c r="E1069" t="s">
        <v>7</v>
      </c>
      <c r="F1069" t="s">
        <v>10</v>
      </c>
      <c r="G1069">
        <v>4355</v>
      </c>
    </row>
    <row r="1070" spans="1:7" x14ac:dyDescent="0.25">
      <c r="A1070">
        <v>1599</v>
      </c>
      <c r="B1070">
        <v>51069</v>
      </c>
      <c r="C1070" s="2">
        <v>45186.966655551842</v>
      </c>
      <c r="D1070">
        <v>30</v>
      </c>
      <c r="E1070" t="s">
        <v>8</v>
      </c>
      <c r="F1070" t="s">
        <v>9</v>
      </c>
      <c r="G1070">
        <v>419</v>
      </c>
    </row>
    <row r="1071" spans="1:7" x14ac:dyDescent="0.25">
      <c r="A1071">
        <v>1342</v>
      </c>
      <c r="B1071">
        <v>51070</v>
      </c>
      <c r="C1071" s="2">
        <v>45187.210070023328</v>
      </c>
      <c r="D1071">
        <v>44</v>
      </c>
      <c r="E1071" t="s">
        <v>8</v>
      </c>
      <c r="F1071" t="s">
        <v>12</v>
      </c>
      <c r="G1071">
        <v>3018</v>
      </c>
    </row>
    <row r="1072" spans="1:7" x14ac:dyDescent="0.25">
      <c r="A1072">
        <v>1027</v>
      </c>
      <c r="B1072">
        <v>51071</v>
      </c>
      <c r="C1072" s="2">
        <v>45187.453484494828</v>
      </c>
      <c r="D1072">
        <v>53</v>
      </c>
      <c r="E1072" t="s">
        <v>8</v>
      </c>
      <c r="F1072" t="s">
        <v>11</v>
      </c>
      <c r="G1072">
        <v>2106</v>
      </c>
    </row>
    <row r="1073" spans="1:7" x14ac:dyDescent="0.25">
      <c r="A1073">
        <v>1287</v>
      </c>
      <c r="B1073">
        <v>51072</v>
      </c>
      <c r="C1073" s="2">
        <v>45187.696898966322</v>
      </c>
      <c r="D1073">
        <v>24</v>
      </c>
      <c r="E1073" t="s">
        <v>7</v>
      </c>
      <c r="F1073" t="s">
        <v>11</v>
      </c>
      <c r="G1073">
        <v>2811</v>
      </c>
    </row>
    <row r="1074" spans="1:7" x14ac:dyDescent="0.25">
      <c r="A1074">
        <v>1168</v>
      </c>
      <c r="B1074">
        <v>51073</v>
      </c>
      <c r="C1074" s="2">
        <v>45187.940313437823</v>
      </c>
      <c r="D1074">
        <v>39</v>
      </c>
      <c r="E1074" t="s">
        <v>8</v>
      </c>
      <c r="F1074" t="s">
        <v>11</v>
      </c>
      <c r="G1074">
        <v>2793</v>
      </c>
    </row>
    <row r="1075" spans="1:7" x14ac:dyDescent="0.25">
      <c r="A1075">
        <v>1268</v>
      </c>
      <c r="B1075">
        <v>51074</v>
      </c>
      <c r="C1075" s="2">
        <v>45188.183727909287</v>
      </c>
      <c r="D1075">
        <v>27</v>
      </c>
      <c r="E1075" t="s">
        <v>8</v>
      </c>
      <c r="F1075" t="s">
        <v>9</v>
      </c>
      <c r="G1075">
        <v>295</v>
      </c>
    </row>
    <row r="1076" spans="1:7" x14ac:dyDescent="0.25">
      <c r="A1076">
        <v>1455</v>
      </c>
      <c r="B1076">
        <v>51075</v>
      </c>
      <c r="C1076" s="2">
        <v>45188.427142380788</v>
      </c>
      <c r="D1076">
        <v>56</v>
      </c>
      <c r="E1076" t="s">
        <v>7</v>
      </c>
      <c r="F1076" t="s">
        <v>11</v>
      </c>
      <c r="G1076">
        <v>1188</v>
      </c>
    </row>
    <row r="1077" spans="1:7" x14ac:dyDescent="0.25">
      <c r="A1077">
        <v>1401</v>
      </c>
      <c r="B1077">
        <v>51076</v>
      </c>
      <c r="C1077" s="2">
        <v>45188.670556852281</v>
      </c>
      <c r="D1077">
        <v>32</v>
      </c>
      <c r="E1077" t="s">
        <v>8</v>
      </c>
      <c r="F1077" t="s">
        <v>9</v>
      </c>
      <c r="G1077">
        <v>1312</v>
      </c>
    </row>
    <row r="1078" spans="1:7" x14ac:dyDescent="0.25">
      <c r="A1078">
        <v>1476</v>
      </c>
      <c r="B1078">
        <v>51077</v>
      </c>
      <c r="C1078" s="2">
        <v>45188.913971323767</v>
      </c>
      <c r="D1078">
        <v>32</v>
      </c>
      <c r="E1078" t="s">
        <v>7</v>
      </c>
      <c r="F1078" t="s">
        <v>9</v>
      </c>
      <c r="G1078">
        <v>2478</v>
      </c>
    </row>
    <row r="1079" spans="1:7" x14ac:dyDescent="0.25">
      <c r="A1079">
        <v>1558</v>
      </c>
      <c r="B1079">
        <v>51078</v>
      </c>
      <c r="C1079" s="2">
        <v>45189.157385795254</v>
      </c>
      <c r="D1079">
        <v>21</v>
      </c>
      <c r="E1079" t="s">
        <v>7</v>
      </c>
      <c r="F1079" t="s">
        <v>9</v>
      </c>
      <c r="G1079">
        <v>445</v>
      </c>
    </row>
    <row r="1080" spans="1:7" x14ac:dyDescent="0.25">
      <c r="A1080">
        <v>1576</v>
      </c>
      <c r="B1080">
        <v>51079</v>
      </c>
      <c r="C1080" s="2">
        <v>45189.400800266747</v>
      </c>
      <c r="D1080">
        <v>49</v>
      </c>
      <c r="E1080" t="s">
        <v>8</v>
      </c>
      <c r="F1080" t="s">
        <v>12</v>
      </c>
      <c r="G1080">
        <v>2358</v>
      </c>
    </row>
    <row r="1081" spans="1:7" x14ac:dyDescent="0.25">
      <c r="A1081">
        <v>1130</v>
      </c>
      <c r="B1081">
        <v>51080</v>
      </c>
      <c r="C1081" s="2">
        <v>45189.64421473824</v>
      </c>
      <c r="D1081">
        <v>40</v>
      </c>
      <c r="E1081" t="s">
        <v>7</v>
      </c>
      <c r="F1081" t="s">
        <v>9</v>
      </c>
      <c r="G1081">
        <v>4529</v>
      </c>
    </row>
    <row r="1082" spans="1:7" x14ac:dyDescent="0.25">
      <c r="A1082">
        <v>1363</v>
      </c>
      <c r="B1082">
        <v>51081</v>
      </c>
      <c r="C1082" s="2">
        <v>45189.887629209727</v>
      </c>
      <c r="D1082">
        <v>23</v>
      </c>
      <c r="E1082" t="s">
        <v>8</v>
      </c>
      <c r="F1082" t="s">
        <v>10</v>
      </c>
      <c r="G1082">
        <v>3549</v>
      </c>
    </row>
    <row r="1083" spans="1:7" x14ac:dyDescent="0.25">
      <c r="A1083">
        <v>1292</v>
      </c>
      <c r="B1083">
        <v>51082</v>
      </c>
      <c r="C1083" s="2">
        <v>45190.131043681227</v>
      </c>
      <c r="D1083">
        <v>41</v>
      </c>
      <c r="E1083" t="s">
        <v>8</v>
      </c>
      <c r="F1083" t="s">
        <v>11</v>
      </c>
      <c r="G1083">
        <v>2925</v>
      </c>
    </row>
    <row r="1084" spans="1:7" x14ac:dyDescent="0.25">
      <c r="A1084">
        <v>1371</v>
      </c>
      <c r="B1084">
        <v>51083</v>
      </c>
      <c r="C1084" s="2">
        <v>45190.374458152713</v>
      </c>
      <c r="D1084">
        <v>37</v>
      </c>
      <c r="E1084" t="s">
        <v>8</v>
      </c>
      <c r="F1084" t="s">
        <v>12</v>
      </c>
      <c r="G1084">
        <v>4277</v>
      </c>
    </row>
    <row r="1085" spans="1:7" x14ac:dyDescent="0.25">
      <c r="A1085">
        <v>1029</v>
      </c>
      <c r="B1085">
        <v>51084</v>
      </c>
      <c r="C1085" s="2">
        <v>45190.6178726242</v>
      </c>
      <c r="D1085">
        <v>54</v>
      </c>
      <c r="E1085" t="s">
        <v>8</v>
      </c>
      <c r="F1085" t="s">
        <v>11</v>
      </c>
      <c r="G1085">
        <v>2866</v>
      </c>
    </row>
    <row r="1086" spans="1:7" x14ac:dyDescent="0.25">
      <c r="A1086">
        <v>1149</v>
      </c>
      <c r="B1086">
        <v>51085</v>
      </c>
      <c r="C1086" s="2">
        <v>45190.861287095693</v>
      </c>
      <c r="D1086">
        <v>37</v>
      </c>
      <c r="E1086" t="s">
        <v>7</v>
      </c>
      <c r="F1086" t="s">
        <v>9</v>
      </c>
      <c r="G1086">
        <v>3399</v>
      </c>
    </row>
    <row r="1087" spans="1:7" x14ac:dyDescent="0.25">
      <c r="A1087">
        <v>1296</v>
      </c>
      <c r="B1087">
        <v>51086</v>
      </c>
      <c r="C1087" s="2">
        <v>45191.104701567187</v>
      </c>
      <c r="D1087">
        <v>29</v>
      </c>
      <c r="E1087" t="s">
        <v>7</v>
      </c>
      <c r="F1087" t="s">
        <v>12</v>
      </c>
      <c r="G1087">
        <v>2954</v>
      </c>
    </row>
    <row r="1088" spans="1:7" x14ac:dyDescent="0.25">
      <c r="A1088">
        <v>1011</v>
      </c>
      <c r="B1088">
        <v>51087</v>
      </c>
      <c r="C1088" s="2">
        <v>45191.348116038673</v>
      </c>
      <c r="D1088">
        <v>50</v>
      </c>
      <c r="E1088" t="s">
        <v>8</v>
      </c>
      <c r="F1088" t="s">
        <v>10</v>
      </c>
      <c r="G1088">
        <v>1617</v>
      </c>
    </row>
    <row r="1089" spans="1:7" x14ac:dyDescent="0.25">
      <c r="A1089">
        <v>1512</v>
      </c>
      <c r="B1089">
        <v>51088</v>
      </c>
      <c r="C1089" s="2">
        <v>45191.591530510159</v>
      </c>
      <c r="D1089">
        <v>45</v>
      </c>
      <c r="E1089" t="s">
        <v>8</v>
      </c>
      <c r="F1089" t="s">
        <v>9</v>
      </c>
      <c r="G1089">
        <v>854</v>
      </c>
    </row>
    <row r="1090" spans="1:7" x14ac:dyDescent="0.25">
      <c r="A1090">
        <v>1113</v>
      </c>
      <c r="B1090">
        <v>51089</v>
      </c>
      <c r="C1090" s="2">
        <v>45191.834944981652</v>
      </c>
      <c r="D1090">
        <v>25</v>
      </c>
      <c r="E1090" t="s">
        <v>7</v>
      </c>
      <c r="F1090" t="s">
        <v>11</v>
      </c>
      <c r="G1090">
        <v>2642</v>
      </c>
    </row>
    <row r="1091" spans="1:7" x14ac:dyDescent="0.25">
      <c r="A1091">
        <v>1187</v>
      </c>
      <c r="B1091">
        <v>51090</v>
      </c>
      <c r="C1091" s="2">
        <v>45192.078359453153</v>
      </c>
      <c r="D1091">
        <v>18</v>
      </c>
      <c r="E1091" t="s">
        <v>8</v>
      </c>
      <c r="F1091" t="s">
        <v>10</v>
      </c>
      <c r="G1091">
        <v>310</v>
      </c>
    </row>
    <row r="1092" spans="1:7" x14ac:dyDescent="0.25">
      <c r="A1092">
        <v>1227</v>
      </c>
      <c r="B1092">
        <v>51091</v>
      </c>
      <c r="C1092" s="2">
        <v>45192.321773924639</v>
      </c>
      <c r="D1092">
        <v>54</v>
      </c>
      <c r="E1092" t="s">
        <v>7</v>
      </c>
      <c r="F1092" t="s">
        <v>9</v>
      </c>
      <c r="G1092">
        <v>289</v>
      </c>
    </row>
    <row r="1093" spans="1:7" x14ac:dyDescent="0.25">
      <c r="A1093">
        <v>1310</v>
      </c>
      <c r="B1093">
        <v>51092</v>
      </c>
      <c r="C1093" s="2">
        <v>45192.565188396133</v>
      </c>
      <c r="D1093">
        <v>39</v>
      </c>
      <c r="E1093" t="s">
        <v>8</v>
      </c>
      <c r="F1093" t="s">
        <v>10</v>
      </c>
      <c r="G1093">
        <v>962</v>
      </c>
    </row>
    <row r="1094" spans="1:7" x14ac:dyDescent="0.25">
      <c r="A1094">
        <v>1098</v>
      </c>
      <c r="B1094">
        <v>51093</v>
      </c>
      <c r="C1094" s="2">
        <v>45192.808602867619</v>
      </c>
      <c r="D1094">
        <v>23</v>
      </c>
      <c r="E1094" t="s">
        <v>7</v>
      </c>
      <c r="F1094" t="s">
        <v>9</v>
      </c>
      <c r="G1094">
        <v>3372</v>
      </c>
    </row>
    <row r="1095" spans="1:7" x14ac:dyDescent="0.25">
      <c r="A1095">
        <v>1055</v>
      </c>
      <c r="B1095">
        <v>51094</v>
      </c>
      <c r="C1095" s="2">
        <v>45193.052017339112</v>
      </c>
      <c r="D1095">
        <v>38</v>
      </c>
      <c r="E1095" t="s">
        <v>7</v>
      </c>
      <c r="F1095" t="s">
        <v>12</v>
      </c>
      <c r="G1095">
        <v>2379</v>
      </c>
    </row>
    <row r="1096" spans="1:7" x14ac:dyDescent="0.25">
      <c r="A1096">
        <v>1406</v>
      </c>
      <c r="B1096">
        <v>51095</v>
      </c>
      <c r="C1096" s="2">
        <v>45193.295431810599</v>
      </c>
      <c r="D1096">
        <v>49</v>
      </c>
      <c r="E1096" t="s">
        <v>7</v>
      </c>
      <c r="F1096" t="s">
        <v>9</v>
      </c>
      <c r="G1096">
        <v>2704</v>
      </c>
    </row>
    <row r="1097" spans="1:7" x14ac:dyDescent="0.25">
      <c r="A1097">
        <v>1069</v>
      </c>
      <c r="B1097">
        <v>51096</v>
      </c>
      <c r="C1097" s="2">
        <v>45193.538846282077</v>
      </c>
      <c r="D1097">
        <v>52</v>
      </c>
      <c r="E1097" t="s">
        <v>8</v>
      </c>
      <c r="F1097" t="s">
        <v>12</v>
      </c>
      <c r="G1097">
        <v>1664</v>
      </c>
    </row>
    <row r="1098" spans="1:7" x14ac:dyDescent="0.25">
      <c r="A1098">
        <v>1312</v>
      </c>
      <c r="B1098">
        <v>51097</v>
      </c>
      <c r="C1098" s="2">
        <v>45193.782260753578</v>
      </c>
      <c r="D1098">
        <v>32</v>
      </c>
      <c r="E1098" t="s">
        <v>8</v>
      </c>
      <c r="F1098" t="s">
        <v>9</v>
      </c>
      <c r="G1098">
        <v>297</v>
      </c>
    </row>
    <row r="1099" spans="1:7" x14ac:dyDescent="0.25">
      <c r="A1099">
        <v>1289</v>
      </c>
      <c r="B1099">
        <v>51098</v>
      </c>
      <c r="C1099" s="2">
        <v>45194.025675225072</v>
      </c>
      <c r="D1099">
        <v>22</v>
      </c>
      <c r="E1099" t="s">
        <v>8</v>
      </c>
      <c r="F1099" t="s">
        <v>9</v>
      </c>
      <c r="G1099">
        <v>492</v>
      </c>
    </row>
    <row r="1100" spans="1:7" x14ac:dyDescent="0.25">
      <c r="A1100">
        <v>1548</v>
      </c>
      <c r="B1100">
        <v>51099</v>
      </c>
      <c r="C1100" s="2">
        <v>45194.269089696572</v>
      </c>
      <c r="D1100">
        <v>63</v>
      </c>
      <c r="E1100" t="s">
        <v>8</v>
      </c>
      <c r="F1100" t="s">
        <v>11</v>
      </c>
      <c r="G1100">
        <v>2039</v>
      </c>
    </row>
    <row r="1101" spans="1:7" x14ac:dyDescent="0.25">
      <c r="A1101">
        <v>1148</v>
      </c>
      <c r="B1101">
        <v>51100</v>
      </c>
      <c r="C1101" s="2">
        <v>45194.512504168059</v>
      </c>
      <c r="D1101">
        <v>23</v>
      </c>
      <c r="E1101" t="s">
        <v>8</v>
      </c>
      <c r="F1101" t="s">
        <v>10</v>
      </c>
      <c r="G1101">
        <v>1934</v>
      </c>
    </row>
    <row r="1102" spans="1:7" x14ac:dyDescent="0.25">
      <c r="A1102">
        <v>1467</v>
      </c>
      <c r="B1102">
        <v>51101</v>
      </c>
      <c r="C1102" s="2">
        <v>45194.755918639537</v>
      </c>
      <c r="D1102">
        <v>42</v>
      </c>
      <c r="E1102" t="s">
        <v>7</v>
      </c>
      <c r="F1102" t="s">
        <v>10</v>
      </c>
      <c r="G1102">
        <v>2819</v>
      </c>
    </row>
    <row r="1103" spans="1:7" x14ac:dyDescent="0.25">
      <c r="A1103">
        <v>1244</v>
      </c>
      <c r="B1103">
        <v>51102</v>
      </c>
      <c r="C1103" s="2">
        <v>45194.999333111031</v>
      </c>
      <c r="D1103">
        <v>63</v>
      </c>
      <c r="E1103" t="s">
        <v>7</v>
      </c>
      <c r="F1103" t="s">
        <v>10</v>
      </c>
      <c r="G1103">
        <v>4947</v>
      </c>
    </row>
    <row r="1104" spans="1:7" x14ac:dyDescent="0.25">
      <c r="A1104">
        <v>1491</v>
      </c>
      <c r="B1104">
        <v>51103</v>
      </c>
      <c r="C1104" s="2">
        <v>45195.242747582517</v>
      </c>
      <c r="D1104">
        <v>57</v>
      </c>
      <c r="E1104" t="s">
        <v>7</v>
      </c>
      <c r="F1104" t="s">
        <v>9</v>
      </c>
      <c r="G1104">
        <v>2396</v>
      </c>
    </row>
    <row r="1105" spans="1:7" x14ac:dyDescent="0.25">
      <c r="A1105">
        <v>1507</v>
      </c>
      <c r="B1105">
        <v>51104</v>
      </c>
      <c r="C1105" s="2">
        <v>45195.486162054018</v>
      </c>
      <c r="D1105">
        <v>46</v>
      </c>
      <c r="E1105" t="s">
        <v>7</v>
      </c>
      <c r="F1105" t="s">
        <v>9</v>
      </c>
      <c r="G1105">
        <v>3666</v>
      </c>
    </row>
    <row r="1106" spans="1:7" x14ac:dyDescent="0.25">
      <c r="A1106">
        <v>1365</v>
      </c>
      <c r="B1106">
        <v>51105</v>
      </c>
      <c r="C1106" s="2">
        <v>45195.729576525497</v>
      </c>
      <c r="D1106">
        <v>24</v>
      </c>
      <c r="E1106" t="s">
        <v>7</v>
      </c>
      <c r="F1106" t="s">
        <v>9</v>
      </c>
      <c r="G1106">
        <v>2106</v>
      </c>
    </row>
    <row r="1107" spans="1:7" x14ac:dyDescent="0.25">
      <c r="A1107">
        <v>1482</v>
      </c>
      <c r="B1107">
        <v>51106</v>
      </c>
      <c r="C1107" s="2">
        <v>45195.97299099699</v>
      </c>
      <c r="D1107">
        <v>57</v>
      </c>
      <c r="E1107" t="s">
        <v>7</v>
      </c>
      <c r="F1107" t="s">
        <v>12</v>
      </c>
      <c r="G1107">
        <v>1921</v>
      </c>
    </row>
    <row r="1108" spans="1:7" x14ac:dyDescent="0.25">
      <c r="A1108">
        <v>1201</v>
      </c>
      <c r="B1108">
        <v>51107</v>
      </c>
      <c r="C1108" s="2">
        <v>45196.216405468484</v>
      </c>
      <c r="D1108">
        <v>30</v>
      </c>
      <c r="E1108" t="s">
        <v>7</v>
      </c>
      <c r="F1108" t="s">
        <v>12</v>
      </c>
      <c r="G1108">
        <v>3891</v>
      </c>
    </row>
    <row r="1109" spans="1:7" x14ac:dyDescent="0.25">
      <c r="A1109">
        <v>1154</v>
      </c>
      <c r="B1109">
        <v>51108</v>
      </c>
      <c r="C1109" s="2">
        <v>45196.459819939977</v>
      </c>
      <c r="D1109">
        <v>55</v>
      </c>
      <c r="E1109" t="s">
        <v>8</v>
      </c>
      <c r="F1109" t="s">
        <v>11</v>
      </c>
      <c r="G1109">
        <v>2016</v>
      </c>
    </row>
    <row r="1110" spans="1:7" x14ac:dyDescent="0.25">
      <c r="A1110">
        <v>1450</v>
      </c>
      <c r="B1110">
        <v>51109</v>
      </c>
      <c r="C1110" s="2">
        <v>45196.70323441147</v>
      </c>
      <c r="D1110">
        <v>35</v>
      </c>
      <c r="E1110" t="s">
        <v>7</v>
      </c>
      <c r="F1110" t="s">
        <v>9</v>
      </c>
      <c r="G1110">
        <v>452</v>
      </c>
    </row>
    <row r="1111" spans="1:7" x14ac:dyDescent="0.25">
      <c r="A1111">
        <v>1501</v>
      </c>
      <c r="B1111">
        <v>51110</v>
      </c>
      <c r="C1111" s="2">
        <v>45196.946648882949</v>
      </c>
      <c r="D1111">
        <v>19</v>
      </c>
      <c r="E1111" t="s">
        <v>8</v>
      </c>
      <c r="F1111" t="s">
        <v>10</v>
      </c>
      <c r="G1111">
        <v>4427</v>
      </c>
    </row>
    <row r="1112" spans="1:7" x14ac:dyDescent="0.25">
      <c r="A1112">
        <v>1073</v>
      </c>
      <c r="B1112">
        <v>51111</v>
      </c>
      <c r="C1112" s="2">
        <v>45197.190063354443</v>
      </c>
      <c r="D1112">
        <v>25</v>
      </c>
      <c r="E1112" t="s">
        <v>7</v>
      </c>
      <c r="F1112" t="s">
        <v>10</v>
      </c>
      <c r="G1112">
        <v>3719</v>
      </c>
    </row>
    <row r="1113" spans="1:7" x14ac:dyDescent="0.25">
      <c r="A1113">
        <v>1296</v>
      </c>
      <c r="B1113">
        <v>51112</v>
      </c>
      <c r="C1113" s="2">
        <v>45197.433477825944</v>
      </c>
      <c r="D1113">
        <v>28</v>
      </c>
      <c r="E1113" t="s">
        <v>7</v>
      </c>
      <c r="F1113" t="s">
        <v>11</v>
      </c>
      <c r="G1113">
        <v>2107</v>
      </c>
    </row>
    <row r="1114" spans="1:7" x14ac:dyDescent="0.25">
      <c r="A1114">
        <v>1017</v>
      </c>
      <c r="B1114">
        <v>51113</v>
      </c>
      <c r="C1114" s="2">
        <v>45197.67689229743</v>
      </c>
      <c r="D1114">
        <v>50</v>
      </c>
      <c r="E1114" t="s">
        <v>8</v>
      </c>
      <c r="F1114" t="s">
        <v>10</v>
      </c>
      <c r="G1114">
        <v>2110</v>
      </c>
    </row>
    <row r="1115" spans="1:7" x14ac:dyDescent="0.25">
      <c r="A1115">
        <v>1217</v>
      </c>
      <c r="B1115">
        <v>51114</v>
      </c>
      <c r="C1115" s="2">
        <v>45197.920306768909</v>
      </c>
      <c r="D1115">
        <v>55</v>
      </c>
      <c r="E1115" t="s">
        <v>7</v>
      </c>
      <c r="F1115" t="s">
        <v>11</v>
      </c>
      <c r="G1115">
        <v>2721</v>
      </c>
    </row>
    <row r="1116" spans="1:7" x14ac:dyDescent="0.25">
      <c r="A1116">
        <v>1061</v>
      </c>
      <c r="B1116">
        <v>51115</v>
      </c>
      <c r="C1116" s="2">
        <v>45198.163721240402</v>
      </c>
      <c r="D1116">
        <v>44</v>
      </c>
      <c r="E1116" t="s">
        <v>8</v>
      </c>
      <c r="F1116" t="s">
        <v>9</v>
      </c>
      <c r="G1116">
        <v>4049</v>
      </c>
    </row>
    <row r="1117" spans="1:7" x14ac:dyDescent="0.25">
      <c r="A1117">
        <v>1042</v>
      </c>
      <c r="B1117">
        <v>51116</v>
      </c>
      <c r="C1117" s="2">
        <v>45198.407135711903</v>
      </c>
      <c r="D1117">
        <v>37</v>
      </c>
      <c r="E1117" t="s">
        <v>7</v>
      </c>
      <c r="F1117" t="s">
        <v>10</v>
      </c>
      <c r="G1117">
        <v>1258</v>
      </c>
    </row>
    <row r="1118" spans="1:7" x14ac:dyDescent="0.25">
      <c r="A1118">
        <v>1025</v>
      </c>
      <c r="B1118">
        <v>51117</v>
      </c>
      <c r="C1118" s="2">
        <v>45198.650550183389</v>
      </c>
      <c r="D1118">
        <v>29</v>
      </c>
      <c r="E1118" t="s">
        <v>8</v>
      </c>
      <c r="F1118" t="s">
        <v>9</v>
      </c>
      <c r="G1118">
        <v>3738</v>
      </c>
    </row>
    <row r="1119" spans="1:7" x14ac:dyDescent="0.25">
      <c r="A1119">
        <v>1039</v>
      </c>
      <c r="B1119">
        <v>51118</v>
      </c>
      <c r="C1119" s="2">
        <v>45198.893964654882</v>
      </c>
      <c r="D1119">
        <v>60</v>
      </c>
      <c r="E1119" t="s">
        <v>7</v>
      </c>
      <c r="F1119" t="s">
        <v>12</v>
      </c>
      <c r="G1119">
        <v>2522</v>
      </c>
    </row>
    <row r="1120" spans="1:7" x14ac:dyDescent="0.25">
      <c r="A1120">
        <v>1131</v>
      </c>
      <c r="B1120">
        <v>51119</v>
      </c>
      <c r="C1120" s="2">
        <v>45199.137379126369</v>
      </c>
      <c r="D1120">
        <v>48</v>
      </c>
      <c r="E1120" t="s">
        <v>8</v>
      </c>
      <c r="F1120" t="s">
        <v>10</v>
      </c>
      <c r="G1120">
        <v>386</v>
      </c>
    </row>
    <row r="1121" spans="1:7" x14ac:dyDescent="0.25">
      <c r="A1121">
        <v>1498</v>
      </c>
      <c r="B1121">
        <v>51120</v>
      </c>
      <c r="C1121" s="2">
        <v>45199.380793597862</v>
      </c>
      <c r="D1121">
        <v>44</v>
      </c>
      <c r="E1121" t="s">
        <v>8</v>
      </c>
      <c r="F1121" t="s">
        <v>12</v>
      </c>
      <c r="G1121">
        <v>1148</v>
      </c>
    </row>
    <row r="1122" spans="1:7" x14ac:dyDescent="0.25">
      <c r="A1122">
        <v>1229</v>
      </c>
      <c r="B1122">
        <v>51121</v>
      </c>
      <c r="C1122" s="2">
        <v>45199.624208069348</v>
      </c>
      <c r="D1122">
        <v>49</v>
      </c>
      <c r="E1122" t="s">
        <v>7</v>
      </c>
      <c r="F1122" t="s">
        <v>10</v>
      </c>
      <c r="G1122">
        <v>2490</v>
      </c>
    </row>
    <row r="1123" spans="1:7" x14ac:dyDescent="0.25">
      <c r="A1123">
        <v>1108</v>
      </c>
      <c r="B1123">
        <v>51122</v>
      </c>
      <c r="C1123" s="2">
        <v>45199.867622540842</v>
      </c>
      <c r="D1123">
        <v>27</v>
      </c>
      <c r="E1123" t="s">
        <v>7</v>
      </c>
      <c r="F1123" t="s">
        <v>9</v>
      </c>
      <c r="G1123">
        <v>4559</v>
      </c>
    </row>
    <row r="1124" spans="1:7" x14ac:dyDescent="0.25">
      <c r="A1124">
        <v>1172</v>
      </c>
      <c r="B1124">
        <v>51123</v>
      </c>
      <c r="C1124" s="2">
        <v>45200.111037012328</v>
      </c>
      <c r="D1124">
        <v>20</v>
      </c>
      <c r="E1124" t="s">
        <v>8</v>
      </c>
      <c r="F1124" t="s">
        <v>11</v>
      </c>
      <c r="G1124">
        <v>4817</v>
      </c>
    </row>
    <row r="1125" spans="1:7" x14ac:dyDescent="0.25">
      <c r="A1125">
        <v>1435</v>
      </c>
      <c r="B1125">
        <v>51124</v>
      </c>
      <c r="C1125" s="2">
        <v>45200.354451483821</v>
      </c>
      <c r="D1125">
        <v>62</v>
      </c>
      <c r="E1125" t="s">
        <v>7</v>
      </c>
      <c r="F1125" t="s">
        <v>9</v>
      </c>
      <c r="G1125">
        <v>4830</v>
      </c>
    </row>
    <row r="1126" spans="1:7" x14ac:dyDescent="0.25">
      <c r="A1126">
        <v>1478</v>
      </c>
      <c r="B1126">
        <v>51125</v>
      </c>
      <c r="C1126" s="2">
        <v>45200.597865955307</v>
      </c>
      <c r="D1126">
        <v>44</v>
      </c>
      <c r="E1126" t="s">
        <v>8</v>
      </c>
      <c r="F1126" t="s">
        <v>9</v>
      </c>
      <c r="G1126">
        <v>409</v>
      </c>
    </row>
    <row r="1127" spans="1:7" x14ac:dyDescent="0.25">
      <c r="A1127">
        <v>1102</v>
      </c>
      <c r="B1127">
        <v>51126</v>
      </c>
      <c r="C1127" s="2">
        <v>45200.841280426808</v>
      </c>
      <c r="D1127">
        <v>52</v>
      </c>
      <c r="E1127" t="s">
        <v>7</v>
      </c>
      <c r="F1127" t="s">
        <v>9</v>
      </c>
      <c r="G1127">
        <v>2293</v>
      </c>
    </row>
    <row r="1128" spans="1:7" x14ac:dyDescent="0.25">
      <c r="A1128">
        <v>1524</v>
      </c>
      <c r="B1128">
        <v>51127</v>
      </c>
      <c r="C1128" s="2">
        <v>45201.084694898302</v>
      </c>
      <c r="D1128">
        <v>48</v>
      </c>
      <c r="E1128" t="s">
        <v>8</v>
      </c>
      <c r="F1128" t="s">
        <v>10</v>
      </c>
      <c r="G1128">
        <v>3738</v>
      </c>
    </row>
    <row r="1129" spans="1:7" x14ac:dyDescent="0.25">
      <c r="A1129">
        <v>1275</v>
      </c>
      <c r="B1129">
        <v>51128</v>
      </c>
      <c r="C1129" s="2">
        <v>45201.328109369781</v>
      </c>
      <c r="D1129">
        <v>32</v>
      </c>
      <c r="E1129" t="s">
        <v>7</v>
      </c>
      <c r="F1129" t="s">
        <v>11</v>
      </c>
      <c r="G1129">
        <v>1763</v>
      </c>
    </row>
    <row r="1130" spans="1:7" x14ac:dyDescent="0.25">
      <c r="A1130">
        <v>1044</v>
      </c>
      <c r="B1130">
        <v>51129</v>
      </c>
      <c r="C1130" s="2">
        <v>45201.571523841267</v>
      </c>
      <c r="D1130">
        <v>33</v>
      </c>
      <c r="E1130" t="s">
        <v>8</v>
      </c>
      <c r="F1130" t="s">
        <v>12</v>
      </c>
      <c r="G1130">
        <v>225</v>
      </c>
    </row>
    <row r="1131" spans="1:7" x14ac:dyDescent="0.25">
      <c r="A1131">
        <v>1017</v>
      </c>
      <c r="B1131">
        <v>51130</v>
      </c>
      <c r="C1131" s="2">
        <v>45201.814938312767</v>
      </c>
      <c r="D1131">
        <v>30</v>
      </c>
      <c r="E1131" t="s">
        <v>7</v>
      </c>
      <c r="F1131" t="s">
        <v>9</v>
      </c>
      <c r="G1131">
        <v>374</v>
      </c>
    </row>
    <row r="1132" spans="1:7" x14ac:dyDescent="0.25">
      <c r="A1132">
        <v>1330</v>
      </c>
      <c r="B1132">
        <v>51131</v>
      </c>
      <c r="C1132" s="2">
        <v>45202.058352784261</v>
      </c>
      <c r="D1132">
        <v>52</v>
      </c>
      <c r="E1132" t="s">
        <v>8</v>
      </c>
      <c r="F1132" t="s">
        <v>10</v>
      </c>
      <c r="G1132">
        <v>1534</v>
      </c>
    </row>
    <row r="1133" spans="1:7" x14ac:dyDescent="0.25">
      <c r="A1133">
        <v>1569</v>
      </c>
      <c r="B1133">
        <v>51132</v>
      </c>
      <c r="C1133" s="2">
        <v>45202.30176725574</v>
      </c>
      <c r="D1133">
        <v>28</v>
      </c>
      <c r="E1133" t="s">
        <v>8</v>
      </c>
      <c r="F1133" t="s">
        <v>12</v>
      </c>
      <c r="G1133">
        <v>521</v>
      </c>
    </row>
    <row r="1134" spans="1:7" x14ac:dyDescent="0.25">
      <c r="A1134">
        <v>1497</v>
      </c>
      <c r="B1134">
        <v>51133</v>
      </c>
      <c r="C1134" s="2">
        <v>45202.545181727233</v>
      </c>
      <c r="D1134">
        <v>38</v>
      </c>
      <c r="E1134" t="s">
        <v>7</v>
      </c>
      <c r="F1134" t="s">
        <v>9</v>
      </c>
      <c r="G1134">
        <v>4350</v>
      </c>
    </row>
    <row r="1135" spans="1:7" x14ac:dyDescent="0.25">
      <c r="A1135">
        <v>1012</v>
      </c>
      <c r="B1135">
        <v>51134</v>
      </c>
      <c r="C1135" s="2">
        <v>45202.788596198727</v>
      </c>
      <c r="D1135">
        <v>28</v>
      </c>
      <c r="E1135" t="s">
        <v>7</v>
      </c>
      <c r="F1135" t="s">
        <v>12</v>
      </c>
      <c r="G1135">
        <v>4247</v>
      </c>
    </row>
    <row r="1136" spans="1:7" x14ac:dyDescent="0.25">
      <c r="A1136">
        <v>1318</v>
      </c>
      <c r="B1136">
        <v>51135</v>
      </c>
      <c r="C1136" s="2">
        <v>45203.03201067022</v>
      </c>
      <c r="D1136">
        <v>47</v>
      </c>
      <c r="E1136" t="s">
        <v>8</v>
      </c>
      <c r="F1136" t="s">
        <v>9</v>
      </c>
      <c r="G1136">
        <v>3427</v>
      </c>
    </row>
    <row r="1137" spans="1:7" x14ac:dyDescent="0.25">
      <c r="A1137">
        <v>1592</v>
      </c>
      <c r="B1137">
        <v>51136</v>
      </c>
      <c r="C1137" s="2">
        <v>45203.275425141706</v>
      </c>
      <c r="D1137">
        <v>52</v>
      </c>
      <c r="E1137" t="s">
        <v>8</v>
      </c>
      <c r="F1137" t="s">
        <v>12</v>
      </c>
      <c r="G1137">
        <v>2072</v>
      </c>
    </row>
    <row r="1138" spans="1:7" x14ac:dyDescent="0.25">
      <c r="A1138">
        <v>1216</v>
      </c>
      <c r="B1138">
        <v>51137</v>
      </c>
      <c r="C1138" s="2">
        <v>45203.518839613193</v>
      </c>
      <c r="D1138">
        <v>39</v>
      </c>
      <c r="E1138" t="s">
        <v>8</v>
      </c>
      <c r="F1138" t="s">
        <v>12</v>
      </c>
      <c r="G1138">
        <v>2267</v>
      </c>
    </row>
    <row r="1139" spans="1:7" x14ac:dyDescent="0.25">
      <c r="A1139">
        <v>1339</v>
      </c>
      <c r="B1139">
        <v>51138</v>
      </c>
      <c r="C1139" s="2">
        <v>45203.762254084693</v>
      </c>
      <c r="D1139">
        <v>55</v>
      </c>
      <c r="E1139" t="s">
        <v>8</v>
      </c>
      <c r="F1139" t="s">
        <v>11</v>
      </c>
      <c r="G1139">
        <v>532</v>
      </c>
    </row>
    <row r="1140" spans="1:7" x14ac:dyDescent="0.25">
      <c r="A1140">
        <v>1081</v>
      </c>
      <c r="B1140">
        <v>51139</v>
      </c>
      <c r="C1140" s="2">
        <v>45204.005668556179</v>
      </c>
      <c r="D1140">
        <v>48</v>
      </c>
      <c r="E1140" t="s">
        <v>7</v>
      </c>
      <c r="F1140" t="s">
        <v>11</v>
      </c>
      <c r="G1140">
        <v>3191</v>
      </c>
    </row>
    <row r="1141" spans="1:7" x14ac:dyDescent="0.25">
      <c r="A1141">
        <v>1485</v>
      </c>
      <c r="B1141">
        <v>51140</v>
      </c>
      <c r="C1141" s="2">
        <v>45204.249083027673</v>
      </c>
      <c r="D1141">
        <v>31</v>
      </c>
      <c r="E1141" t="s">
        <v>8</v>
      </c>
      <c r="F1141" t="s">
        <v>9</v>
      </c>
      <c r="G1141">
        <v>1110</v>
      </c>
    </row>
    <row r="1142" spans="1:7" x14ac:dyDescent="0.25">
      <c r="A1142">
        <v>1374</v>
      </c>
      <c r="B1142">
        <v>51141</v>
      </c>
      <c r="C1142" s="2">
        <v>45204.492497499152</v>
      </c>
      <c r="D1142">
        <v>41</v>
      </c>
      <c r="E1142" t="s">
        <v>8</v>
      </c>
      <c r="F1142" t="s">
        <v>10</v>
      </c>
      <c r="G1142">
        <v>4696</v>
      </c>
    </row>
    <row r="1143" spans="1:7" x14ac:dyDescent="0.25">
      <c r="A1143">
        <v>1200</v>
      </c>
      <c r="B1143">
        <v>51142</v>
      </c>
      <c r="C1143" s="2">
        <v>45204.735911970653</v>
      </c>
      <c r="D1143">
        <v>49</v>
      </c>
      <c r="E1143" t="s">
        <v>8</v>
      </c>
      <c r="F1143" t="s">
        <v>11</v>
      </c>
      <c r="G1143">
        <v>1149</v>
      </c>
    </row>
    <row r="1144" spans="1:7" x14ac:dyDescent="0.25">
      <c r="A1144">
        <v>1537</v>
      </c>
      <c r="B1144">
        <v>51143</v>
      </c>
      <c r="C1144" s="2">
        <v>45204.979326442139</v>
      </c>
      <c r="D1144">
        <v>53</v>
      </c>
      <c r="E1144" t="s">
        <v>7</v>
      </c>
      <c r="F1144" t="s">
        <v>12</v>
      </c>
      <c r="G1144">
        <v>2275</v>
      </c>
    </row>
    <row r="1145" spans="1:7" x14ac:dyDescent="0.25">
      <c r="A1145">
        <v>1466</v>
      </c>
      <c r="B1145">
        <v>51144</v>
      </c>
      <c r="C1145" s="2">
        <v>45205.222740913632</v>
      </c>
      <c r="D1145">
        <v>49</v>
      </c>
      <c r="E1145" t="s">
        <v>8</v>
      </c>
      <c r="F1145" t="s">
        <v>11</v>
      </c>
      <c r="G1145">
        <v>2714</v>
      </c>
    </row>
    <row r="1146" spans="1:7" x14ac:dyDescent="0.25">
      <c r="A1146">
        <v>1089</v>
      </c>
      <c r="B1146">
        <v>51145</v>
      </c>
      <c r="C1146" s="2">
        <v>45205.466155385133</v>
      </c>
      <c r="D1146">
        <v>32</v>
      </c>
      <c r="E1146" t="s">
        <v>7</v>
      </c>
      <c r="F1146" t="s">
        <v>11</v>
      </c>
      <c r="G1146">
        <v>3531</v>
      </c>
    </row>
    <row r="1147" spans="1:7" x14ac:dyDescent="0.25">
      <c r="A1147">
        <v>1268</v>
      </c>
      <c r="B1147">
        <v>51146</v>
      </c>
      <c r="C1147" s="2">
        <v>45205.709569856612</v>
      </c>
      <c r="D1147">
        <v>60</v>
      </c>
      <c r="E1147" t="s">
        <v>7</v>
      </c>
      <c r="F1147" t="s">
        <v>9</v>
      </c>
      <c r="G1147">
        <v>3229</v>
      </c>
    </row>
    <row r="1148" spans="1:7" x14ac:dyDescent="0.25">
      <c r="A1148">
        <v>1571</v>
      </c>
      <c r="B1148">
        <v>51147</v>
      </c>
      <c r="C1148" s="2">
        <v>45205.952984328113</v>
      </c>
      <c r="D1148">
        <v>52</v>
      </c>
      <c r="E1148" t="s">
        <v>7</v>
      </c>
      <c r="F1148" t="s">
        <v>11</v>
      </c>
      <c r="G1148">
        <v>300</v>
      </c>
    </row>
    <row r="1149" spans="1:7" x14ac:dyDescent="0.25">
      <c r="A1149">
        <v>1489</v>
      </c>
      <c r="B1149">
        <v>51148</v>
      </c>
      <c r="C1149" s="2">
        <v>45206.196398799591</v>
      </c>
      <c r="D1149">
        <v>20</v>
      </c>
      <c r="E1149" t="s">
        <v>7</v>
      </c>
      <c r="F1149" t="s">
        <v>11</v>
      </c>
      <c r="G1149">
        <v>4846</v>
      </c>
    </row>
    <row r="1150" spans="1:7" x14ac:dyDescent="0.25">
      <c r="A1150">
        <v>1538</v>
      </c>
      <c r="B1150">
        <v>51149</v>
      </c>
      <c r="C1150" s="2">
        <v>45206.439813271078</v>
      </c>
      <c r="D1150">
        <v>33</v>
      </c>
      <c r="E1150" t="s">
        <v>7</v>
      </c>
      <c r="F1150" t="s">
        <v>12</v>
      </c>
      <c r="G1150">
        <v>2600</v>
      </c>
    </row>
    <row r="1151" spans="1:7" x14ac:dyDescent="0.25">
      <c r="A1151">
        <v>1047</v>
      </c>
      <c r="B1151">
        <v>51150</v>
      </c>
      <c r="C1151" s="2">
        <v>45206.683227742571</v>
      </c>
      <c r="D1151">
        <v>22</v>
      </c>
      <c r="E1151" t="s">
        <v>7</v>
      </c>
      <c r="F1151" t="s">
        <v>11</v>
      </c>
      <c r="G1151">
        <v>3571</v>
      </c>
    </row>
    <row r="1152" spans="1:7" x14ac:dyDescent="0.25">
      <c r="A1152">
        <v>1288</v>
      </c>
      <c r="B1152">
        <v>51151</v>
      </c>
      <c r="C1152" s="2">
        <v>45206.926642214057</v>
      </c>
      <c r="D1152">
        <v>38</v>
      </c>
      <c r="E1152" t="s">
        <v>7</v>
      </c>
      <c r="F1152" t="s">
        <v>12</v>
      </c>
      <c r="G1152">
        <v>2543</v>
      </c>
    </row>
    <row r="1153" spans="1:7" x14ac:dyDescent="0.25">
      <c r="A1153">
        <v>1016</v>
      </c>
      <c r="B1153">
        <v>51152</v>
      </c>
      <c r="C1153" s="2">
        <v>45207.170056685558</v>
      </c>
      <c r="D1153">
        <v>27</v>
      </c>
      <c r="E1153" t="s">
        <v>8</v>
      </c>
      <c r="F1153" t="s">
        <v>11</v>
      </c>
      <c r="G1153">
        <v>552</v>
      </c>
    </row>
    <row r="1154" spans="1:7" x14ac:dyDescent="0.25">
      <c r="A1154">
        <v>1401</v>
      </c>
      <c r="B1154">
        <v>51153</v>
      </c>
      <c r="C1154" s="2">
        <v>45207.413471157051</v>
      </c>
      <c r="D1154">
        <v>36</v>
      </c>
      <c r="E1154" t="s">
        <v>8</v>
      </c>
      <c r="F1154" t="s">
        <v>11</v>
      </c>
      <c r="G1154">
        <v>3155</v>
      </c>
    </row>
    <row r="1155" spans="1:7" x14ac:dyDescent="0.25">
      <c r="A1155">
        <v>1086</v>
      </c>
      <c r="B1155">
        <v>51154</v>
      </c>
      <c r="C1155" s="2">
        <v>45207.656885628538</v>
      </c>
      <c r="D1155">
        <v>42</v>
      </c>
      <c r="E1155" t="s">
        <v>7</v>
      </c>
      <c r="F1155" t="s">
        <v>10</v>
      </c>
      <c r="G1155">
        <v>1218</v>
      </c>
    </row>
    <row r="1156" spans="1:7" x14ac:dyDescent="0.25">
      <c r="A1156">
        <v>1250</v>
      </c>
      <c r="B1156">
        <v>51155</v>
      </c>
      <c r="C1156" s="2">
        <v>45207.900300100016</v>
      </c>
      <c r="D1156">
        <v>21</v>
      </c>
      <c r="E1156" t="s">
        <v>8</v>
      </c>
      <c r="F1156" t="s">
        <v>11</v>
      </c>
      <c r="G1156">
        <v>1379</v>
      </c>
    </row>
    <row r="1157" spans="1:7" x14ac:dyDescent="0.25">
      <c r="A1157">
        <v>1391</v>
      </c>
      <c r="B1157">
        <v>51156</v>
      </c>
      <c r="C1157" s="2">
        <v>45208.143714571517</v>
      </c>
      <c r="D1157">
        <v>46</v>
      </c>
      <c r="E1157" t="s">
        <v>8</v>
      </c>
      <c r="F1157" t="s">
        <v>12</v>
      </c>
      <c r="G1157">
        <v>3736</v>
      </c>
    </row>
    <row r="1158" spans="1:7" x14ac:dyDescent="0.25">
      <c r="A1158">
        <v>1335</v>
      </c>
      <c r="B1158">
        <v>51157</v>
      </c>
      <c r="C1158" s="2">
        <v>45208.387129043011</v>
      </c>
      <c r="D1158">
        <v>36</v>
      </c>
      <c r="E1158" t="s">
        <v>7</v>
      </c>
      <c r="F1158" t="s">
        <v>12</v>
      </c>
      <c r="G1158">
        <v>3850</v>
      </c>
    </row>
    <row r="1159" spans="1:7" x14ac:dyDescent="0.25">
      <c r="A1159">
        <v>1519</v>
      </c>
      <c r="B1159">
        <v>51158</v>
      </c>
      <c r="C1159" s="2">
        <v>45208.630543514497</v>
      </c>
      <c r="D1159">
        <v>60</v>
      </c>
      <c r="E1159" t="s">
        <v>8</v>
      </c>
      <c r="F1159" t="s">
        <v>9</v>
      </c>
      <c r="G1159">
        <v>2702</v>
      </c>
    </row>
    <row r="1160" spans="1:7" x14ac:dyDescent="0.25">
      <c r="A1160">
        <v>1137</v>
      </c>
      <c r="B1160">
        <v>51159</v>
      </c>
      <c r="C1160" s="2">
        <v>45208.873957985983</v>
      </c>
      <c r="D1160">
        <v>19</v>
      </c>
      <c r="E1160" t="s">
        <v>7</v>
      </c>
      <c r="F1160" t="s">
        <v>9</v>
      </c>
      <c r="G1160">
        <v>4019</v>
      </c>
    </row>
    <row r="1161" spans="1:7" x14ac:dyDescent="0.25">
      <c r="A1161">
        <v>1498</v>
      </c>
      <c r="B1161">
        <v>51160</v>
      </c>
      <c r="C1161" s="2">
        <v>45209.117372457476</v>
      </c>
      <c r="D1161">
        <v>27</v>
      </c>
      <c r="E1161" t="s">
        <v>8</v>
      </c>
      <c r="F1161" t="s">
        <v>10</v>
      </c>
      <c r="G1161">
        <v>1179</v>
      </c>
    </row>
    <row r="1162" spans="1:7" x14ac:dyDescent="0.25">
      <c r="A1162">
        <v>1477</v>
      </c>
      <c r="B1162">
        <v>51161</v>
      </c>
      <c r="C1162" s="2">
        <v>45209.36078692897</v>
      </c>
      <c r="D1162">
        <v>60</v>
      </c>
      <c r="E1162" t="s">
        <v>7</v>
      </c>
      <c r="F1162" t="s">
        <v>12</v>
      </c>
      <c r="G1162">
        <v>1176</v>
      </c>
    </row>
    <row r="1163" spans="1:7" x14ac:dyDescent="0.25">
      <c r="A1163">
        <v>1594</v>
      </c>
      <c r="B1163">
        <v>51162</v>
      </c>
      <c r="C1163" s="2">
        <v>45209.604201400463</v>
      </c>
      <c r="D1163">
        <v>42</v>
      </c>
      <c r="E1163" t="s">
        <v>7</v>
      </c>
      <c r="F1163" t="s">
        <v>12</v>
      </c>
      <c r="G1163">
        <v>1571</v>
      </c>
    </row>
    <row r="1164" spans="1:7" x14ac:dyDescent="0.25">
      <c r="A1164">
        <v>1223</v>
      </c>
      <c r="B1164">
        <v>51163</v>
      </c>
      <c r="C1164" s="2">
        <v>45209.847615871957</v>
      </c>
      <c r="D1164">
        <v>37</v>
      </c>
      <c r="E1164" t="s">
        <v>8</v>
      </c>
      <c r="F1164" t="s">
        <v>12</v>
      </c>
      <c r="G1164">
        <v>2480</v>
      </c>
    </row>
    <row r="1165" spans="1:7" x14ac:dyDescent="0.25">
      <c r="A1165">
        <v>1372</v>
      </c>
      <c r="B1165">
        <v>51164</v>
      </c>
      <c r="C1165" s="2">
        <v>45210.091030343443</v>
      </c>
      <c r="D1165">
        <v>36</v>
      </c>
      <c r="E1165" t="s">
        <v>8</v>
      </c>
      <c r="F1165" t="s">
        <v>10</v>
      </c>
      <c r="G1165">
        <v>4776</v>
      </c>
    </row>
    <row r="1166" spans="1:7" x14ac:dyDescent="0.25">
      <c r="A1166">
        <v>1402</v>
      </c>
      <c r="B1166">
        <v>51165</v>
      </c>
      <c r="C1166" s="2">
        <v>45210.334444814929</v>
      </c>
      <c r="D1166">
        <v>40</v>
      </c>
      <c r="E1166" t="s">
        <v>7</v>
      </c>
      <c r="F1166" t="s">
        <v>12</v>
      </c>
      <c r="G1166">
        <v>307</v>
      </c>
    </row>
    <row r="1167" spans="1:7" x14ac:dyDescent="0.25">
      <c r="A1167">
        <v>1443</v>
      </c>
      <c r="B1167">
        <v>51166</v>
      </c>
      <c r="C1167" s="2">
        <v>45210.577859286423</v>
      </c>
      <c r="D1167">
        <v>41</v>
      </c>
      <c r="E1167" t="s">
        <v>7</v>
      </c>
      <c r="F1167" t="s">
        <v>9</v>
      </c>
      <c r="G1167">
        <v>1172</v>
      </c>
    </row>
    <row r="1168" spans="1:7" x14ac:dyDescent="0.25">
      <c r="A1168">
        <v>1490</v>
      </c>
      <c r="B1168">
        <v>51167</v>
      </c>
      <c r="C1168" s="2">
        <v>45210.821273757923</v>
      </c>
      <c r="D1168">
        <v>28</v>
      </c>
      <c r="E1168" t="s">
        <v>7</v>
      </c>
      <c r="F1168" t="s">
        <v>10</v>
      </c>
      <c r="G1168">
        <v>1826</v>
      </c>
    </row>
    <row r="1169" spans="1:7" x14ac:dyDescent="0.25">
      <c r="A1169">
        <v>1273</v>
      </c>
      <c r="B1169">
        <v>51168</v>
      </c>
      <c r="C1169" s="2">
        <v>45211.06468822941</v>
      </c>
      <c r="D1169">
        <v>63</v>
      </c>
      <c r="E1169" t="s">
        <v>8</v>
      </c>
      <c r="F1169" t="s">
        <v>9</v>
      </c>
      <c r="G1169">
        <v>903</v>
      </c>
    </row>
    <row r="1170" spans="1:7" x14ac:dyDescent="0.25">
      <c r="A1170">
        <v>1526</v>
      </c>
      <c r="B1170">
        <v>51169</v>
      </c>
      <c r="C1170" s="2">
        <v>45211.308102700888</v>
      </c>
      <c r="D1170">
        <v>51</v>
      </c>
      <c r="E1170" t="s">
        <v>8</v>
      </c>
      <c r="F1170" t="s">
        <v>9</v>
      </c>
      <c r="G1170">
        <v>1074</v>
      </c>
    </row>
    <row r="1171" spans="1:7" x14ac:dyDescent="0.25">
      <c r="A1171">
        <v>1159</v>
      </c>
      <c r="B1171">
        <v>51170</v>
      </c>
      <c r="C1171" s="2">
        <v>45211.551517172382</v>
      </c>
      <c r="D1171">
        <v>45</v>
      </c>
      <c r="E1171" t="s">
        <v>8</v>
      </c>
      <c r="F1171" t="s">
        <v>10</v>
      </c>
      <c r="G1171">
        <v>4009</v>
      </c>
    </row>
    <row r="1172" spans="1:7" x14ac:dyDescent="0.25">
      <c r="A1172">
        <v>1152</v>
      </c>
      <c r="B1172">
        <v>51171</v>
      </c>
      <c r="C1172" s="2">
        <v>45211.794931643883</v>
      </c>
      <c r="D1172">
        <v>22</v>
      </c>
      <c r="E1172" t="s">
        <v>8</v>
      </c>
      <c r="F1172" t="s">
        <v>11</v>
      </c>
      <c r="G1172">
        <v>2611</v>
      </c>
    </row>
    <row r="1173" spans="1:7" x14ac:dyDescent="0.25">
      <c r="A1173">
        <v>1188</v>
      </c>
      <c r="B1173">
        <v>51172</v>
      </c>
      <c r="C1173" s="2">
        <v>45212.038346115369</v>
      </c>
      <c r="D1173">
        <v>22</v>
      </c>
      <c r="E1173" t="s">
        <v>7</v>
      </c>
      <c r="F1173" t="s">
        <v>11</v>
      </c>
      <c r="G1173">
        <v>2307</v>
      </c>
    </row>
    <row r="1174" spans="1:7" x14ac:dyDescent="0.25">
      <c r="A1174">
        <v>1098</v>
      </c>
      <c r="B1174">
        <v>51173</v>
      </c>
      <c r="C1174" s="2">
        <v>45212.281760586848</v>
      </c>
      <c r="D1174">
        <v>38</v>
      </c>
      <c r="E1174" t="s">
        <v>7</v>
      </c>
      <c r="F1174" t="s">
        <v>9</v>
      </c>
      <c r="G1174">
        <v>3753</v>
      </c>
    </row>
    <row r="1175" spans="1:7" x14ac:dyDescent="0.25">
      <c r="A1175">
        <v>1131</v>
      </c>
      <c r="B1175">
        <v>51174</v>
      </c>
      <c r="C1175" s="2">
        <v>45212.525175058348</v>
      </c>
      <c r="D1175">
        <v>29</v>
      </c>
      <c r="E1175" t="s">
        <v>7</v>
      </c>
      <c r="F1175" t="s">
        <v>11</v>
      </c>
      <c r="G1175">
        <v>1473</v>
      </c>
    </row>
    <row r="1176" spans="1:7" x14ac:dyDescent="0.25">
      <c r="A1176">
        <v>1171</v>
      </c>
      <c r="B1176">
        <v>51175</v>
      </c>
      <c r="C1176" s="2">
        <v>45212.768589529827</v>
      </c>
      <c r="D1176">
        <v>21</v>
      </c>
      <c r="E1176" t="s">
        <v>7</v>
      </c>
      <c r="F1176" t="s">
        <v>12</v>
      </c>
      <c r="G1176">
        <v>759</v>
      </c>
    </row>
    <row r="1177" spans="1:7" x14ac:dyDescent="0.25">
      <c r="A1177">
        <v>1183</v>
      </c>
      <c r="B1177">
        <v>51176</v>
      </c>
      <c r="C1177" s="2">
        <v>45213.012004001328</v>
      </c>
      <c r="D1177">
        <v>59</v>
      </c>
      <c r="E1177" t="s">
        <v>8</v>
      </c>
      <c r="F1177" t="s">
        <v>10</v>
      </c>
      <c r="G1177">
        <v>316</v>
      </c>
    </row>
    <row r="1178" spans="1:7" x14ac:dyDescent="0.25">
      <c r="A1178">
        <v>1364</v>
      </c>
      <c r="B1178">
        <v>51177</v>
      </c>
      <c r="C1178" s="2">
        <v>45213.255418472821</v>
      </c>
      <c r="D1178">
        <v>37</v>
      </c>
      <c r="E1178" t="s">
        <v>7</v>
      </c>
      <c r="F1178" t="s">
        <v>9</v>
      </c>
      <c r="G1178">
        <v>3246</v>
      </c>
    </row>
    <row r="1179" spans="1:7" x14ac:dyDescent="0.25">
      <c r="A1179">
        <v>1039</v>
      </c>
      <c r="B1179">
        <v>51178</v>
      </c>
      <c r="C1179" s="2">
        <v>45213.498832944308</v>
      </c>
      <c r="D1179">
        <v>55</v>
      </c>
      <c r="E1179" t="s">
        <v>7</v>
      </c>
      <c r="F1179" t="s">
        <v>12</v>
      </c>
      <c r="G1179">
        <v>243</v>
      </c>
    </row>
    <row r="1180" spans="1:7" x14ac:dyDescent="0.25">
      <c r="A1180">
        <v>1527</v>
      </c>
      <c r="B1180">
        <v>51179</v>
      </c>
      <c r="C1180" s="2">
        <v>45213.742247415801</v>
      </c>
      <c r="D1180">
        <v>42</v>
      </c>
      <c r="E1180" t="s">
        <v>8</v>
      </c>
      <c r="F1180" t="s">
        <v>11</v>
      </c>
      <c r="G1180">
        <v>708</v>
      </c>
    </row>
    <row r="1181" spans="1:7" x14ac:dyDescent="0.25">
      <c r="A1181">
        <v>1497</v>
      </c>
      <c r="B1181">
        <v>51180</v>
      </c>
      <c r="C1181" s="2">
        <v>45213.985661887287</v>
      </c>
      <c r="D1181">
        <v>31</v>
      </c>
      <c r="E1181" t="s">
        <v>8</v>
      </c>
      <c r="F1181" t="s">
        <v>12</v>
      </c>
      <c r="G1181">
        <v>3639</v>
      </c>
    </row>
    <row r="1182" spans="1:7" x14ac:dyDescent="0.25">
      <c r="A1182">
        <v>1516</v>
      </c>
      <c r="B1182">
        <v>51181</v>
      </c>
      <c r="C1182" s="2">
        <v>45214.229076358788</v>
      </c>
      <c r="D1182">
        <v>28</v>
      </c>
      <c r="E1182" t="s">
        <v>7</v>
      </c>
      <c r="F1182" t="s">
        <v>11</v>
      </c>
      <c r="G1182">
        <v>4128</v>
      </c>
    </row>
    <row r="1183" spans="1:7" x14ac:dyDescent="0.25">
      <c r="A1183">
        <v>1349</v>
      </c>
      <c r="B1183">
        <v>51182</v>
      </c>
      <c r="C1183" s="2">
        <v>45214.472490830267</v>
      </c>
      <c r="D1183">
        <v>49</v>
      </c>
      <c r="E1183" t="s">
        <v>8</v>
      </c>
      <c r="F1183" t="s">
        <v>9</v>
      </c>
      <c r="G1183">
        <v>1116</v>
      </c>
    </row>
    <row r="1184" spans="1:7" x14ac:dyDescent="0.25">
      <c r="A1184">
        <v>1397</v>
      </c>
      <c r="B1184">
        <v>51183</v>
      </c>
      <c r="C1184" s="2">
        <v>45214.71590530176</v>
      </c>
      <c r="D1184">
        <v>28</v>
      </c>
      <c r="E1184" t="s">
        <v>7</v>
      </c>
      <c r="F1184" t="s">
        <v>12</v>
      </c>
      <c r="G1184">
        <v>3145</v>
      </c>
    </row>
    <row r="1185" spans="1:7" x14ac:dyDescent="0.25">
      <c r="A1185">
        <v>1161</v>
      </c>
      <c r="B1185">
        <v>51184</v>
      </c>
      <c r="C1185" s="2">
        <v>45214.959319773247</v>
      </c>
      <c r="D1185">
        <v>35</v>
      </c>
      <c r="E1185" t="s">
        <v>8</v>
      </c>
      <c r="F1185" t="s">
        <v>10</v>
      </c>
      <c r="G1185">
        <v>998</v>
      </c>
    </row>
    <row r="1186" spans="1:7" x14ac:dyDescent="0.25">
      <c r="A1186">
        <v>1016</v>
      </c>
      <c r="B1186">
        <v>51185</v>
      </c>
      <c r="C1186" s="2">
        <v>45215.202734244747</v>
      </c>
      <c r="D1186">
        <v>44</v>
      </c>
      <c r="E1186" t="s">
        <v>8</v>
      </c>
      <c r="F1186" t="s">
        <v>9</v>
      </c>
      <c r="G1186">
        <v>1960</v>
      </c>
    </row>
    <row r="1187" spans="1:7" x14ac:dyDescent="0.25">
      <c r="A1187">
        <v>1493</v>
      </c>
      <c r="B1187">
        <v>51186</v>
      </c>
      <c r="C1187" s="2">
        <v>45215.446148716241</v>
      </c>
      <c r="D1187">
        <v>35</v>
      </c>
      <c r="E1187" t="s">
        <v>7</v>
      </c>
      <c r="F1187" t="s">
        <v>12</v>
      </c>
      <c r="G1187">
        <v>2533</v>
      </c>
    </row>
    <row r="1188" spans="1:7" x14ac:dyDescent="0.25">
      <c r="A1188">
        <v>1426</v>
      </c>
      <c r="B1188">
        <v>51187</v>
      </c>
      <c r="C1188" s="2">
        <v>45215.68956318772</v>
      </c>
      <c r="D1188">
        <v>40</v>
      </c>
      <c r="E1188" t="s">
        <v>8</v>
      </c>
      <c r="F1188" t="s">
        <v>12</v>
      </c>
      <c r="G1188">
        <v>3475</v>
      </c>
    </row>
    <row r="1189" spans="1:7" x14ac:dyDescent="0.25">
      <c r="A1189">
        <v>1108</v>
      </c>
      <c r="B1189">
        <v>51188</v>
      </c>
      <c r="C1189" s="2">
        <v>45215.932977659213</v>
      </c>
      <c r="D1189">
        <v>28</v>
      </c>
      <c r="E1189" t="s">
        <v>7</v>
      </c>
      <c r="F1189" t="s">
        <v>11</v>
      </c>
      <c r="G1189">
        <v>1018</v>
      </c>
    </row>
    <row r="1190" spans="1:7" x14ac:dyDescent="0.25">
      <c r="A1190">
        <v>1450</v>
      </c>
      <c r="B1190">
        <v>51189</v>
      </c>
      <c r="C1190" s="2">
        <v>45216.176392130707</v>
      </c>
      <c r="D1190">
        <v>38</v>
      </c>
      <c r="E1190" t="s">
        <v>8</v>
      </c>
      <c r="F1190" t="s">
        <v>9</v>
      </c>
      <c r="G1190">
        <v>2368</v>
      </c>
    </row>
    <row r="1191" spans="1:7" x14ac:dyDescent="0.25">
      <c r="A1191">
        <v>1311</v>
      </c>
      <c r="B1191">
        <v>51190</v>
      </c>
      <c r="C1191" s="2">
        <v>45216.4198066022</v>
      </c>
      <c r="D1191">
        <v>61</v>
      </c>
      <c r="E1191" t="s">
        <v>8</v>
      </c>
      <c r="F1191" t="s">
        <v>9</v>
      </c>
      <c r="G1191">
        <v>3935</v>
      </c>
    </row>
    <row r="1192" spans="1:7" x14ac:dyDescent="0.25">
      <c r="A1192">
        <v>1170</v>
      </c>
      <c r="B1192">
        <v>51191</v>
      </c>
      <c r="C1192" s="2">
        <v>45216.663221073679</v>
      </c>
      <c r="D1192">
        <v>22</v>
      </c>
      <c r="E1192" t="s">
        <v>8</v>
      </c>
      <c r="F1192" t="s">
        <v>9</v>
      </c>
      <c r="G1192">
        <v>3265</v>
      </c>
    </row>
    <row r="1193" spans="1:7" x14ac:dyDescent="0.25">
      <c r="A1193">
        <v>1546</v>
      </c>
      <c r="B1193">
        <v>51192</v>
      </c>
      <c r="C1193" s="2">
        <v>45216.906635545172</v>
      </c>
      <c r="D1193">
        <v>40</v>
      </c>
      <c r="E1193" t="s">
        <v>8</v>
      </c>
      <c r="F1193" t="s">
        <v>9</v>
      </c>
      <c r="G1193">
        <v>3459</v>
      </c>
    </row>
    <row r="1194" spans="1:7" x14ac:dyDescent="0.25">
      <c r="A1194">
        <v>1414</v>
      </c>
      <c r="B1194">
        <v>51193</v>
      </c>
      <c r="C1194" s="2">
        <v>45217.150050016673</v>
      </c>
      <c r="D1194">
        <v>58</v>
      </c>
      <c r="E1194" t="s">
        <v>8</v>
      </c>
      <c r="F1194" t="s">
        <v>11</v>
      </c>
      <c r="G1194">
        <v>1106</v>
      </c>
    </row>
    <row r="1195" spans="1:7" x14ac:dyDescent="0.25">
      <c r="A1195">
        <v>1251</v>
      </c>
      <c r="B1195">
        <v>51194</v>
      </c>
      <c r="C1195" s="2">
        <v>45217.393464488159</v>
      </c>
      <c r="D1195">
        <v>42</v>
      </c>
      <c r="E1195" t="s">
        <v>7</v>
      </c>
      <c r="F1195" t="s">
        <v>10</v>
      </c>
      <c r="G1195">
        <v>4308</v>
      </c>
    </row>
    <row r="1196" spans="1:7" x14ac:dyDescent="0.25">
      <c r="A1196">
        <v>1141</v>
      </c>
      <c r="B1196">
        <v>51195</v>
      </c>
      <c r="C1196" s="2">
        <v>45217.636878959653</v>
      </c>
      <c r="D1196">
        <v>58</v>
      </c>
      <c r="E1196" t="s">
        <v>8</v>
      </c>
      <c r="F1196" t="s">
        <v>9</v>
      </c>
      <c r="G1196">
        <v>802</v>
      </c>
    </row>
    <row r="1197" spans="1:7" x14ac:dyDescent="0.25">
      <c r="A1197">
        <v>1274</v>
      </c>
      <c r="B1197">
        <v>51196</v>
      </c>
      <c r="C1197" s="2">
        <v>45217.880293431132</v>
      </c>
      <c r="D1197">
        <v>27</v>
      </c>
      <c r="E1197" t="s">
        <v>7</v>
      </c>
      <c r="F1197" t="s">
        <v>11</v>
      </c>
      <c r="G1197">
        <v>4495</v>
      </c>
    </row>
    <row r="1198" spans="1:7" x14ac:dyDescent="0.25">
      <c r="A1198">
        <v>1416</v>
      </c>
      <c r="B1198">
        <v>51197</v>
      </c>
      <c r="C1198" s="2">
        <v>45218.123707902632</v>
      </c>
      <c r="D1198">
        <v>39</v>
      </c>
      <c r="E1198" t="s">
        <v>8</v>
      </c>
      <c r="F1198" t="s">
        <v>10</v>
      </c>
      <c r="G1198">
        <v>2833</v>
      </c>
    </row>
    <row r="1199" spans="1:7" x14ac:dyDescent="0.25">
      <c r="A1199">
        <v>1039</v>
      </c>
      <c r="B1199">
        <v>51198</v>
      </c>
      <c r="C1199" s="2">
        <v>45218.367122374118</v>
      </c>
      <c r="D1199">
        <v>36</v>
      </c>
      <c r="E1199" t="s">
        <v>7</v>
      </c>
      <c r="F1199" t="s">
        <v>10</v>
      </c>
      <c r="G1199">
        <v>1991</v>
      </c>
    </row>
    <row r="1200" spans="1:7" x14ac:dyDescent="0.25">
      <c r="A1200">
        <v>1029</v>
      </c>
      <c r="B1200">
        <v>51199</v>
      </c>
      <c r="C1200" s="2">
        <v>45218.610536845612</v>
      </c>
      <c r="D1200">
        <v>18</v>
      </c>
      <c r="E1200" t="s">
        <v>8</v>
      </c>
      <c r="F1200" t="s">
        <v>11</v>
      </c>
      <c r="G1200">
        <v>3727</v>
      </c>
    </row>
    <row r="1201" spans="1:7" x14ac:dyDescent="0.25">
      <c r="A1201">
        <v>1477</v>
      </c>
      <c r="B1201">
        <v>51200</v>
      </c>
      <c r="C1201" s="2">
        <v>45218.853951317098</v>
      </c>
      <c r="D1201">
        <v>24</v>
      </c>
      <c r="E1201" t="s">
        <v>7</v>
      </c>
      <c r="F1201" t="s">
        <v>9</v>
      </c>
      <c r="G1201">
        <v>4743</v>
      </c>
    </row>
    <row r="1202" spans="1:7" x14ac:dyDescent="0.25">
      <c r="A1202">
        <v>1318</v>
      </c>
      <c r="B1202">
        <v>51201</v>
      </c>
      <c r="C1202" s="2">
        <v>45219.097365788592</v>
      </c>
      <c r="D1202">
        <v>21</v>
      </c>
      <c r="E1202" t="s">
        <v>7</v>
      </c>
      <c r="F1202" t="s">
        <v>10</v>
      </c>
      <c r="G1202">
        <v>2011</v>
      </c>
    </row>
    <row r="1203" spans="1:7" x14ac:dyDescent="0.25">
      <c r="A1203">
        <v>1245</v>
      </c>
      <c r="B1203">
        <v>51202</v>
      </c>
      <c r="C1203" s="2">
        <v>45219.340780260078</v>
      </c>
      <c r="D1203">
        <v>18</v>
      </c>
      <c r="E1203" t="s">
        <v>8</v>
      </c>
      <c r="F1203" t="s">
        <v>9</v>
      </c>
      <c r="G1203">
        <v>4111</v>
      </c>
    </row>
    <row r="1204" spans="1:7" x14ac:dyDescent="0.25">
      <c r="A1204">
        <v>1272</v>
      </c>
      <c r="B1204">
        <v>51203</v>
      </c>
      <c r="C1204" s="2">
        <v>45219.584194731571</v>
      </c>
      <c r="D1204">
        <v>32</v>
      </c>
      <c r="E1204" t="s">
        <v>8</v>
      </c>
      <c r="F1204" t="s">
        <v>9</v>
      </c>
      <c r="G1204">
        <v>1040</v>
      </c>
    </row>
    <row r="1205" spans="1:7" x14ac:dyDescent="0.25">
      <c r="A1205">
        <v>1440</v>
      </c>
      <c r="B1205">
        <v>51204</v>
      </c>
      <c r="C1205" s="2">
        <v>45219.827609203057</v>
      </c>
      <c r="D1205">
        <v>57</v>
      </c>
      <c r="E1205" t="s">
        <v>8</v>
      </c>
      <c r="F1205" t="s">
        <v>12</v>
      </c>
      <c r="G1205">
        <v>3342</v>
      </c>
    </row>
    <row r="1206" spans="1:7" x14ac:dyDescent="0.25">
      <c r="A1206">
        <v>1239</v>
      </c>
      <c r="B1206">
        <v>51205</v>
      </c>
      <c r="C1206" s="2">
        <v>45220.071023674551</v>
      </c>
      <c r="D1206">
        <v>29</v>
      </c>
      <c r="E1206" t="s">
        <v>7</v>
      </c>
      <c r="F1206" t="s">
        <v>9</v>
      </c>
      <c r="G1206">
        <v>4885</v>
      </c>
    </row>
    <row r="1207" spans="1:7" x14ac:dyDescent="0.25">
      <c r="A1207">
        <v>1377</v>
      </c>
      <c r="B1207">
        <v>51206</v>
      </c>
      <c r="C1207" s="2">
        <v>45220.314438146037</v>
      </c>
      <c r="D1207">
        <v>39</v>
      </c>
      <c r="E1207" t="s">
        <v>7</v>
      </c>
      <c r="F1207" t="s">
        <v>12</v>
      </c>
      <c r="G1207">
        <v>2290</v>
      </c>
    </row>
    <row r="1208" spans="1:7" x14ac:dyDescent="0.25">
      <c r="A1208">
        <v>1266</v>
      </c>
      <c r="B1208">
        <v>51207</v>
      </c>
      <c r="C1208" s="2">
        <v>45220.557852617538</v>
      </c>
      <c r="D1208">
        <v>39</v>
      </c>
      <c r="E1208" t="s">
        <v>8</v>
      </c>
      <c r="F1208" t="s">
        <v>10</v>
      </c>
      <c r="G1208">
        <v>4815</v>
      </c>
    </row>
    <row r="1209" spans="1:7" x14ac:dyDescent="0.25">
      <c r="A1209">
        <v>1359</v>
      </c>
      <c r="B1209">
        <v>51208</v>
      </c>
      <c r="C1209" s="2">
        <v>45220.801267089031</v>
      </c>
      <c r="D1209">
        <v>64</v>
      </c>
      <c r="E1209" t="s">
        <v>8</v>
      </c>
      <c r="F1209" t="s">
        <v>11</v>
      </c>
      <c r="G1209">
        <v>1236</v>
      </c>
    </row>
    <row r="1210" spans="1:7" x14ac:dyDescent="0.25">
      <c r="A1210">
        <v>1340</v>
      </c>
      <c r="B1210">
        <v>51209</v>
      </c>
      <c r="C1210" s="2">
        <v>45221.04468156051</v>
      </c>
      <c r="D1210">
        <v>34</v>
      </c>
      <c r="E1210" t="s">
        <v>7</v>
      </c>
      <c r="F1210" t="s">
        <v>12</v>
      </c>
      <c r="G1210">
        <v>924</v>
      </c>
    </row>
    <row r="1211" spans="1:7" x14ac:dyDescent="0.25">
      <c r="A1211">
        <v>1389</v>
      </c>
      <c r="B1211">
        <v>51210</v>
      </c>
      <c r="C1211" s="2">
        <v>45221.288096032004</v>
      </c>
      <c r="D1211">
        <v>46</v>
      </c>
      <c r="E1211" t="s">
        <v>7</v>
      </c>
      <c r="F1211" t="s">
        <v>11</v>
      </c>
      <c r="G1211">
        <v>1187</v>
      </c>
    </row>
    <row r="1212" spans="1:7" x14ac:dyDescent="0.25">
      <c r="A1212">
        <v>1577</v>
      </c>
      <c r="B1212">
        <v>51211</v>
      </c>
      <c r="C1212" s="2">
        <v>45221.531510503497</v>
      </c>
      <c r="D1212">
        <v>63</v>
      </c>
      <c r="E1212" t="s">
        <v>8</v>
      </c>
      <c r="F1212" t="s">
        <v>10</v>
      </c>
      <c r="G1212">
        <v>1002</v>
      </c>
    </row>
    <row r="1213" spans="1:7" x14ac:dyDescent="0.25">
      <c r="A1213">
        <v>1003</v>
      </c>
      <c r="B1213">
        <v>51212</v>
      </c>
      <c r="C1213" s="2">
        <v>45221.77492497499</v>
      </c>
      <c r="D1213">
        <v>31</v>
      </c>
      <c r="E1213" t="s">
        <v>7</v>
      </c>
      <c r="F1213" t="s">
        <v>9</v>
      </c>
      <c r="G1213">
        <v>2782</v>
      </c>
    </row>
    <row r="1214" spans="1:7" x14ac:dyDescent="0.25">
      <c r="A1214">
        <v>1429</v>
      </c>
      <c r="B1214">
        <v>51213</v>
      </c>
      <c r="C1214" s="2">
        <v>45222.018339446477</v>
      </c>
      <c r="D1214">
        <v>37</v>
      </c>
      <c r="E1214" t="s">
        <v>8</v>
      </c>
      <c r="F1214" t="s">
        <v>10</v>
      </c>
      <c r="G1214">
        <v>4037</v>
      </c>
    </row>
    <row r="1215" spans="1:7" x14ac:dyDescent="0.25">
      <c r="A1215">
        <v>1142</v>
      </c>
      <c r="B1215">
        <v>51214</v>
      </c>
      <c r="C1215" s="2">
        <v>45222.261753917963</v>
      </c>
      <c r="D1215">
        <v>50</v>
      </c>
      <c r="E1215" t="s">
        <v>8</v>
      </c>
      <c r="F1215" t="s">
        <v>11</v>
      </c>
      <c r="G1215">
        <v>726</v>
      </c>
    </row>
    <row r="1216" spans="1:7" x14ac:dyDescent="0.25">
      <c r="A1216">
        <v>1376</v>
      </c>
      <c r="B1216">
        <v>51215</v>
      </c>
      <c r="C1216" s="2">
        <v>45222.505168389464</v>
      </c>
      <c r="D1216">
        <v>60</v>
      </c>
      <c r="E1216" t="s">
        <v>8</v>
      </c>
      <c r="F1216" t="s">
        <v>10</v>
      </c>
      <c r="G1216">
        <v>1865</v>
      </c>
    </row>
    <row r="1217" spans="1:7" x14ac:dyDescent="0.25">
      <c r="A1217">
        <v>1324</v>
      </c>
      <c r="B1217">
        <v>51216</v>
      </c>
      <c r="C1217" s="2">
        <v>45222.74858286095</v>
      </c>
      <c r="D1217">
        <v>32</v>
      </c>
      <c r="E1217" t="s">
        <v>7</v>
      </c>
      <c r="F1217" t="s">
        <v>9</v>
      </c>
      <c r="G1217">
        <v>1338</v>
      </c>
    </row>
    <row r="1218" spans="1:7" x14ac:dyDescent="0.25">
      <c r="A1218">
        <v>1146</v>
      </c>
      <c r="B1218">
        <v>51217</v>
      </c>
      <c r="C1218" s="2">
        <v>45222.991997332443</v>
      </c>
      <c r="D1218">
        <v>29</v>
      </c>
      <c r="E1218" t="s">
        <v>7</v>
      </c>
      <c r="F1218" t="s">
        <v>10</v>
      </c>
      <c r="G1218">
        <v>659</v>
      </c>
    </row>
    <row r="1219" spans="1:7" x14ac:dyDescent="0.25">
      <c r="A1219">
        <v>1293</v>
      </c>
      <c r="B1219">
        <v>51218</v>
      </c>
      <c r="C1219" s="2">
        <v>45223.235411803922</v>
      </c>
      <c r="D1219">
        <v>57</v>
      </c>
      <c r="E1219" t="s">
        <v>7</v>
      </c>
      <c r="F1219" t="s">
        <v>9</v>
      </c>
      <c r="G1219">
        <v>2752</v>
      </c>
    </row>
    <row r="1220" spans="1:7" x14ac:dyDescent="0.25">
      <c r="A1220">
        <v>1432</v>
      </c>
      <c r="B1220">
        <v>51219</v>
      </c>
      <c r="C1220" s="2">
        <v>45223.478826275423</v>
      </c>
      <c r="D1220">
        <v>37</v>
      </c>
      <c r="E1220" t="s">
        <v>7</v>
      </c>
      <c r="F1220" t="s">
        <v>12</v>
      </c>
      <c r="G1220">
        <v>4620</v>
      </c>
    </row>
    <row r="1221" spans="1:7" x14ac:dyDescent="0.25">
      <c r="A1221">
        <v>1585</v>
      </c>
      <c r="B1221">
        <v>51220</v>
      </c>
      <c r="C1221" s="2">
        <v>45223.722240746909</v>
      </c>
      <c r="D1221">
        <v>47</v>
      </c>
      <c r="E1221" t="s">
        <v>8</v>
      </c>
      <c r="F1221" t="s">
        <v>11</v>
      </c>
      <c r="G1221">
        <v>4874</v>
      </c>
    </row>
    <row r="1222" spans="1:7" x14ac:dyDescent="0.25">
      <c r="A1222">
        <v>1399</v>
      </c>
      <c r="B1222">
        <v>51221</v>
      </c>
      <c r="C1222" s="2">
        <v>45223.965655218402</v>
      </c>
      <c r="D1222">
        <v>55</v>
      </c>
      <c r="E1222" t="s">
        <v>7</v>
      </c>
      <c r="F1222" t="s">
        <v>9</v>
      </c>
      <c r="G1222">
        <v>3008</v>
      </c>
    </row>
    <row r="1223" spans="1:7" x14ac:dyDescent="0.25">
      <c r="A1223">
        <v>1344</v>
      </c>
      <c r="B1223">
        <v>51222</v>
      </c>
      <c r="C1223" s="2">
        <v>45224.209069689903</v>
      </c>
      <c r="D1223">
        <v>20</v>
      </c>
      <c r="E1223" t="s">
        <v>8</v>
      </c>
      <c r="F1223" t="s">
        <v>9</v>
      </c>
      <c r="G1223">
        <v>3098</v>
      </c>
    </row>
    <row r="1224" spans="1:7" x14ac:dyDescent="0.25">
      <c r="A1224">
        <v>1140</v>
      </c>
      <c r="B1224">
        <v>51223</v>
      </c>
      <c r="C1224" s="2">
        <v>45224.452484161367</v>
      </c>
      <c r="D1224">
        <v>45</v>
      </c>
      <c r="E1224" t="s">
        <v>8</v>
      </c>
      <c r="F1224" t="s">
        <v>10</v>
      </c>
      <c r="G1224">
        <v>3443</v>
      </c>
    </row>
    <row r="1225" spans="1:7" x14ac:dyDescent="0.25">
      <c r="A1225">
        <v>1187</v>
      </c>
      <c r="B1225">
        <v>51224</v>
      </c>
      <c r="C1225" s="2">
        <v>45224.695898632868</v>
      </c>
      <c r="D1225">
        <v>43</v>
      </c>
      <c r="E1225" t="s">
        <v>8</v>
      </c>
      <c r="F1225" t="s">
        <v>12</v>
      </c>
      <c r="G1225">
        <v>4268</v>
      </c>
    </row>
    <row r="1226" spans="1:7" x14ac:dyDescent="0.25">
      <c r="A1226">
        <v>1061</v>
      </c>
      <c r="B1226">
        <v>51225</v>
      </c>
      <c r="C1226" s="2">
        <v>45224.939313104362</v>
      </c>
      <c r="D1226">
        <v>47</v>
      </c>
      <c r="E1226" t="s">
        <v>7</v>
      </c>
      <c r="F1226" t="s">
        <v>9</v>
      </c>
      <c r="G1226">
        <v>2531</v>
      </c>
    </row>
    <row r="1227" spans="1:7" x14ac:dyDescent="0.25">
      <c r="A1227">
        <v>1380</v>
      </c>
      <c r="B1227">
        <v>51226</v>
      </c>
      <c r="C1227" s="2">
        <v>45225.182727575862</v>
      </c>
      <c r="D1227">
        <v>30</v>
      </c>
      <c r="E1227" t="s">
        <v>8</v>
      </c>
      <c r="F1227" t="s">
        <v>12</v>
      </c>
      <c r="G1227">
        <v>4770</v>
      </c>
    </row>
    <row r="1228" spans="1:7" x14ac:dyDescent="0.25">
      <c r="A1228">
        <v>1440</v>
      </c>
      <c r="B1228">
        <v>51227</v>
      </c>
      <c r="C1228" s="2">
        <v>45225.426142047341</v>
      </c>
      <c r="D1228">
        <v>30</v>
      </c>
      <c r="E1228" t="s">
        <v>8</v>
      </c>
      <c r="F1228" t="s">
        <v>12</v>
      </c>
      <c r="G1228">
        <v>3885</v>
      </c>
    </row>
    <row r="1229" spans="1:7" x14ac:dyDescent="0.25">
      <c r="A1229">
        <v>1319</v>
      </c>
      <c r="B1229">
        <v>51228</v>
      </c>
      <c r="C1229" s="2">
        <v>45225.669556518827</v>
      </c>
      <c r="D1229">
        <v>19</v>
      </c>
      <c r="E1229" t="s">
        <v>7</v>
      </c>
      <c r="F1229" t="s">
        <v>10</v>
      </c>
      <c r="G1229">
        <v>831</v>
      </c>
    </row>
    <row r="1230" spans="1:7" x14ac:dyDescent="0.25">
      <c r="A1230">
        <v>1302</v>
      </c>
      <c r="B1230">
        <v>51229</v>
      </c>
      <c r="C1230" s="2">
        <v>45225.912970990321</v>
      </c>
      <c r="D1230">
        <v>54</v>
      </c>
      <c r="E1230" t="s">
        <v>8</v>
      </c>
      <c r="F1230" t="s">
        <v>9</v>
      </c>
      <c r="G1230">
        <v>4998</v>
      </c>
    </row>
    <row r="1231" spans="1:7" x14ac:dyDescent="0.25">
      <c r="A1231">
        <v>1344</v>
      </c>
      <c r="B1231">
        <v>51230</v>
      </c>
      <c r="C1231" s="2">
        <v>45226.156385461807</v>
      </c>
      <c r="D1231">
        <v>55</v>
      </c>
      <c r="E1231" t="s">
        <v>7</v>
      </c>
      <c r="F1231" t="s">
        <v>10</v>
      </c>
      <c r="G1231">
        <v>2656</v>
      </c>
    </row>
    <row r="1232" spans="1:7" x14ac:dyDescent="0.25">
      <c r="A1232">
        <v>1011</v>
      </c>
      <c r="B1232">
        <v>51231</v>
      </c>
      <c r="C1232" s="2">
        <v>45226.399799933308</v>
      </c>
      <c r="D1232">
        <v>19</v>
      </c>
      <c r="E1232" t="s">
        <v>7</v>
      </c>
      <c r="F1232" t="s">
        <v>11</v>
      </c>
      <c r="G1232">
        <v>1181</v>
      </c>
    </row>
    <row r="1233" spans="1:7" x14ac:dyDescent="0.25">
      <c r="A1233">
        <v>1062</v>
      </c>
      <c r="B1233">
        <v>51232</v>
      </c>
      <c r="C1233" s="2">
        <v>45226.643214404787</v>
      </c>
      <c r="D1233">
        <v>53</v>
      </c>
      <c r="E1233" t="s">
        <v>7</v>
      </c>
      <c r="F1233" t="s">
        <v>11</v>
      </c>
      <c r="G1233">
        <v>4854</v>
      </c>
    </row>
    <row r="1234" spans="1:7" x14ac:dyDescent="0.25">
      <c r="A1234">
        <v>1226</v>
      </c>
      <c r="B1234">
        <v>51233</v>
      </c>
      <c r="C1234" s="2">
        <v>45226.886628876287</v>
      </c>
      <c r="D1234">
        <v>43</v>
      </c>
      <c r="E1234" t="s">
        <v>8</v>
      </c>
      <c r="F1234" t="s">
        <v>9</v>
      </c>
      <c r="G1234">
        <v>4517</v>
      </c>
    </row>
    <row r="1235" spans="1:7" x14ac:dyDescent="0.25">
      <c r="A1235">
        <v>1153</v>
      </c>
      <c r="B1235">
        <v>51234</v>
      </c>
      <c r="C1235" s="2">
        <v>45227.130043347781</v>
      </c>
      <c r="D1235">
        <v>28</v>
      </c>
      <c r="E1235" t="s">
        <v>7</v>
      </c>
      <c r="F1235" t="s">
        <v>12</v>
      </c>
      <c r="G1235">
        <v>1756</v>
      </c>
    </row>
    <row r="1236" spans="1:7" x14ac:dyDescent="0.25">
      <c r="A1236">
        <v>1564</v>
      </c>
      <c r="B1236">
        <v>51235</v>
      </c>
      <c r="C1236" s="2">
        <v>45227.373457819267</v>
      </c>
      <c r="D1236">
        <v>25</v>
      </c>
      <c r="E1236" t="s">
        <v>7</v>
      </c>
      <c r="F1236" t="s">
        <v>9</v>
      </c>
      <c r="G1236">
        <v>2405</v>
      </c>
    </row>
    <row r="1237" spans="1:7" x14ac:dyDescent="0.25">
      <c r="A1237">
        <v>1571</v>
      </c>
      <c r="B1237">
        <v>51236</v>
      </c>
      <c r="C1237" s="2">
        <v>45227.616872290753</v>
      </c>
      <c r="D1237">
        <v>61</v>
      </c>
      <c r="E1237" t="s">
        <v>7</v>
      </c>
      <c r="F1237" t="s">
        <v>9</v>
      </c>
      <c r="G1237">
        <v>4643</v>
      </c>
    </row>
    <row r="1238" spans="1:7" x14ac:dyDescent="0.25">
      <c r="A1238">
        <v>1584</v>
      </c>
      <c r="B1238">
        <v>51237</v>
      </c>
      <c r="C1238" s="2">
        <v>45227.860286762247</v>
      </c>
      <c r="D1238">
        <v>57</v>
      </c>
      <c r="E1238" t="s">
        <v>7</v>
      </c>
      <c r="F1238" t="s">
        <v>11</v>
      </c>
      <c r="G1238">
        <v>4155</v>
      </c>
    </row>
    <row r="1239" spans="1:7" x14ac:dyDescent="0.25">
      <c r="A1239">
        <v>1575</v>
      </c>
      <c r="B1239">
        <v>51238</v>
      </c>
      <c r="C1239" s="2">
        <v>45228.10370123374</v>
      </c>
      <c r="D1239">
        <v>60</v>
      </c>
      <c r="E1239" t="s">
        <v>8</v>
      </c>
      <c r="F1239" t="s">
        <v>11</v>
      </c>
      <c r="G1239">
        <v>1121</v>
      </c>
    </row>
    <row r="1240" spans="1:7" x14ac:dyDescent="0.25">
      <c r="A1240">
        <v>1310</v>
      </c>
      <c r="B1240">
        <v>51239</v>
      </c>
      <c r="C1240" s="2">
        <v>45228.347115705234</v>
      </c>
      <c r="D1240">
        <v>39</v>
      </c>
      <c r="E1240" t="s">
        <v>7</v>
      </c>
      <c r="F1240" t="s">
        <v>12</v>
      </c>
      <c r="G1240">
        <v>604</v>
      </c>
    </row>
    <row r="1241" spans="1:7" x14ac:dyDescent="0.25">
      <c r="A1241">
        <v>1243</v>
      </c>
      <c r="B1241">
        <v>51240</v>
      </c>
      <c r="C1241" s="2">
        <v>45228.590530176727</v>
      </c>
      <c r="D1241">
        <v>37</v>
      </c>
      <c r="E1241" t="s">
        <v>8</v>
      </c>
      <c r="F1241" t="s">
        <v>12</v>
      </c>
      <c r="G1241">
        <v>4972</v>
      </c>
    </row>
    <row r="1242" spans="1:7" x14ac:dyDescent="0.25">
      <c r="A1242">
        <v>1493</v>
      </c>
      <c r="B1242">
        <v>51241</v>
      </c>
      <c r="C1242" s="2">
        <v>45228.833944648213</v>
      </c>
      <c r="D1242">
        <v>25</v>
      </c>
      <c r="E1242" t="s">
        <v>7</v>
      </c>
      <c r="F1242" t="s">
        <v>9</v>
      </c>
      <c r="G1242">
        <v>4884</v>
      </c>
    </row>
    <row r="1243" spans="1:7" x14ac:dyDescent="0.25">
      <c r="A1243">
        <v>1366</v>
      </c>
      <c r="B1243">
        <v>51242</v>
      </c>
      <c r="C1243" s="2">
        <v>45229.077359119699</v>
      </c>
      <c r="D1243">
        <v>46</v>
      </c>
      <c r="E1243" t="s">
        <v>8</v>
      </c>
      <c r="F1243" t="s">
        <v>10</v>
      </c>
      <c r="G1243">
        <v>1820</v>
      </c>
    </row>
    <row r="1244" spans="1:7" x14ac:dyDescent="0.25">
      <c r="A1244">
        <v>1330</v>
      </c>
      <c r="B1244">
        <v>51243</v>
      </c>
      <c r="C1244" s="2">
        <v>45229.320773591193</v>
      </c>
      <c r="D1244">
        <v>57</v>
      </c>
      <c r="E1244" t="s">
        <v>7</v>
      </c>
      <c r="F1244" t="s">
        <v>9</v>
      </c>
      <c r="G1244">
        <v>3152</v>
      </c>
    </row>
    <row r="1245" spans="1:7" x14ac:dyDescent="0.25">
      <c r="A1245">
        <v>1107</v>
      </c>
      <c r="B1245">
        <v>51244</v>
      </c>
      <c r="C1245" s="2">
        <v>45229.564188062694</v>
      </c>
      <c r="D1245">
        <v>43</v>
      </c>
      <c r="E1245" t="s">
        <v>8</v>
      </c>
      <c r="F1245" t="s">
        <v>12</v>
      </c>
      <c r="G1245">
        <v>3318</v>
      </c>
    </row>
    <row r="1246" spans="1:7" x14ac:dyDescent="0.25">
      <c r="A1246">
        <v>1226</v>
      </c>
      <c r="B1246">
        <v>51245</v>
      </c>
      <c r="C1246" s="2">
        <v>45229.807602534172</v>
      </c>
      <c r="D1246">
        <v>47</v>
      </c>
      <c r="E1246" t="s">
        <v>7</v>
      </c>
      <c r="F1246" t="s">
        <v>10</v>
      </c>
      <c r="G1246">
        <v>1794</v>
      </c>
    </row>
    <row r="1247" spans="1:7" x14ac:dyDescent="0.25">
      <c r="A1247">
        <v>1218</v>
      </c>
      <c r="B1247">
        <v>51246</v>
      </c>
      <c r="C1247" s="2">
        <v>45230.051017005659</v>
      </c>
      <c r="D1247">
        <v>34</v>
      </c>
      <c r="E1247" t="s">
        <v>8</v>
      </c>
      <c r="F1247" t="s">
        <v>11</v>
      </c>
      <c r="G1247">
        <v>765</v>
      </c>
    </row>
    <row r="1248" spans="1:7" x14ac:dyDescent="0.25">
      <c r="A1248">
        <v>1506</v>
      </c>
      <c r="B1248">
        <v>51247</v>
      </c>
      <c r="C1248" s="2">
        <v>45230.294431477152</v>
      </c>
      <c r="D1248">
        <v>37</v>
      </c>
      <c r="E1248" t="s">
        <v>8</v>
      </c>
      <c r="F1248" t="s">
        <v>12</v>
      </c>
      <c r="G1248">
        <v>4999</v>
      </c>
    </row>
    <row r="1249" spans="1:7" x14ac:dyDescent="0.25">
      <c r="A1249">
        <v>1259</v>
      </c>
      <c r="B1249">
        <v>51248</v>
      </c>
      <c r="C1249" s="2">
        <v>45230.537845948653</v>
      </c>
      <c r="D1249">
        <v>33</v>
      </c>
      <c r="E1249" t="s">
        <v>8</v>
      </c>
      <c r="F1249" t="s">
        <v>12</v>
      </c>
      <c r="G1249">
        <v>3068</v>
      </c>
    </row>
    <row r="1250" spans="1:7" x14ac:dyDescent="0.25">
      <c r="A1250">
        <v>1517</v>
      </c>
      <c r="B1250">
        <v>51249</v>
      </c>
      <c r="C1250" s="2">
        <v>45230.781260420139</v>
      </c>
      <c r="D1250">
        <v>63</v>
      </c>
      <c r="E1250" t="s">
        <v>7</v>
      </c>
      <c r="F1250" t="s">
        <v>10</v>
      </c>
      <c r="G1250">
        <v>1057</v>
      </c>
    </row>
    <row r="1251" spans="1:7" x14ac:dyDescent="0.25">
      <c r="A1251">
        <v>1054</v>
      </c>
      <c r="B1251">
        <v>51250</v>
      </c>
      <c r="C1251" s="2">
        <v>45231.024674891618</v>
      </c>
      <c r="D1251">
        <v>60</v>
      </c>
      <c r="E1251" t="s">
        <v>8</v>
      </c>
      <c r="F1251" t="s">
        <v>12</v>
      </c>
      <c r="G1251">
        <v>1484</v>
      </c>
    </row>
    <row r="1252" spans="1:7" x14ac:dyDescent="0.25">
      <c r="A1252">
        <v>1047</v>
      </c>
      <c r="B1252">
        <v>51251</v>
      </c>
      <c r="C1252" s="2">
        <v>45231.268089363111</v>
      </c>
      <c r="D1252">
        <v>24</v>
      </c>
      <c r="E1252" t="s">
        <v>8</v>
      </c>
      <c r="F1252" t="s">
        <v>12</v>
      </c>
      <c r="G1252">
        <v>784</v>
      </c>
    </row>
    <row r="1253" spans="1:7" x14ac:dyDescent="0.25">
      <c r="A1253">
        <v>1521</v>
      </c>
      <c r="B1253">
        <v>51252</v>
      </c>
      <c r="C1253" s="2">
        <v>45231.511503834598</v>
      </c>
      <c r="D1253">
        <v>33</v>
      </c>
      <c r="E1253" t="s">
        <v>8</v>
      </c>
      <c r="F1253" t="s">
        <v>12</v>
      </c>
      <c r="G1253">
        <v>4527</v>
      </c>
    </row>
    <row r="1254" spans="1:7" x14ac:dyDescent="0.25">
      <c r="A1254">
        <v>1099</v>
      </c>
      <c r="B1254">
        <v>51253</v>
      </c>
      <c r="C1254" s="2">
        <v>45231.754918306098</v>
      </c>
      <c r="D1254">
        <v>62</v>
      </c>
      <c r="E1254" t="s">
        <v>8</v>
      </c>
      <c r="F1254" t="s">
        <v>12</v>
      </c>
      <c r="G1254">
        <v>1445</v>
      </c>
    </row>
    <row r="1255" spans="1:7" x14ac:dyDescent="0.25">
      <c r="A1255">
        <v>1020</v>
      </c>
      <c r="B1255">
        <v>51254</v>
      </c>
      <c r="C1255" s="2">
        <v>45231.998332777577</v>
      </c>
      <c r="D1255">
        <v>64</v>
      </c>
      <c r="E1255" t="s">
        <v>7</v>
      </c>
      <c r="F1255" t="s">
        <v>12</v>
      </c>
      <c r="G1255">
        <v>251</v>
      </c>
    </row>
    <row r="1256" spans="1:7" x14ac:dyDescent="0.25">
      <c r="A1256">
        <v>1573</v>
      </c>
      <c r="B1256">
        <v>51255</v>
      </c>
      <c r="C1256" s="2">
        <v>45232.241747249071</v>
      </c>
      <c r="D1256">
        <v>44</v>
      </c>
      <c r="E1256" t="s">
        <v>8</v>
      </c>
      <c r="F1256" t="s">
        <v>12</v>
      </c>
      <c r="G1256">
        <v>2363</v>
      </c>
    </row>
    <row r="1257" spans="1:7" x14ac:dyDescent="0.25">
      <c r="A1257">
        <v>1490</v>
      </c>
      <c r="B1257">
        <v>51256</v>
      </c>
      <c r="C1257" s="2">
        <v>45232.485161720557</v>
      </c>
      <c r="D1257">
        <v>40</v>
      </c>
      <c r="E1257" t="s">
        <v>8</v>
      </c>
      <c r="F1257" t="s">
        <v>12</v>
      </c>
      <c r="G1257">
        <v>737</v>
      </c>
    </row>
    <row r="1258" spans="1:7" x14ac:dyDescent="0.25">
      <c r="A1258">
        <v>1419</v>
      </c>
      <c r="B1258">
        <v>51257</v>
      </c>
      <c r="C1258" s="2">
        <v>45232.728576192058</v>
      </c>
      <c r="D1258">
        <v>41</v>
      </c>
      <c r="E1258" t="s">
        <v>8</v>
      </c>
      <c r="F1258" t="s">
        <v>12</v>
      </c>
      <c r="G1258">
        <v>740</v>
      </c>
    </row>
    <row r="1259" spans="1:7" x14ac:dyDescent="0.25">
      <c r="A1259">
        <v>1062</v>
      </c>
      <c r="B1259">
        <v>51258</v>
      </c>
      <c r="C1259" s="2">
        <v>45232.971990663551</v>
      </c>
      <c r="D1259">
        <v>26</v>
      </c>
      <c r="E1259" t="s">
        <v>7</v>
      </c>
      <c r="F1259" t="s">
        <v>11</v>
      </c>
      <c r="G1259">
        <v>1014</v>
      </c>
    </row>
    <row r="1260" spans="1:7" x14ac:dyDescent="0.25">
      <c r="A1260">
        <v>1145</v>
      </c>
      <c r="B1260">
        <v>51259</v>
      </c>
      <c r="C1260" s="2">
        <v>45233.215405135037</v>
      </c>
      <c r="D1260">
        <v>52</v>
      </c>
      <c r="E1260" t="s">
        <v>8</v>
      </c>
      <c r="F1260" t="s">
        <v>12</v>
      </c>
      <c r="G1260">
        <v>1615</v>
      </c>
    </row>
    <row r="1261" spans="1:7" x14ac:dyDescent="0.25">
      <c r="A1261">
        <v>1216</v>
      </c>
      <c r="B1261">
        <v>51260</v>
      </c>
      <c r="C1261" s="2">
        <v>45233.458819606531</v>
      </c>
      <c r="D1261">
        <v>37</v>
      </c>
      <c r="E1261" t="s">
        <v>8</v>
      </c>
      <c r="F1261" t="s">
        <v>11</v>
      </c>
      <c r="G1261">
        <v>3038</v>
      </c>
    </row>
    <row r="1262" spans="1:7" x14ac:dyDescent="0.25">
      <c r="A1262">
        <v>1003</v>
      </c>
      <c r="B1262">
        <v>51261</v>
      </c>
      <c r="C1262" s="2">
        <v>45233.702234078017</v>
      </c>
      <c r="D1262">
        <v>54</v>
      </c>
      <c r="E1262" t="s">
        <v>8</v>
      </c>
      <c r="F1262" t="s">
        <v>11</v>
      </c>
      <c r="G1262">
        <v>1852</v>
      </c>
    </row>
    <row r="1263" spans="1:7" x14ac:dyDescent="0.25">
      <c r="A1263">
        <v>1160</v>
      </c>
      <c r="B1263">
        <v>51262</v>
      </c>
      <c r="C1263" s="2">
        <v>45233.945648549518</v>
      </c>
      <c r="D1263">
        <v>59</v>
      </c>
      <c r="E1263" t="s">
        <v>8</v>
      </c>
      <c r="F1263" t="s">
        <v>9</v>
      </c>
      <c r="G1263">
        <v>2865</v>
      </c>
    </row>
    <row r="1264" spans="1:7" x14ac:dyDescent="0.25">
      <c r="A1264">
        <v>1120</v>
      </c>
      <c r="B1264">
        <v>51263</v>
      </c>
      <c r="C1264" s="2">
        <v>45234.189063020996</v>
      </c>
      <c r="D1264">
        <v>34</v>
      </c>
      <c r="E1264" t="s">
        <v>7</v>
      </c>
      <c r="F1264" t="s">
        <v>9</v>
      </c>
      <c r="G1264">
        <v>4714</v>
      </c>
    </row>
    <row r="1265" spans="1:7" x14ac:dyDescent="0.25">
      <c r="A1265">
        <v>1089</v>
      </c>
      <c r="B1265">
        <v>51264</v>
      </c>
      <c r="C1265" s="2">
        <v>45234.43247749249</v>
      </c>
      <c r="D1265">
        <v>64</v>
      </c>
      <c r="E1265" t="s">
        <v>8</v>
      </c>
      <c r="F1265" t="s">
        <v>11</v>
      </c>
      <c r="G1265">
        <v>4262</v>
      </c>
    </row>
    <row r="1266" spans="1:7" x14ac:dyDescent="0.25">
      <c r="A1266">
        <v>1329</v>
      </c>
      <c r="B1266">
        <v>51265</v>
      </c>
      <c r="C1266" s="2">
        <v>45234.675891963983</v>
      </c>
      <c r="D1266">
        <v>48</v>
      </c>
      <c r="E1266" t="s">
        <v>8</v>
      </c>
      <c r="F1266" t="s">
        <v>11</v>
      </c>
      <c r="G1266">
        <v>2556</v>
      </c>
    </row>
    <row r="1267" spans="1:7" x14ac:dyDescent="0.25">
      <c r="A1267">
        <v>1580</v>
      </c>
      <c r="B1267">
        <v>51266</v>
      </c>
      <c r="C1267" s="2">
        <v>45234.919306435477</v>
      </c>
      <c r="D1267">
        <v>25</v>
      </c>
      <c r="E1267" t="s">
        <v>7</v>
      </c>
      <c r="F1267" t="s">
        <v>12</v>
      </c>
      <c r="G1267">
        <v>4010</v>
      </c>
    </row>
    <row r="1268" spans="1:7" x14ac:dyDescent="0.25">
      <c r="A1268">
        <v>1357</v>
      </c>
      <c r="B1268">
        <v>51267</v>
      </c>
      <c r="C1268" s="2">
        <v>45235.16272090697</v>
      </c>
      <c r="D1268">
        <v>32</v>
      </c>
      <c r="E1268" t="s">
        <v>7</v>
      </c>
      <c r="F1268" t="s">
        <v>9</v>
      </c>
      <c r="G1268">
        <v>1063</v>
      </c>
    </row>
    <row r="1269" spans="1:7" x14ac:dyDescent="0.25">
      <c r="A1269">
        <v>1267</v>
      </c>
      <c r="B1269">
        <v>51268</v>
      </c>
      <c r="C1269" s="2">
        <v>45235.406135378449</v>
      </c>
      <c r="D1269">
        <v>48</v>
      </c>
      <c r="E1269" t="s">
        <v>7</v>
      </c>
      <c r="F1269" t="s">
        <v>10</v>
      </c>
      <c r="G1269">
        <v>385</v>
      </c>
    </row>
    <row r="1270" spans="1:7" x14ac:dyDescent="0.25">
      <c r="A1270">
        <v>1323</v>
      </c>
      <c r="B1270">
        <v>51269</v>
      </c>
      <c r="C1270" s="2">
        <v>45235.649549849943</v>
      </c>
      <c r="D1270">
        <v>47</v>
      </c>
      <c r="E1270" t="s">
        <v>8</v>
      </c>
      <c r="F1270" t="s">
        <v>9</v>
      </c>
      <c r="G1270">
        <v>4556</v>
      </c>
    </row>
    <row r="1271" spans="1:7" x14ac:dyDescent="0.25">
      <c r="A1271">
        <v>1541</v>
      </c>
      <c r="B1271">
        <v>51270</v>
      </c>
      <c r="C1271" s="2">
        <v>45235.892964321443</v>
      </c>
      <c r="D1271">
        <v>63</v>
      </c>
      <c r="E1271" t="s">
        <v>7</v>
      </c>
      <c r="F1271" t="s">
        <v>11</v>
      </c>
      <c r="G1271">
        <v>1751</v>
      </c>
    </row>
    <row r="1272" spans="1:7" x14ac:dyDescent="0.25">
      <c r="A1272">
        <v>1195</v>
      </c>
      <c r="B1272">
        <v>51271</v>
      </c>
      <c r="C1272" s="2">
        <v>45236.136378792929</v>
      </c>
      <c r="D1272">
        <v>37</v>
      </c>
      <c r="E1272" t="s">
        <v>8</v>
      </c>
      <c r="F1272" t="s">
        <v>11</v>
      </c>
      <c r="G1272">
        <v>2407</v>
      </c>
    </row>
    <row r="1273" spans="1:7" x14ac:dyDescent="0.25">
      <c r="A1273">
        <v>1332</v>
      </c>
      <c r="B1273">
        <v>51272</v>
      </c>
      <c r="C1273" s="2">
        <v>45236.379793264423</v>
      </c>
      <c r="D1273">
        <v>56</v>
      </c>
      <c r="E1273" t="s">
        <v>7</v>
      </c>
      <c r="F1273" t="s">
        <v>12</v>
      </c>
      <c r="G1273">
        <v>961</v>
      </c>
    </row>
    <row r="1274" spans="1:7" x14ac:dyDescent="0.25">
      <c r="A1274">
        <v>1170</v>
      </c>
      <c r="B1274">
        <v>51273</v>
      </c>
      <c r="C1274" s="2">
        <v>45236.623207735902</v>
      </c>
      <c r="D1274">
        <v>29</v>
      </c>
      <c r="E1274" t="s">
        <v>8</v>
      </c>
      <c r="F1274" t="s">
        <v>12</v>
      </c>
      <c r="G1274">
        <v>4519</v>
      </c>
    </row>
    <row r="1275" spans="1:7" x14ac:dyDescent="0.25">
      <c r="A1275">
        <v>1521</v>
      </c>
      <c r="B1275">
        <v>51274</v>
      </c>
      <c r="C1275" s="2">
        <v>45236.866622207403</v>
      </c>
      <c r="D1275">
        <v>34</v>
      </c>
      <c r="E1275" t="s">
        <v>7</v>
      </c>
      <c r="F1275" t="s">
        <v>9</v>
      </c>
      <c r="G1275">
        <v>1479</v>
      </c>
    </row>
    <row r="1276" spans="1:7" x14ac:dyDescent="0.25">
      <c r="A1276">
        <v>1463</v>
      </c>
      <c r="B1276">
        <v>51275</v>
      </c>
      <c r="C1276" s="2">
        <v>45237.110036678889</v>
      </c>
      <c r="D1276">
        <v>59</v>
      </c>
      <c r="E1276" t="s">
        <v>8</v>
      </c>
      <c r="F1276" t="s">
        <v>12</v>
      </c>
      <c r="G1276">
        <v>4475</v>
      </c>
    </row>
    <row r="1277" spans="1:7" x14ac:dyDescent="0.25">
      <c r="A1277">
        <v>1040</v>
      </c>
      <c r="B1277">
        <v>51276</v>
      </c>
      <c r="C1277" s="2">
        <v>45237.353451150382</v>
      </c>
      <c r="D1277">
        <v>47</v>
      </c>
      <c r="E1277" t="s">
        <v>7</v>
      </c>
      <c r="F1277" t="s">
        <v>10</v>
      </c>
      <c r="G1277">
        <v>4927</v>
      </c>
    </row>
    <row r="1278" spans="1:7" x14ac:dyDescent="0.25">
      <c r="A1278">
        <v>1537</v>
      </c>
      <c r="B1278">
        <v>51277</v>
      </c>
      <c r="C1278" s="2">
        <v>45237.596865621861</v>
      </c>
      <c r="D1278">
        <v>46</v>
      </c>
      <c r="E1278" t="s">
        <v>8</v>
      </c>
      <c r="F1278" t="s">
        <v>10</v>
      </c>
      <c r="G1278">
        <v>3894</v>
      </c>
    </row>
    <row r="1279" spans="1:7" x14ac:dyDescent="0.25">
      <c r="A1279">
        <v>1261</v>
      </c>
      <c r="B1279">
        <v>51278</v>
      </c>
      <c r="C1279" s="2">
        <v>45237.840280093347</v>
      </c>
      <c r="D1279">
        <v>36</v>
      </c>
      <c r="E1279" t="s">
        <v>8</v>
      </c>
      <c r="F1279" t="s">
        <v>12</v>
      </c>
      <c r="G1279">
        <v>3481</v>
      </c>
    </row>
    <row r="1280" spans="1:7" x14ac:dyDescent="0.25">
      <c r="A1280">
        <v>1395</v>
      </c>
      <c r="B1280">
        <v>51279</v>
      </c>
      <c r="C1280" s="2">
        <v>45238.083694564848</v>
      </c>
      <c r="D1280">
        <v>63</v>
      </c>
      <c r="E1280" t="s">
        <v>8</v>
      </c>
      <c r="F1280" t="s">
        <v>10</v>
      </c>
      <c r="G1280">
        <v>1736</v>
      </c>
    </row>
    <row r="1281" spans="1:7" x14ac:dyDescent="0.25">
      <c r="A1281">
        <v>1226</v>
      </c>
      <c r="B1281">
        <v>51280</v>
      </c>
      <c r="C1281" s="2">
        <v>45238.327109036341</v>
      </c>
      <c r="D1281">
        <v>28</v>
      </c>
      <c r="E1281" t="s">
        <v>8</v>
      </c>
      <c r="F1281" t="s">
        <v>10</v>
      </c>
      <c r="G1281">
        <v>3364</v>
      </c>
    </row>
    <row r="1282" spans="1:7" x14ac:dyDescent="0.25">
      <c r="A1282">
        <v>1124</v>
      </c>
      <c r="B1282">
        <v>51281</v>
      </c>
      <c r="C1282" s="2">
        <v>45238.570523507828</v>
      </c>
      <c r="D1282">
        <v>51</v>
      </c>
      <c r="E1282" t="s">
        <v>8</v>
      </c>
      <c r="F1282" t="s">
        <v>9</v>
      </c>
      <c r="G1282">
        <v>2970</v>
      </c>
    </row>
    <row r="1283" spans="1:7" x14ac:dyDescent="0.25">
      <c r="A1283">
        <v>1038</v>
      </c>
      <c r="B1283">
        <v>51282</v>
      </c>
      <c r="C1283" s="2">
        <v>45238.813937979307</v>
      </c>
      <c r="D1283">
        <v>24</v>
      </c>
      <c r="E1283" t="s">
        <v>8</v>
      </c>
      <c r="F1283" t="s">
        <v>10</v>
      </c>
      <c r="G1283">
        <v>2163</v>
      </c>
    </row>
    <row r="1284" spans="1:7" x14ac:dyDescent="0.25">
      <c r="A1284">
        <v>1328</v>
      </c>
      <c r="B1284">
        <v>51283</v>
      </c>
      <c r="C1284" s="2">
        <v>45239.057352450807</v>
      </c>
      <c r="D1284">
        <v>61</v>
      </c>
      <c r="E1284" t="s">
        <v>8</v>
      </c>
      <c r="F1284" t="s">
        <v>11</v>
      </c>
      <c r="G1284">
        <v>4045</v>
      </c>
    </row>
    <row r="1285" spans="1:7" x14ac:dyDescent="0.25">
      <c r="A1285">
        <v>1251</v>
      </c>
      <c r="B1285">
        <v>51284</v>
      </c>
      <c r="C1285" s="2">
        <v>45239.300766922301</v>
      </c>
      <c r="D1285">
        <v>51</v>
      </c>
      <c r="E1285" t="s">
        <v>8</v>
      </c>
      <c r="F1285" t="s">
        <v>11</v>
      </c>
      <c r="G1285">
        <v>3635</v>
      </c>
    </row>
    <row r="1286" spans="1:7" x14ac:dyDescent="0.25">
      <c r="A1286">
        <v>1176</v>
      </c>
      <c r="B1286">
        <v>51285</v>
      </c>
      <c r="C1286" s="2">
        <v>45239.544181393787</v>
      </c>
      <c r="D1286">
        <v>37</v>
      </c>
      <c r="E1286" t="s">
        <v>7</v>
      </c>
      <c r="F1286" t="s">
        <v>9</v>
      </c>
      <c r="G1286">
        <v>4910</v>
      </c>
    </row>
    <row r="1287" spans="1:7" x14ac:dyDescent="0.25">
      <c r="A1287">
        <v>1454</v>
      </c>
      <c r="B1287">
        <v>51286</v>
      </c>
      <c r="C1287" s="2">
        <v>45239.78759586528</v>
      </c>
      <c r="D1287">
        <v>55</v>
      </c>
      <c r="E1287" t="s">
        <v>8</v>
      </c>
      <c r="F1287" t="s">
        <v>12</v>
      </c>
      <c r="G1287">
        <v>761</v>
      </c>
    </row>
    <row r="1288" spans="1:7" x14ac:dyDescent="0.25">
      <c r="A1288">
        <v>1037</v>
      </c>
      <c r="B1288">
        <v>51287</v>
      </c>
      <c r="C1288" s="2">
        <v>45240.031010336766</v>
      </c>
      <c r="D1288">
        <v>41</v>
      </c>
      <c r="E1288" t="s">
        <v>8</v>
      </c>
      <c r="F1288" t="s">
        <v>9</v>
      </c>
      <c r="G1288">
        <v>2621</v>
      </c>
    </row>
    <row r="1289" spans="1:7" x14ac:dyDescent="0.25">
      <c r="A1289">
        <v>1316</v>
      </c>
      <c r="B1289">
        <v>51288</v>
      </c>
      <c r="C1289" s="2">
        <v>45240.274424808267</v>
      </c>
      <c r="D1289">
        <v>27</v>
      </c>
      <c r="E1289" t="s">
        <v>7</v>
      </c>
      <c r="F1289" t="s">
        <v>12</v>
      </c>
      <c r="G1289">
        <v>4917</v>
      </c>
    </row>
    <row r="1290" spans="1:7" x14ac:dyDescent="0.25">
      <c r="A1290">
        <v>1593</v>
      </c>
      <c r="B1290">
        <v>51289</v>
      </c>
      <c r="C1290" s="2">
        <v>45240.517839279753</v>
      </c>
      <c r="D1290">
        <v>49</v>
      </c>
      <c r="E1290" t="s">
        <v>8</v>
      </c>
      <c r="F1290" t="s">
        <v>12</v>
      </c>
      <c r="G1290">
        <v>2335</v>
      </c>
    </row>
    <row r="1291" spans="1:7" x14ac:dyDescent="0.25">
      <c r="A1291">
        <v>1114</v>
      </c>
      <c r="B1291">
        <v>51290</v>
      </c>
      <c r="C1291" s="2">
        <v>45240.761253751247</v>
      </c>
      <c r="D1291">
        <v>32</v>
      </c>
      <c r="E1291" t="s">
        <v>7</v>
      </c>
      <c r="F1291" t="s">
        <v>12</v>
      </c>
      <c r="G1291">
        <v>2261</v>
      </c>
    </row>
    <row r="1292" spans="1:7" x14ac:dyDescent="0.25">
      <c r="A1292">
        <v>1040</v>
      </c>
      <c r="B1292">
        <v>51291</v>
      </c>
      <c r="C1292" s="2">
        <v>45241.004668222733</v>
      </c>
      <c r="D1292">
        <v>54</v>
      </c>
      <c r="E1292" t="s">
        <v>8</v>
      </c>
      <c r="F1292" t="s">
        <v>12</v>
      </c>
      <c r="G1292">
        <v>2380</v>
      </c>
    </row>
    <row r="1293" spans="1:7" x14ac:dyDescent="0.25">
      <c r="A1293">
        <v>1301</v>
      </c>
      <c r="B1293">
        <v>51292</v>
      </c>
      <c r="C1293" s="2">
        <v>45241.248082694226</v>
      </c>
      <c r="D1293">
        <v>37</v>
      </c>
      <c r="E1293" t="s">
        <v>7</v>
      </c>
      <c r="F1293" t="s">
        <v>12</v>
      </c>
      <c r="G1293">
        <v>2160</v>
      </c>
    </row>
    <row r="1294" spans="1:7" x14ac:dyDescent="0.25">
      <c r="A1294">
        <v>1224</v>
      </c>
      <c r="B1294">
        <v>51293</v>
      </c>
      <c r="C1294" s="2">
        <v>45241.49149716572</v>
      </c>
      <c r="D1294">
        <v>20</v>
      </c>
      <c r="E1294" t="s">
        <v>7</v>
      </c>
      <c r="F1294" t="s">
        <v>9</v>
      </c>
      <c r="G1294">
        <v>4079</v>
      </c>
    </row>
    <row r="1295" spans="1:7" x14ac:dyDescent="0.25">
      <c r="A1295">
        <v>1318</v>
      </c>
      <c r="B1295">
        <v>51294</v>
      </c>
      <c r="C1295" s="2">
        <v>45241.734911637213</v>
      </c>
      <c r="D1295">
        <v>54</v>
      </c>
      <c r="E1295" t="s">
        <v>8</v>
      </c>
      <c r="F1295" t="s">
        <v>12</v>
      </c>
      <c r="G1295">
        <v>3479</v>
      </c>
    </row>
    <row r="1296" spans="1:7" x14ac:dyDescent="0.25">
      <c r="A1296">
        <v>1349</v>
      </c>
      <c r="B1296">
        <v>51295</v>
      </c>
      <c r="C1296" s="2">
        <v>45241.978326108692</v>
      </c>
      <c r="D1296">
        <v>57</v>
      </c>
      <c r="E1296" t="s">
        <v>7</v>
      </c>
      <c r="F1296" t="s">
        <v>10</v>
      </c>
      <c r="G1296">
        <v>4084</v>
      </c>
    </row>
    <row r="1297" spans="1:7" x14ac:dyDescent="0.25">
      <c r="A1297">
        <v>1115</v>
      </c>
      <c r="B1297">
        <v>51296</v>
      </c>
      <c r="C1297" s="2">
        <v>45242.221740580193</v>
      </c>
      <c r="D1297">
        <v>25</v>
      </c>
      <c r="E1297" t="s">
        <v>8</v>
      </c>
      <c r="F1297" t="s">
        <v>10</v>
      </c>
      <c r="G1297">
        <v>3470</v>
      </c>
    </row>
    <row r="1298" spans="1:7" x14ac:dyDescent="0.25">
      <c r="A1298">
        <v>1323</v>
      </c>
      <c r="B1298">
        <v>51297</v>
      </c>
      <c r="C1298" s="2">
        <v>45242.465155051679</v>
      </c>
      <c r="D1298">
        <v>57</v>
      </c>
      <c r="E1298" t="s">
        <v>8</v>
      </c>
      <c r="F1298" t="s">
        <v>12</v>
      </c>
      <c r="G1298">
        <v>4887</v>
      </c>
    </row>
    <row r="1299" spans="1:7" x14ac:dyDescent="0.25">
      <c r="A1299">
        <v>1568</v>
      </c>
      <c r="B1299">
        <v>51298</v>
      </c>
      <c r="C1299" s="2">
        <v>45242.708569523173</v>
      </c>
      <c r="D1299">
        <v>61</v>
      </c>
      <c r="E1299" t="s">
        <v>8</v>
      </c>
      <c r="F1299" t="s">
        <v>10</v>
      </c>
      <c r="G1299">
        <v>782</v>
      </c>
    </row>
    <row r="1300" spans="1:7" x14ac:dyDescent="0.25">
      <c r="A1300">
        <v>1040</v>
      </c>
      <c r="B1300">
        <v>51299</v>
      </c>
      <c r="C1300" s="2">
        <v>45242.951983994673</v>
      </c>
      <c r="D1300">
        <v>40</v>
      </c>
      <c r="E1300" t="s">
        <v>8</v>
      </c>
      <c r="F1300" t="s">
        <v>11</v>
      </c>
      <c r="G1300">
        <v>1813</v>
      </c>
    </row>
    <row r="1301" spans="1:7" x14ac:dyDescent="0.25">
      <c r="A1301">
        <v>1040</v>
      </c>
      <c r="B1301">
        <v>51300</v>
      </c>
      <c r="C1301" s="2">
        <v>45243.195398466138</v>
      </c>
      <c r="D1301">
        <v>57</v>
      </c>
      <c r="E1301" t="s">
        <v>7</v>
      </c>
      <c r="F1301" t="s">
        <v>9</v>
      </c>
      <c r="G1301">
        <v>1301</v>
      </c>
    </row>
    <row r="1302" spans="1:7" x14ac:dyDescent="0.25">
      <c r="A1302">
        <v>1289</v>
      </c>
      <c r="B1302">
        <v>51301</v>
      </c>
      <c r="C1302" s="2">
        <v>45243.438812937638</v>
      </c>
      <c r="D1302">
        <v>28</v>
      </c>
      <c r="E1302" t="s">
        <v>8</v>
      </c>
      <c r="F1302" t="s">
        <v>9</v>
      </c>
      <c r="G1302">
        <v>488</v>
      </c>
    </row>
    <row r="1303" spans="1:7" x14ac:dyDescent="0.25">
      <c r="A1303">
        <v>1262</v>
      </c>
      <c r="B1303">
        <v>51302</v>
      </c>
      <c r="C1303" s="2">
        <v>45243.682227409132</v>
      </c>
      <c r="D1303">
        <v>63</v>
      </c>
      <c r="E1303" t="s">
        <v>7</v>
      </c>
      <c r="F1303" t="s">
        <v>12</v>
      </c>
      <c r="G1303">
        <v>4059</v>
      </c>
    </row>
    <row r="1304" spans="1:7" x14ac:dyDescent="0.25">
      <c r="A1304">
        <v>1216</v>
      </c>
      <c r="B1304">
        <v>51303</v>
      </c>
      <c r="C1304" s="2">
        <v>45243.925641880633</v>
      </c>
      <c r="D1304">
        <v>25</v>
      </c>
      <c r="E1304" t="s">
        <v>7</v>
      </c>
      <c r="F1304" t="s">
        <v>12</v>
      </c>
      <c r="G1304">
        <v>3260</v>
      </c>
    </row>
    <row r="1305" spans="1:7" x14ac:dyDescent="0.25">
      <c r="A1305">
        <v>1147</v>
      </c>
      <c r="B1305">
        <v>51304</v>
      </c>
      <c r="C1305" s="2">
        <v>45244.169056352097</v>
      </c>
      <c r="D1305">
        <v>46</v>
      </c>
      <c r="E1305" t="s">
        <v>8</v>
      </c>
      <c r="F1305" t="s">
        <v>11</v>
      </c>
      <c r="G1305">
        <v>3126</v>
      </c>
    </row>
    <row r="1306" spans="1:7" x14ac:dyDescent="0.25">
      <c r="A1306">
        <v>1336</v>
      </c>
      <c r="B1306">
        <v>51305</v>
      </c>
      <c r="C1306" s="2">
        <v>45244.412470823598</v>
      </c>
      <c r="D1306">
        <v>47</v>
      </c>
      <c r="E1306" t="s">
        <v>8</v>
      </c>
      <c r="F1306" t="s">
        <v>12</v>
      </c>
      <c r="G1306">
        <v>4302</v>
      </c>
    </row>
    <row r="1307" spans="1:7" x14ac:dyDescent="0.25">
      <c r="A1307">
        <v>1168</v>
      </c>
      <c r="B1307">
        <v>51306</v>
      </c>
      <c r="C1307" s="2">
        <v>45244.655885295091</v>
      </c>
      <c r="D1307">
        <v>27</v>
      </c>
      <c r="E1307" t="s">
        <v>8</v>
      </c>
      <c r="F1307" t="s">
        <v>10</v>
      </c>
      <c r="G1307">
        <v>1383</v>
      </c>
    </row>
    <row r="1308" spans="1:7" x14ac:dyDescent="0.25">
      <c r="A1308">
        <v>1092</v>
      </c>
      <c r="B1308">
        <v>51307</v>
      </c>
      <c r="C1308" s="2">
        <v>45244.899299766577</v>
      </c>
      <c r="D1308">
        <v>56</v>
      </c>
      <c r="E1308" t="s">
        <v>8</v>
      </c>
      <c r="F1308" t="s">
        <v>11</v>
      </c>
      <c r="G1308">
        <v>4535</v>
      </c>
    </row>
    <row r="1309" spans="1:7" x14ac:dyDescent="0.25">
      <c r="A1309">
        <v>1353</v>
      </c>
      <c r="B1309">
        <v>51308</v>
      </c>
      <c r="C1309" s="2">
        <v>45245.142714238078</v>
      </c>
      <c r="D1309">
        <v>45</v>
      </c>
      <c r="E1309" t="s">
        <v>7</v>
      </c>
      <c r="F1309" t="s">
        <v>10</v>
      </c>
      <c r="G1309">
        <v>1646</v>
      </c>
    </row>
    <row r="1310" spans="1:7" x14ac:dyDescent="0.25">
      <c r="A1310">
        <v>1571</v>
      </c>
      <c r="B1310">
        <v>51309</v>
      </c>
      <c r="C1310" s="2">
        <v>45245.386128709557</v>
      </c>
      <c r="D1310">
        <v>53</v>
      </c>
      <c r="E1310" t="s">
        <v>8</v>
      </c>
      <c r="F1310" t="s">
        <v>9</v>
      </c>
      <c r="G1310">
        <v>1949</v>
      </c>
    </row>
    <row r="1311" spans="1:7" x14ac:dyDescent="0.25">
      <c r="A1311">
        <v>1571</v>
      </c>
      <c r="B1311">
        <v>51310</v>
      </c>
      <c r="C1311" s="2">
        <v>45245.62954318105</v>
      </c>
      <c r="D1311">
        <v>30</v>
      </c>
      <c r="E1311" t="s">
        <v>7</v>
      </c>
      <c r="F1311" t="s">
        <v>10</v>
      </c>
      <c r="G1311">
        <v>2103</v>
      </c>
    </row>
    <row r="1312" spans="1:7" x14ac:dyDescent="0.25">
      <c r="A1312">
        <v>1363</v>
      </c>
      <c r="B1312">
        <v>51311</v>
      </c>
      <c r="C1312" s="2">
        <v>45245.872957652537</v>
      </c>
      <c r="D1312">
        <v>49</v>
      </c>
      <c r="E1312" t="s">
        <v>8</v>
      </c>
      <c r="F1312" t="s">
        <v>9</v>
      </c>
      <c r="G1312">
        <v>3375</v>
      </c>
    </row>
    <row r="1313" spans="1:7" x14ac:dyDescent="0.25">
      <c r="A1313">
        <v>1557</v>
      </c>
      <c r="B1313">
        <v>51312</v>
      </c>
      <c r="C1313" s="2">
        <v>45246.116372124037</v>
      </c>
      <c r="D1313">
        <v>53</v>
      </c>
      <c r="E1313" t="s">
        <v>8</v>
      </c>
      <c r="F1313" t="s">
        <v>10</v>
      </c>
      <c r="G1313">
        <v>1277</v>
      </c>
    </row>
    <row r="1314" spans="1:7" x14ac:dyDescent="0.25">
      <c r="A1314">
        <v>1345</v>
      </c>
      <c r="B1314">
        <v>51313</v>
      </c>
      <c r="C1314" s="2">
        <v>45246.359786595523</v>
      </c>
      <c r="D1314">
        <v>54</v>
      </c>
      <c r="E1314" t="s">
        <v>8</v>
      </c>
      <c r="F1314" t="s">
        <v>9</v>
      </c>
      <c r="G1314">
        <v>2577</v>
      </c>
    </row>
    <row r="1315" spans="1:7" x14ac:dyDescent="0.25">
      <c r="A1315">
        <v>1170</v>
      </c>
      <c r="B1315">
        <v>51314</v>
      </c>
      <c r="C1315" s="2">
        <v>45246.603201067017</v>
      </c>
      <c r="D1315">
        <v>43</v>
      </c>
      <c r="E1315" t="s">
        <v>8</v>
      </c>
      <c r="F1315" t="s">
        <v>12</v>
      </c>
      <c r="G1315">
        <v>1047</v>
      </c>
    </row>
    <row r="1316" spans="1:7" x14ac:dyDescent="0.25">
      <c r="A1316">
        <v>1356</v>
      </c>
      <c r="B1316">
        <v>51315</v>
      </c>
      <c r="C1316" s="2">
        <v>45246.84661553851</v>
      </c>
      <c r="D1316">
        <v>39</v>
      </c>
      <c r="E1316" t="s">
        <v>7</v>
      </c>
      <c r="F1316" t="s">
        <v>10</v>
      </c>
      <c r="G1316">
        <v>3076</v>
      </c>
    </row>
    <row r="1317" spans="1:7" x14ac:dyDescent="0.25">
      <c r="A1317">
        <v>1191</v>
      </c>
      <c r="B1317">
        <v>51316</v>
      </c>
      <c r="C1317" s="2">
        <v>45247.090030009997</v>
      </c>
      <c r="D1317">
        <v>21</v>
      </c>
      <c r="E1317" t="s">
        <v>7</v>
      </c>
      <c r="F1317" t="s">
        <v>9</v>
      </c>
      <c r="G1317">
        <v>1439</v>
      </c>
    </row>
    <row r="1318" spans="1:7" x14ac:dyDescent="0.25">
      <c r="A1318">
        <v>1422</v>
      </c>
      <c r="B1318">
        <v>51317</v>
      </c>
      <c r="C1318" s="2">
        <v>45247.33344448149</v>
      </c>
      <c r="D1318">
        <v>48</v>
      </c>
      <c r="E1318" t="s">
        <v>8</v>
      </c>
      <c r="F1318" t="s">
        <v>10</v>
      </c>
      <c r="G1318">
        <v>1532</v>
      </c>
    </row>
    <row r="1319" spans="1:7" x14ac:dyDescent="0.25">
      <c r="A1319">
        <v>1007</v>
      </c>
      <c r="B1319">
        <v>51318</v>
      </c>
      <c r="C1319" s="2">
        <v>45247.576858952983</v>
      </c>
      <c r="D1319">
        <v>35</v>
      </c>
      <c r="E1319" t="s">
        <v>7</v>
      </c>
      <c r="F1319" t="s">
        <v>11</v>
      </c>
      <c r="G1319">
        <v>3706</v>
      </c>
    </row>
    <row r="1320" spans="1:7" x14ac:dyDescent="0.25">
      <c r="A1320">
        <v>1133</v>
      </c>
      <c r="B1320">
        <v>51319</v>
      </c>
      <c r="C1320" s="2">
        <v>45247.82027342447</v>
      </c>
      <c r="D1320">
        <v>55</v>
      </c>
      <c r="E1320" t="s">
        <v>7</v>
      </c>
      <c r="F1320" t="s">
        <v>12</v>
      </c>
      <c r="G1320">
        <v>2579</v>
      </c>
    </row>
    <row r="1321" spans="1:7" x14ac:dyDescent="0.25">
      <c r="A1321">
        <v>1557</v>
      </c>
      <c r="B1321">
        <v>51320</v>
      </c>
      <c r="C1321" s="2">
        <v>45248.063687895963</v>
      </c>
      <c r="D1321">
        <v>41</v>
      </c>
      <c r="E1321" t="s">
        <v>8</v>
      </c>
      <c r="F1321" t="s">
        <v>9</v>
      </c>
      <c r="G1321">
        <v>4991</v>
      </c>
    </row>
    <row r="1322" spans="1:7" x14ac:dyDescent="0.25">
      <c r="A1322">
        <v>1031</v>
      </c>
      <c r="B1322">
        <v>51321</v>
      </c>
      <c r="C1322" s="2">
        <v>45248.307102367457</v>
      </c>
      <c r="D1322">
        <v>40</v>
      </c>
      <c r="E1322" t="s">
        <v>8</v>
      </c>
      <c r="F1322" t="s">
        <v>11</v>
      </c>
      <c r="G1322">
        <v>4322</v>
      </c>
    </row>
    <row r="1323" spans="1:7" x14ac:dyDescent="0.25">
      <c r="A1323">
        <v>1535</v>
      </c>
      <c r="B1323">
        <v>51322</v>
      </c>
      <c r="C1323" s="2">
        <v>45248.550516838943</v>
      </c>
      <c r="D1323">
        <v>39</v>
      </c>
      <c r="E1323" t="s">
        <v>7</v>
      </c>
      <c r="F1323" t="s">
        <v>10</v>
      </c>
      <c r="G1323">
        <v>3437</v>
      </c>
    </row>
    <row r="1324" spans="1:7" x14ac:dyDescent="0.25">
      <c r="A1324">
        <v>1426</v>
      </c>
      <c r="B1324">
        <v>51323</v>
      </c>
      <c r="C1324" s="2">
        <v>45248.793931310429</v>
      </c>
      <c r="D1324">
        <v>19</v>
      </c>
      <c r="E1324" t="s">
        <v>7</v>
      </c>
      <c r="F1324" t="s">
        <v>11</v>
      </c>
      <c r="G1324">
        <v>2565</v>
      </c>
    </row>
    <row r="1325" spans="1:7" x14ac:dyDescent="0.25">
      <c r="A1325">
        <v>1394</v>
      </c>
      <c r="B1325">
        <v>51324</v>
      </c>
      <c r="C1325" s="2">
        <v>45249.037345781922</v>
      </c>
      <c r="D1325">
        <v>48</v>
      </c>
      <c r="E1325" t="s">
        <v>7</v>
      </c>
      <c r="F1325" t="s">
        <v>10</v>
      </c>
      <c r="G1325">
        <v>2612</v>
      </c>
    </row>
    <row r="1326" spans="1:7" x14ac:dyDescent="0.25">
      <c r="A1326">
        <v>1363</v>
      </c>
      <c r="B1326">
        <v>51325</v>
      </c>
      <c r="C1326" s="2">
        <v>45249.280760253423</v>
      </c>
      <c r="D1326">
        <v>28</v>
      </c>
      <c r="E1326" t="s">
        <v>7</v>
      </c>
      <c r="F1326" t="s">
        <v>12</v>
      </c>
      <c r="G1326">
        <v>3374</v>
      </c>
    </row>
    <row r="1327" spans="1:7" x14ac:dyDescent="0.25">
      <c r="A1327">
        <v>1437</v>
      </c>
      <c r="B1327">
        <v>51326</v>
      </c>
      <c r="C1327" s="2">
        <v>45249.524174724909</v>
      </c>
      <c r="D1327">
        <v>45</v>
      </c>
      <c r="E1327" t="s">
        <v>8</v>
      </c>
      <c r="F1327" t="s">
        <v>11</v>
      </c>
      <c r="G1327">
        <v>572</v>
      </c>
    </row>
    <row r="1328" spans="1:7" x14ac:dyDescent="0.25">
      <c r="A1328">
        <v>1551</v>
      </c>
      <c r="B1328">
        <v>51327</v>
      </c>
      <c r="C1328" s="2">
        <v>45249.767589196388</v>
      </c>
      <c r="D1328">
        <v>63</v>
      </c>
      <c r="E1328" t="s">
        <v>8</v>
      </c>
      <c r="F1328" t="s">
        <v>12</v>
      </c>
      <c r="G1328">
        <v>2149</v>
      </c>
    </row>
    <row r="1329" spans="1:7" x14ac:dyDescent="0.25">
      <c r="A1329">
        <v>1082</v>
      </c>
      <c r="B1329">
        <v>51328</v>
      </c>
      <c r="C1329" s="2">
        <v>45250.011003667882</v>
      </c>
      <c r="D1329">
        <v>49</v>
      </c>
      <c r="E1329" t="s">
        <v>7</v>
      </c>
      <c r="F1329" t="s">
        <v>9</v>
      </c>
      <c r="G1329">
        <v>444</v>
      </c>
    </row>
    <row r="1330" spans="1:7" x14ac:dyDescent="0.25">
      <c r="A1330">
        <v>1356</v>
      </c>
      <c r="B1330">
        <v>51329</v>
      </c>
      <c r="C1330" s="2">
        <v>45250.254418139382</v>
      </c>
      <c r="D1330">
        <v>22</v>
      </c>
      <c r="E1330" t="s">
        <v>8</v>
      </c>
      <c r="F1330" t="s">
        <v>10</v>
      </c>
      <c r="G1330">
        <v>2040</v>
      </c>
    </row>
    <row r="1331" spans="1:7" x14ac:dyDescent="0.25">
      <c r="A1331">
        <v>1258</v>
      </c>
      <c r="B1331">
        <v>51330</v>
      </c>
      <c r="C1331" s="2">
        <v>45250.497832610868</v>
      </c>
      <c r="D1331">
        <v>55</v>
      </c>
      <c r="E1331" t="s">
        <v>7</v>
      </c>
      <c r="F1331" t="s">
        <v>10</v>
      </c>
      <c r="G1331">
        <v>3627</v>
      </c>
    </row>
    <row r="1332" spans="1:7" x14ac:dyDescent="0.25">
      <c r="A1332">
        <v>1589</v>
      </c>
      <c r="B1332">
        <v>51331</v>
      </c>
      <c r="C1332" s="2">
        <v>45250.741247082347</v>
      </c>
      <c r="D1332">
        <v>27</v>
      </c>
      <c r="E1332" t="s">
        <v>7</v>
      </c>
      <c r="F1332" t="s">
        <v>12</v>
      </c>
      <c r="G1332">
        <v>324</v>
      </c>
    </row>
    <row r="1333" spans="1:7" x14ac:dyDescent="0.25">
      <c r="A1333">
        <v>1524</v>
      </c>
      <c r="B1333">
        <v>51332</v>
      </c>
      <c r="C1333" s="2">
        <v>45250.984661553841</v>
      </c>
      <c r="D1333">
        <v>57</v>
      </c>
      <c r="E1333" t="s">
        <v>8</v>
      </c>
      <c r="F1333" t="s">
        <v>12</v>
      </c>
      <c r="G1333">
        <v>4832</v>
      </c>
    </row>
    <row r="1334" spans="1:7" x14ac:dyDescent="0.25">
      <c r="A1334">
        <v>1295</v>
      </c>
      <c r="B1334">
        <v>51333</v>
      </c>
      <c r="C1334" s="2">
        <v>45251.228076025327</v>
      </c>
      <c r="D1334">
        <v>63</v>
      </c>
      <c r="E1334" t="s">
        <v>7</v>
      </c>
      <c r="F1334" t="s">
        <v>9</v>
      </c>
      <c r="G1334">
        <v>2953</v>
      </c>
    </row>
    <row r="1335" spans="1:7" x14ac:dyDescent="0.25">
      <c r="A1335">
        <v>1224</v>
      </c>
      <c r="B1335">
        <v>51334</v>
      </c>
      <c r="C1335" s="2">
        <v>45251.471490496828</v>
      </c>
      <c r="D1335">
        <v>41</v>
      </c>
      <c r="E1335" t="s">
        <v>7</v>
      </c>
      <c r="F1335" t="s">
        <v>11</v>
      </c>
      <c r="G1335">
        <v>2119</v>
      </c>
    </row>
    <row r="1336" spans="1:7" x14ac:dyDescent="0.25">
      <c r="A1336">
        <v>1525</v>
      </c>
      <c r="B1336">
        <v>51335</v>
      </c>
      <c r="C1336" s="2">
        <v>45251.714904968321</v>
      </c>
      <c r="D1336">
        <v>52</v>
      </c>
      <c r="E1336" t="s">
        <v>8</v>
      </c>
      <c r="F1336" t="s">
        <v>10</v>
      </c>
      <c r="G1336">
        <v>1835</v>
      </c>
    </row>
    <row r="1337" spans="1:7" x14ac:dyDescent="0.25">
      <c r="A1337">
        <v>1046</v>
      </c>
      <c r="B1337">
        <v>51336</v>
      </c>
      <c r="C1337" s="2">
        <v>45251.9583194398</v>
      </c>
      <c r="D1337">
        <v>61</v>
      </c>
      <c r="E1337" t="s">
        <v>8</v>
      </c>
      <c r="F1337" t="s">
        <v>10</v>
      </c>
      <c r="G1337">
        <v>1625</v>
      </c>
    </row>
    <row r="1338" spans="1:7" x14ac:dyDescent="0.25">
      <c r="A1338">
        <v>1113</v>
      </c>
      <c r="B1338">
        <v>51337</v>
      </c>
      <c r="C1338" s="2">
        <v>45252.201733911294</v>
      </c>
      <c r="D1338">
        <v>40</v>
      </c>
      <c r="E1338" t="s">
        <v>7</v>
      </c>
      <c r="F1338" t="s">
        <v>9</v>
      </c>
      <c r="G1338">
        <v>1740</v>
      </c>
    </row>
    <row r="1339" spans="1:7" x14ac:dyDescent="0.25">
      <c r="A1339">
        <v>1233</v>
      </c>
      <c r="B1339">
        <v>51338</v>
      </c>
      <c r="C1339" s="2">
        <v>45252.445148382787</v>
      </c>
      <c r="D1339">
        <v>34</v>
      </c>
      <c r="E1339" t="s">
        <v>7</v>
      </c>
      <c r="F1339" t="s">
        <v>9</v>
      </c>
      <c r="G1339">
        <v>730</v>
      </c>
    </row>
    <row r="1340" spans="1:7" x14ac:dyDescent="0.25">
      <c r="A1340">
        <v>1017</v>
      </c>
      <c r="B1340">
        <v>51339</v>
      </c>
      <c r="C1340" s="2">
        <v>45252.68856285428</v>
      </c>
      <c r="D1340">
        <v>18</v>
      </c>
      <c r="E1340" t="s">
        <v>8</v>
      </c>
      <c r="F1340" t="s">
        <v>12</v>
      </c>
      <c r="G1340">
        <v>4549</v>
      </c>
    </row>
    <row r="1341" spans="1:7" x14ac:dyDescent="0.25">
      <c r="A1341">
        <v>1360</v>
      </c>
      <c r="B1341">
        <v>51340</v>
      </c>
      <c r="C1341" s="2">
        <v>45252.931977325767</v>
      </c>
      <c r="D1341">
        <v>48</v>
      </c>
      <c r="E1341" t="s">
        <v>7</v>
      </c>
      <c r="F1341" t="s">
        <v>12</v>
      </c>
      <c r="G1341">
        <v>3303</v>
      </c>
    </row>
    <row r="1342" spans="1:7" x14ac:dyDescent="0.25">
      <c r="A1342">
        <v>1223</v>
      </c>
      <c r="B1342">
        <v>51341</v>
      </c>
      <c r="C1342" s="2">
        <v>45253.17539179726</v>
      </c>
      <c r="D1342">
        <v>48</v>
      </c>
      <c r="E1342" t="s">
        <v>7</v>
      </c>
      <c r="F1342" t="s">
        <v>11</v>
      </c>
      <c r="G1342">
        <v>4956</v>
      </c>
    </row>
    <row r="1343" spans="1:7" x14ac:dyDescent="0.25">
      <c r="A1343">
        <v>1448</v>
      </c>
      <c r="B1343">
        <v>51342</v>
      </c>
      <c r="C1343" s="2">
        <v>45253.418806268754</v>
      </c>
      <c r="D1343">
        <v>59</v>
      </c>
      <c r="E1343" t="s">
        <v>8</v>
      </c>
      <c r="F1343" t="s">
        <v>9</v>
      </c>
      <c r="G1343">
        <v>2001</v>
      </c>
    </row>
    <row r="1344" spans="1:7" x14ac:dyDescent="0.25">
      <c r="A1344">
        <v>1365</v>
      </c>
      <c r="B1344">
        <v>51343</v>
      </c>
      <c r="C1344" s="2">
        <v>45253.66222074024</v>
      </c>
      <c r="D1344">
        <v>59</v>
      </c>
      <c r="E1344" t="s">
        <v>8</v>
      </c>
      <c r="F1344" t="s">
        <v>11</v>
      </c>
      <c r="G1344">
        <v>1236</v>
      </c>
    </row>
    <row r="1345" spans="1:7" x14ac:dyDescent="0.25">
      <c r="A1345">
        <v>1326</v>
      </c>
      <c r="B1345">
        <v>51344</v>
      </c>
      <c r="C1345" s="2">
        <v>45253.905635211733</v>
      </c>
      <c r="D1345">
        <v>51</v>
      </c>
      <c r="E1345" t="s">
        <v>8</v>
      </c>
      <c r="F1345" t="s">
        <v>9</v>
      </c>
      <c r="G1345">
        <v>3928</v>
      </c>
    </row>
    <row r="1346" spans="1:7" x14ac:dyDescent="0.25">
      <c r="A1346">
        <v>1467</v>
      </c>
      <c r="B1346">
        <v>51345</v>
      </c>
      <c r="C1346" s="2">
        <v>45254.149049683219</v>
      </c>
      <c r="D1346">
        <v>26</v>
      </c>
      <c r="E1346" t="s">
        <v>8</v>
      </c>
      <c r="F1346" t="s">
        <v>10</v>
      </c>
      <c r="G1346">
        <v>4211</v>
      </c>
    </row>
    <row r="1347" spans="1:7" x14ac:dyDescent="0.25">
      <c r="A1347">
        <v>1414</v>
      </c>
      <c r="B1347">
        <v>51346</v>
      </c>
      <c r="C1347" s="2">
        <v>45254.392464154713</v>
      </c>
      <c r="D1347">
        <v>39</v>
      </c>
      <c r="E1347" t="s">
        <v>8</v>
      </c>
      <c r="F1347" t="s">
        <v>9</v>
      </c>
      <c r="G1347">
        <v>3663</v>
      </c>
    </row>
    <row r="1348" spans="1:7" x14ac:dyDescent="0.25">
      <c r="A1348">
        <v>1455</v>
      </c>
      <c r="B1348">
        <v>51347</v>
      </c>
      <c r="C1348" s="2">
        <v>45254.635878626214</v>
      </c>
      <c r="D1348">
        <v>30</v>
      </c>
      <c r="E1348" t="s">
        <v>8</v>
      </c>
      <c r="F1348" t="s">
        <v>9</v>
      </c>
      <c r="G1348">
        <v>1342</v>
      </c>
    </row>
    <row r="1349" spans="1:7" x14ac:dyDescent="0.25">
      <c r="A1349">
        <v>1586</v>
      </c>
      <c r="B1349">
        <v>51348</v>
      </c>
      <c r="C1349" s="2">
        <v>45254.8792930977</v>
      </c>
      <c r="D1349">
        <v>42</v>
      </c>
      <c r="E1349" t="s">
        <v>7</v>
      </c>
      <c r="F1349" t="s">
        <v>10</v>
      </c>
      <c r="G1349">
        <v>1955</v>
      </c>
    </row>
    <row r="1350" spans="1:7" x14ac:dyDescent="0.25">
      <c r="A1350">
        <v>1233</v>
      </c>
      <c r="B1350">
        <v>51349</v>
      </c>
      <c r="C1350" s="2">
        <v>45255.122707569179</v>
      </c>
      <c r="D1350">
        <v>35</v>
      </c>
      <c r="E1350" t="s">
        <v>7</v>
      </c>
      <c r="F1350" t="s">
        <v>9</v>
      </c>
      <c r="G1350">
        <v>1829</v>
      </c>
    </row>
    <row r="1351" spans="1:7" x14ac:dyDescent="0.25">
      <c r="A1351">
        <v>1224</v>
      </c>
      <c r="B1351">
        <v>51350</v>
      </c>
      <c r="C1351" s="2">
        <v>45255.366122040672</v>
      </c>
      <c r="D1351">
        <v>29</v>
      </c>
      <c r="E1351" t="s">
        <v>8</v>
      </c>
      <c r="F1351" t="s">
        <v>11</v>
      </c>
      <c r="G1351">
        <v>962</v>
      </c>
    </row>
    <row r="1352" spans="1:7" x14ac:dyDescent="0.25">
      <c r="A1352">
        <v>1412</v>
      </c>
      <c r="B1352">
        <v>51351</v>
      </c>
      <c r="C1352" s="2">
        <v>45255.609536512173</v>
      </c>
      <c r="D1352">
        <v>57</v>
      </c>
      <c r="E1352" t="s">
        <v>8</v>
      </c>
      <c r="F1352" t="s">
        <v>12</v>
      </c>
      <c r="G1352">
        <v>4157</v>
      </c>
    </row>
    <row r="1353" spans="1:7" x14ac:dyDescent="0.25">
      <c r="A1353">
        <v>1572</v>
      </c>
      <c r="B1353">
        <v>51352</v>
      </c>
      <c r="C1353" s="2">
        <v>45255.852950983659</v>
      </c>
      <c r="D1353">
        <v>34</v>
      </c>
      <c r="E1353" t="s">
        <v>7</v>
      </c>
      <c r="F1353" t="s">
        <v>12</v>
      </c>
      <c r="G1353">
        <v>757</v>
      </c>
    </row>
    <row r="1354" spans="1:7" x14ac:dyDescent="0.25">
      <c r="A1354">
        <v>1335</v>
      </c>
      <c r="B1354">
        <v>51353</v>
      </c>
      <c r="C1354" s="2">
        <v>45256.096365455152</v>
      </c>
      <c r="D1354">
        <v>32</v>
      </c>
      <c r="E1354" t="s">
        <v>7</v>
      </c>
      <c r="F1354" t="s">
        <v>11</v>
      </c>
      <c r="G1354">
        <v>4821</v>
      </c>
    </row>
    <row r="1355" spans="1:7" x14ac:dyDescent="0.25">
      <c r="A1355">
        <v>1222</v>
      </c>
      <c r="B1355">
        <v>51354</v>
      </c>
      <c r="C1355" s="2">
        <v>45256.339779926631</v>
      </c>
      <c r="D1355">
        <v>59</v>
      </c>
      <c r="E1355" t="s">
        <v>7</v>
      </c>
      <c r="F1355" t="s">
        <v>10</v>
      </c>
      <c r="G1355">
        <v>1039</v>
      </c>
    </row>
    <row r="1356" spans="1:7" x14ac:dyDescent="0.25">
      <c r="A1356">
        <v>1037</v>
      </c>
      <c r="B1356">
        <v>51355</v>
      </c>
      <c r="C1356" s="2">
        <v>45256.583194398117</v>
      </c>
      <c r="D1356">
        <v>32</v>
      </c>
      <c r="E1356" t="s">
        <v>8</v>
      </c>
      <c r="F1356" t="s">
        <v>9</v>
      </c>
      <c r="G1356">
        <v>202</v>
      </c>
    </row>
    <row r="1357" spans="1:7" x14ac:dyDescent="0.25">
      <c r="A1357">
        <v>1278</v>
      </c>
      <c r="B1357">
        <v>51356</v>
      </c>
      <c r="C1357" s="2">
        <v>45256.826608869618</v>
      </c>
      <c r="D1357">
        <v>32</v>
      </c>
      <c r="E1357" t="s">
        <v>8</v>
      </c>
      <c r="F1357" t="s">
        <v>11</v>
      </c>
      <c r="G1357">
        <v>1251</v>
      </c>
    </row>
    <row r="1358" spans="1:7" x14ac:dyDescent="0.25">
      <c r="A1358">
        <v>1196</v>
      </c>
      <c r="B1358">
        <v>51357</v>
      </c>
      <c r="C1358" s="2">
        <v>45257.070023341112</v>
      </c>
      <c r="D1358">
        <v>56</v>
      </c>
      <c r="E1358" t="s">
        <v>7</v>
      </c>
      <c r="F1358" t="s">
        <v>12</v>
      </c>
      <c r="G1358">
        <v>1604</v>
      </c>
    </row>
    <row r="1359" spans="1:7" x14ac:dyDescent="0.25">
      <c r="A1359">
        <v>1484</v>
      </c>
      <c r="B1359">
        <v>51358</v>
      </c>
      <c r="C1359" s="2">
        <v>45257.313437812612</v>
      </c>
      <c r="D1359">
        <v>30</v>
      </c>
      <c r="E1359" t="s">
        <v>8</v>
      </c>
      <c r="F1359" t="s">
        <v>12</v>
      </c>
      <c r="G1359">
        <v>356</v>
      </c>
    </row>
    <row r="1360" spans="1:7" x14ac:dyDescent="0.25">
      <c r="A1360">
        <v>1242</v>
      </c>
      <c r="B1360">
        <v>51359</v>
      </c>
      <c r="C1360" s="2">
        <v>45257.556852284077</v>
      </c>
      <c r="D1360">
        <v>34</v>
      </c>
      <c r="E1360" t="s">
        <v>8</v>
      </c>
      <c r="F1360" t="s">
        <v>11</v>
      </c>
      <c r="G1360">
        <v>2137</v>
      </c>
    </row>
    <row r="1361" spans="1:7" x14ac:dyDescent="0.25">
      <c r="A1361">
        <v>1324</v>
      </c>
      <c r="B1361">
        <v>51360</v>
      </c>
      <c r="C1361" s="2">
        <v>45257.800266755577</v>
      </c>
      <c r="D1361">
        <v>49</v>
      </c>
      <c r="E1361" t="s">
        <v>8</v>
      </c>
      <c r="F1361" t="s">
        <v>12</v>
      </c>
      <c r="G1361">
        <v>710</v>
      </c>
    </row>
    <row r="1362" spans="1:7" x14ac:dyDescent="0.25">
      <c r="A1362">
        <v>1192</v>
      </c>
      <c r="B1362">
        <v>51361</v>
      </c>
      <c r="C1362" s="2">
        <v>45258.043681227071</v>
      </c>
      <c r="D1362">
        <v>26</v>
      </c>
      <c r="E1362" t="s">
        <v>7</v>
      </c>
      <c r="F1362" t="s">
        <v>11</v>
      </c>
      <c r="G1362">
        <v>3604</v>
      </c>
    </row>
    <row r="1363" spans="1:7" x14ac:dyDescent="0.25">
      <c r="A1363">
        <v>1017</v>
      </c>
      <c r="B1363">
        <v>51362</v>
      </c>
      <c r="C1363" s="2">
        <v>45258.287095698557</v>
      </c>
      <c r="D1363">
        <v>57</v>
      </c>
      <c r="E1363" t="s">
        <v>7</v>
      </c>
      <c r="F1363" t="s">
        <v>12</v>
      </c>
      <c r="G1363">
        <v>4982</v>
      </c>
    </row>
    <row r="1364" spans="1:7" x14ac:dyDescent="0.25">
      <c r="A1364">
        <v>1524</v>
      </c>
      <c r="B1364">
        <v>51363</v>
      </c>
      <c r="C1364" s="2">
        <v>45258.530510170043</v>
      </c>
      <c r="D1364">
        <v>37</v>
      </c>
      <c r="E1364" t="s">
        <v>8</v>
      </c>
      <c r="F1364" t="s">
        <v>11</v>
      </c>
      <c r="G1364">
        <v>1337</v>
      </c>
    </row>
    <row r="1365" spans="1:7" x14ac:dyDescent="0.25">
      <c r="A1365">
        <v>1401</v>
      </c>
      <c r="B1365">
        <v>51364</v>
      </c>
      <c r="C1365" s="2">
        <v>45258.773924641537</v>
      </c>
      <c r="D1365">
        <v>43</v>
      </c>
      <c r="E1365" t="s">
        <v>8</v>
      </c>
      <c r="F1365" t="s">
        <v>9</v>
      </c>
      <c r="G1365">
        <v>4114</v>
      </c>
    </row>
    <row r="1366" spans="1:7" x14ac:dyDescent="0.25">
      <c r="A1366">
        <v>1022</v>
      </c>
      <c r="B1366">
        <v>51365</v>
      </c>
      <c r="C1366" s="2">
        <v>45259.01733911303</v>
      </c>
      <c r="D1366">
        <v>44</v>
      </c>
      <c r="E1366" t="s">
        <v>8</v>
      </c>
      <c r="F1366" t="s">
        <v>9</v>
      </c>
      <c r="G1366">
        <v>3521</v>
      </c>
    </row>
    <row r="1367" spans="1:7" x14ac:dyDescent="0.25">
      <c r="A1367">
        <v>1474</v>
      </c>
      <c r="B1367">
        <v>51366</v>
      </c>
      <c r="C1367" s="2">
        <v>45259.260753584524</v>
      </c>
      <c r="D1367">
        <v>38</v>
      </c>
      <c r="E1367" t="s">
        <v>8</v>
      </c>
      <c r="F1367" t="s">
        <v>9</v>
      </c>
      <c r="G1367">
        <v>4866</v>
      </c>
    </row>
    <row r="1368" spans="1:7" x14ac:dyDescent="0.25">
      <c r="A1368">
        <v>1120</v>
      </c>
      <c r="B1368">
        <v>51367</v>
      </c>
      <c r="C1368" s="2">
        <v>45259.504168056017</v>
      </c>
      <c r="D1368">
        <v>35</v>
      </c>
      <c r="E1368" t="s">
        <v>8</v>
      </c>
      <c r="F1368" t="s">
        <v>9</v>
      </c>
      <c r="G1368">
        <v>914</v>
      </c>
    </row>
    <row r="1369" spans="1:7" x14ac:dyDescent="0.25">
      <c r="A1369">
        <v>1210</v>
      </c>
      <c r="B1369">
        <v>51368</v>
      </c>
      <c r="C1369" s="2">
        <v>45259.747582527503</v>
      </c>
      <c r="D1369">
        <v>30</v>
      </c>
      <c r="E1369" t="s">
        <v>7</v>
      </c>
      <c r="F1369" t="s">
        <v>12</v>
      </c>
      <c r="G1369">
        <v>2486</v>
      </c>
    </row>
    <row r="1370" spans="1:7" x14ac:dyDescent="0.25">
      <c r="A1370">
        <v>1306</v>
      </c>
      <c r="B1370">
        <v>51369</v>
      </c>
      <c r="C1370" s="2">
        <v>45259.990996998989</v>
      </c>
      <c r="D1370">
        <v>33</v>
      </c>
      <c r="E1370" t="s">
        <v>8</v>
      </c>
      <c r="F1370" t="s">
        <v>10</v>
      </c>
      <c r="G1370">
        <v>2854</v>
      </c>
    </row>
    <row r="1371" spans="1:7" x14ac:dyDescent="0.25">
      <c r="A1371">
        <v>1270</v>
      </c>
      <c r="B1371">
        <v>51370</v>
      </c>
      <c r="C1371" s="2">
        <v>45260.234411470483</v>
      </c>
      <c r="D1371">
        <v>26</v>
      </c>
      <c r="E1371" t="s">
        <v>8</v>
      </c>
      <c r="F1371" t="s">
        <v>11</v>
      </c>
      <c r="G1371">
        <v>1190</v>
      </c>
    </row>
    <row r="1372" spans="1:7" x14ac:dyDescent="0.25">
      <c r="A1372">
        <v>1285</v>
      </c>
      <c r="B1372">
        <v>51371</v>
      </c>
      <c r="C1372" s="2">
        <v>45260.477825941984</v>
      </c>
      <c r="D1372">
        <v>29</v>
      </c>
      <c r="E1372" t="s">
        <v>8</v>
      </c>
      <c r="F1372" t="s">
        <v>10</v>
      </c>
      <c r="G1372">
        <v>4629</v>
      </c>
    </row>
    <row r="1373" spans="1:7" x14ac:dyDescent="0.25">
      <c r="A1373">
        <v>1227</v>
      </c>
      <c r="B1373">
        <v>51372</v>
      </c>
      <c r="C1373" s="2">
        <v>45260.721240413463</v>
      </c>
      <c r="D1373">
        <v>61</v>
      </c>
      <c r="E1373" t="s">
        <v>7</v>
      </c>
      <c r="F1373" t="s">
        <v>12</v>
      </c>
      <c r="G1373">
        <v>2360</v>
      </c>
    </row>
    <row r="1374" spans="1:7" x14ac:dyDescent="0.25">
      <c r="A1374">
        <v>1381</v>
      </c>
      <c r="B1374">
        <v>51373</v>
      </c>
      <c r="C1374" s="2">
        <v>45260.964654884963</v>
      </c>
      <c r="D1374">
        <v>55</v>
      </c>
      <c r="E1374" t="s">
        <v>7</v>
      </c>
      <c r="F1374" t="s">
        <v>12</v>
      </c>
      <c r="G1374">
        <v>4657</v>
      </c>
    </row>
    <row r="1375" spans="1:7" x14ac:dyDescent="0.25">
      <c r="A1375">
        <v>1460</v>
      </c>
      <c r="B1375">
        <v>51374</v>
      </c>
      <c r="C1375" s="2">
        <v>45261.208069356449</v>
      </c>
      <c r="D1375">
        <v>36</v>
      </c>
      <c r="E1375" t="s">
        <v>8</v>
      </c>
      <c r="F1375" t="s">
        <v>10</v>
      </c>
      <c r="G1375">
        <v>2344</v>
      </c>
    </row>
    <row r="1376" spans="1:7" x14ac:dyDescent="0.25">
      <c r="A1376">
        <v>1007</v>
      </c>
      <c r="B1376">
        <v>51375</v>
      </c>
      <c r="C1376" s="2">
        <v>45261.451483827943</v>
      </c>
      <c r="D1376">
        <v>24</v>
      </c>
      <c r="E1376" t="s">
        <v>7</v>
      </c>
      <c r="F1376" t="s">
        <v>10</v>
      </c>
      <c r="G1376">
        <v>2263</v>
      </c>
    </row>
    <row r="1377" spans="1:7" x14ac:dyDescent="0.25">
      <c r="A1377">
        <v>1029</v>
      </c>
      <c r="B1377">
        <v>51376</v>
      </c>
      <c r="C1377" s="2">
        <v>45261.694898299444</v>
      </c>
      <c r="D1377">
        <v>52</v>
      </c>
      <c r="E1377" t="s">
        <v>7</v>
      </c>
      <c r="F1377" t="s">
        <v>12</v>
      </c>
      <c r="G1377">
        <v>2803</v>
      </c>
    </row>
    <row r="1378" spans="1:7" x14ac:dyDescent="0.25">
      <c r="A1378">
        <v>1033</v>
      </c>
      <c r="B1378">
        <v>51377</v>
      </c>
      <c r="C1378" s="2">
        <v>45261.938312770922</v>
      </c>
      <c r="D1378">
        <v>35</v>
      </c>
      <c r="E1378" t="s">
        <v>7</v>
      </c>
      <c r="F1378" t="s">
        <v>12</v>
      </c>
      <c r="G1378">
        <v>2177</v>
      </c>
    </row>
    <row r="1379" spans="1:7" x14ac:dyDescent="0.25">
      <c r="A1379">
        <v>1079</v>
      </c>
      <c r="B1379">
        <v>51378</v>
      </c>
      <c r="C1379" s="2">
        <v>45262.181727242409</v>
      </c>
      <c r="D1379">
        <v>33</v>
      </c>
      <c r="E1379" t="s">
        <v>7</v>
      </c>
      <c r="F1379" t="s">
        <v>11</v>
      </c>
      <c r="G1379">
        <v>575</v>
      </c>
    </row>
    <row r="1380" spans="1:7" x14ac:dyDescent="0.25">
      <c r="A1380">
        <v>1459</v>
      </c>
      <c r="B1380">
        <v>51379</v>
      </c>
      <c r="C1380" s="2">
        <v>45262.425141713902</v>
      </c>
      <c r="D1380">
        <v>56</v>
      </c>
      <c r="E1380" t="s">
        <v>7</v>
      </c>
      <c r="F1380" t="s">
        <v>9</v>
      </c>
      <c r="G1380">
        <v>941</v>
      </c>
    </row>
    <row r="1381" spans="1:7" x14ac:dyDescent="0.25">
      <c r="A1381">
        <v>1570</v>
      </c>
      <c r="B1381">
        <v>51380</v>
      </c>
      <c r="C1381" s="2">
        <v>45262.668556185403</v>
      </c>
      <c r="D1381">
        <v>21</v>
      </c>
      <c r="E1381" t="s">
        <v>7</v>
      </c>
      <c r="F1381" t="s">
        <v>9</v>
      </c>
      <c r="G1381">
        <v>4685</v>
      </c>
    </row>
    <row r="1382" spans="1:7" x14ac:dyDescent="0.25">
      <c r="A1382">
        <v>1538</v>
      </c>
      <c r="B1382">
        <v>51381</v>
      </c>
      <c r="C1382" s="2">
        <v>45262.911970656867</v>
      </c>
      <c r="D1382">
        <v>42</v>
      </c>
      <c r="E1382" t="s">
        <v>8</v>
      </c>
      <c r="F1382" t="s">
        <v>11</v>
      </c>
      <c r="G1382">
        <v>2867</v>
      </c>
    </row>
    <row r="1383" spans="1:7" x14ac:dyDescent="0.25">
      <c r="A1383">
        <v>1482</v>
      </c>
      <c r="B1383">
        <v>51382</v>
      </c>
      <c r="C1383" s="2">
        <v>45263.155385128368</v>
      </c>
      <c r="D1383">
        <v>49</v>
      </c>
      <c r="E1383" t="s">
        <v>7</v>
      </c>
      <c r="F1383" t="s">
        <v>10</v>
      </c>
      <c r="G1383">
        <v>1440</v>
      </c>
    </row>
    <row r="1384" spans="1:7" x14ac:dyDescent="0.25">
      <c r="A1384">
        <v>1430</v>
      </c>
      <c r="B1384">
        <v>51383</v>
      </c>
      <c r="C1384" s="2">
        <v>45263.398799599861</v>
      </c>
      <c r="D1384">
        <v>57</v>
      </c>
      <c r="E1384" t="s">
        <v>7</v>
      </c>
      <c r="F1384" t="s">
        <v>12</v>
      </c>
      <c r="G1384">
        <v>3670</v>
      </c>
    </row>
    <row r="1385" spans="1:7" x14ac:dyDescent="0.25">
      <c r="A1385">
        <v>1285</v>
      </c>
      <c r="B1385">
        <v>51384</v>
      </c>
      <c r="C1385" s="2">
        <v>45263.642214071348</v>
      </c>
      <c r="D1385">
        <v>30</v>
      </c>
      <c r="E1385" t="s">
        <v>8</v>
      </c>
      <c r="F1385" t="s">
        <v>10</v>
      </c>
      <c r="G1385">
        <v>2567</v>
      </c>
    </row>
    <row r="1386" spans="1:7" x14ac:dyDescent="0.25">
      <c r="A1386">
        <v>1516</v>
      </c>
      <c r="B1386">
        <v>51385</v>
      </c>
      <c r="C1386" s="2">
        <v>45263.885628542848</v>
      </c>
      <c r="D1386">
        <v>62</v>
      </c>
      <c r="E1386" t="s">
        <v>8</v>
      </c>
      <c r="F1386" t="s">
        <v>9</v>
      </c>
      <c r="G1386">
        <v>2443</v>
      </c>
    </row>
    <row r="1387" spans="1:7" x14ac:dyDescent="0.25">
      <c r="A1387">
        <v>1099</v>
      </c>
      <c r="B1387">
        <v>51386</v>
      </c>
      <c r="C1387" s="2">
        <v>45264.129043014327</v>
      </c>
      <c r="D1387">
        <v>34</v>
      </c>
      <c r="E1387" t="s">
        <v>8</v>
      </c>
      <c r="F1387" t="s">
        <v>9</v>
      </c>
      <c r="G1387">
        <v>3749</v>
      </c>
    </row>
    <row r="1388" spans="1:7" x14ac:dyDescent="0.25">
      <c r="A1388">
        <v>1397</v>
      </c>
      <c r="B1388">
        <v>51387</v>
      </c>
      <c r="C1388" s="2">
        <v>45264.372457485821</v>
      </c>
      <c r="D1388">
        <v>54</v>
      </c>
      <c r="E1388" t="s">
        <v>8</v>
      </c>
      <c r="F1388" t="s">
        <v>10</v>
      </c>
      <c r="G1388">
        <v>617</v>
      </c>
    </row>
    <row r="1389" spans="1:7" x14ac:dyDescent="0.25">
      <c r="A1389">
        <v>1489</v>
      </c>
      <c r="B1389">
        <v>51388</v>
      </c>
      <c r="C1389" s="2">
        <v>45264.615871957307</v>
      </c>
      <c r="D1389">
        <v>23</v>
      </c>
      <c r="E1389" t="s">
        <v>7</v>
      </c>
      <c r="F1389" t="s">
        <v>9</v>
      </c>
      <c r="G1389">
        <v>806</v>
      </c>
    </row>
    <row r="1390" spans="1:7" x14ac:dyDescent="0.25">
      <c r="A1390">
        <v>1039</v>
      </c>
      <c r="B1390">
        <v>51389</v>
      </c>
      <c r="C1390" s="2">
        <v>45264.859286428808</v>
      </c>
      <c r="D1390">
        <v>36</v>
      </c>
      <c r="E1390" t="s">
        <v>7</v>
      </c>
      <c r="F1390" t="s">
        <v>12</v>
      </c>
      <c r="G1390">
        <v>767</v>
      </c>
    </row>
    <row r="1391" spans="1:7" x14ac:dyDescent="0.25">
      <c r="A1391">
        <v>1271</v>
      </c>
      <c r="B1391">
        <v>51390</v>
      </c>
      <c r="C1391" s="2">
        <v>45265.102700900286</v>
      </c>
      <c r="D1391">
        <v>30</v>
      </c>
      <c r="E1391" t="s">
        <v>7</v>
      </c>
      <c r="F1391" t="s">
        <v>11</v>
      </c>
      <c r="G1391">
        <v>743</v>
      </c>
    </row>
    <row r="1392" spans="1:7" x14ac:dyDescent="0.25">
      <c r="A1392">
        <v>1157</v>
      </c>
      <c r="B1392">
        <v>51391</v>
      </c>
      <c r="C1392" s="2">
        <v>45265.34611537178</v>
      </c>
      <c r="D1392">
        <v>43</v>
      </c>
      <c r="E1392" t="s">
        <v>7</v>
      </c>
      <c r="F1392" t="s">
        <v>10</v>
      </c>
      <c r="G1392">
        <v>1083</v>
      </c>
    </row>
    <row r="1393" spans="1:7" x14ac:dyDescent="0.25">
      <c r="A1393">
        <v>1075</v>
      </c>
      <c r="B1393">
        <v>51392</v>
      </c>
      <c r="C1393" s="2">
        <v>45265.589529843273</v>
      </c>
      <c r="D1393">
        <v>31</v>
      </c>
      <c r="E1393" t="s">
        <v>8</v>
      </c>
      <c r="F1393" t="s">
        <v>12</v>
      </c>
      <c r="G1393">
        <v>4998</v>
      </c>
    </row>
    <row r="1394" spans="1:7" x14ac:dyDescent="0.25">
      <c r="A1394">
        <v>1130</v>
      </c>
      <c r="B1394">
        <v>51393</v>
      </c>
      <c r="C1394" s="2">
        <v>45265.832944314767</v>
      </c>
      <c r="D1394">
        <v>48</v>
      </c>
      <c r="E1394" t="s">
        <v>7</v>
      </c>
      <c r="F1394" t="s">
        <v>12</v>
      </c>
      <c r="G1394">
        <v>1423</v>
      </c>
    </row>
    <row r="1395" spans="1:7" x14ac:dyDescent="0.25">
      <c r="A1395">
        <v>1084</v>
      </c>
      <c r="B1395">
        <v>51394</v>
      </c>
      <c r="C1395" s="2">
        <v>45266.07635878626</v>
      </c>
      <c r="D1395">
        <v>21</v>
      </c>
      <c r="E1395" t="s">
        <v>7</v>
      </c>
      <c r="F1395" t="s">
        <v>9</v>
      </c>
      <c r="G1395">
        <v>3093</v>
      </c>
    </row>
    <row r="1396" spans="1:7" x14ac:dyDescent="0.25">
      <c r="A1396">
        <v>1022</v>
      </c>
      <c r="B1396">
        <v>51395</v>
      </c>
      <c r="C1396" s="2">
        <v>45266.319773257746</v>
      </c>
      <c r="D1396">
        <v>56</v>
      </c>
      <c r="E1396" t="s">
        <v>8</v>
      </c>
      <c r="F1396" t="s">
        <v>12</v>
      </c>
      <c r="G1396">
        <v>2268</v>
      </c>
    </row>
    <row r="1397" spans="1:7" x14ac:dyDescent="0.25">
      <c r="A1397">
        <v>1459</v>
      </c>
      <c r="B1397">
        <v>51396</v>
      </c>
      <c r="C1397" s="2">
        <v>45266.563187729233</v>
      </c>
      <c r="D1397">
        <v>25</v>
      </c>
      <c r="E1397" t="s">
        <v>7</v>
      </c>
      <c r="F1397" t="s">
        <v>10</v>
      </c>
      <c r="G1397">
        <v>3909</v>
      </c>
    </row>
    <row r="1398" spans="1:7" x14ac:dyDescent="0.25">
      <c r="A1398">
        <v>1539</v>
      </c>
      <c r="B1398">
        <v>51397</v>
      </c>
      <c r="C1398" s="2">
        <v>45266.806602200733</v>
      </c>
      <c r="D1398">
        <v>42</v>
      </c>
      <c r="E1398" t="s">
        <v>7</v>
      </c>
      <c r="F1398" t="s">
        <v>12</v>
      </c>
      <c r="G1398">
        <v>1986</v>
      </c>
    </row>
    <row r="1399" spans="1:7" x14ac:dyDescent="0.25">
      <c r="A1399">
        <v>1382</v>
      </c>
      <c r="B1399">
        <v>51398</v>
      </c>
      <c r="C1399" s="2">
        <v>45267.050016672219</v>
      </c>
      <c r="D1399">
        <v>30</v>
      </c>
      <c r="E1399" t="s">
        <v>7</v>
      </c>
      <c r="F1399" t="s">
        <v>11</v>
      </c>
      <c r="G1399">
        <v>1657</v>
      </c>
    </row>
    <row r="1400" spans="1:7" x14ac:dyDescent="0.25">
      <c r="A1400">
        <v>1440</v>
      </c>
      <c r="B1400">
        <v>51399</v>
      </c>
      <c r="C1400" s="2">
        <v>45267.293431143713</v>
      </c>
      <c r="D1400">
        <v>49</v>
      </c>
      <c r="E1400" t="s">
        <v>7</v>
      </c>
      <c r="F1400" t="s">
        <v>12</v>
      </c>
      <c r="G1400">
        <v>2114</v>
      </c>
    </row>
    <row r="1401" spans="1:7" x14ac:dyDescent="0.25">
      <c r="A1401">
        <v>1021</v>
      </c>
      <c r="B1401">
        <v>51400</v>
      </c>
      <c r="C1401" s="2">
        <v>45267.536845615199</v>
      </c>
      <c r="D1401">
        <v>55</v>
      </c>
      <c r="E1401" t="s">
        <v>8</v>
      </c>
      <c r="F1401" t="s">
        <v>12</v>
      </c>
      <c r="G1401">
        <v>277</v>
      </c>
    </row>
    <row r="1402" spans="1:7" x14ac:dyDescent="0.25">
      <c r="A1402">
        <v>1303</v>
      </c>
      <c r="B1402">
        <v>51401</v>
      </c>
      <c r="C1402" s="2">
        <v>45267.780260086693</v>
      </c>
      <c r="D1402">
        <v>55</v>
      </c>
      <c r="E1402" t="s">
        <v>8</v>
      </c>
      <c r="F1402" t="s">
        <v>11</v>
      </c>
      <c r="G1402">
        <v>3813</v>
      </c>
    </row>
    <row r="1403" spans="1:7" x14ac:dyDescent="0.25">
      <c r="A1403">
        <v>1084</v>
      </c>
      <c r="B1403">
        <v>51402</v>
      </c>
      <c r="C1403" s="2">
        <v>45268.023674558193</v>
      </c>
      <c r="D1403">
        <v>45</v>
      </c>
      <c r="E1403" t="s">
        <v>8</v>
      </c>
      <c r="F1403" t="s">
        <v>12</v>
      </c>
      <c r="G1403">
        <v>1508</v>
      </c>
    </row>
    <row r="1404" spans="1:7" x14ac:dyDescent="0.25">
      <c r="A1404">
        <v>1453</v>
      </c>
      <c r="B1404">
        <v>51403</v>
      </c>
      <c r="C1404" s="2">
        <v>45268.267089029679</v>
      </c>
      <c r="D1404">
        <v>47</v>
      </c>
      <c r="E1404" t="s">
        <v>8</v>
      </c>
      <c r="F1404" t="s">
        <v>12</v>
      </c>
      <c r="G1404">
        <v>847</v>
      </c>
    </row>
    <row r="1405" spans="1:7" x14ac:dyDescent="0.25">
      <c r="A1405">
        <v>1387</v>
      </c>
      <c r="B1405">
        <v>51404</v>
      </c>
      <c r="C1405" s="2">
        <v>45268.510503501158</v>
      </c>
      <c r="D1405">
        <v>20</v>
      </c>
      <c r="E1405" t="s">
        <v>8</v>
      </c>
      <c r="F1405" t="s">
        <v>9</v>
      </c>
      <c r="G1405">
        <v>2387</v>
      </c>
    </row>
    <row r="1406" spans="1:7" x14ac:dyDescent="0.25">
      <c r="A1406">
        <v>1507</v>
      </c>
      <c r="B1406">
        <v>51405</v>
      </c>
      <c r="C1406" s="2">
        <v>45268.753917972652</v>
      </c>
      <c r="D1406">
        <v>45</v>
      </c>
      <c r="E1406" t="s">
        <v>7</v>
      </c>
      <c r="F1406" t="s">
        <v>10</v>
      </c>
      <c r="G1406">
        <v>752</v>
      </c>
    </row>
    <row r="1407" spans="1:7" x14ac:dyDescent="0.25">
      <c r="A1407">
        <v>1257</v>
      </c>
      <c r="B1407">
        <v>51406</v>
      </c>
      <c r="C1407" s="2">
        <v>45268.997332444153</v>
      </c>
      <c r="D1407">
        <v>20</v>
      </c>
      <c r="E1407" t="s">
        <v>7</v>
      </c>
      <c r="F1407" t="s">
        <v>9</v>
      </c>
      <c r="G1407">
        <v>481</v>
      </c>
    </row>
    <row r="1408" spans="1:7" x14ac:dyDescent="0.25">
      <c r="A1408">
        <v>1570</v>
      </c>
      <c r="B1408">
        <v>51407</v>
      </c>
      <c r="C1408" s="2">
        <v>45269.240746915639</v>
      </c>
      <c r="D1408">
        <v>62</v>
      </c>
      <c r="E1408" t="s">
        <v>8</v>
      </c>
      <c r="F1408" t="s">
        <v>10</v>
      </c>
      <c r="G1408">
        <v>1481</v>
      </c>
    </row>
    <row r="1409" spans="1:7" x14ac:dyDescent="0.25">
      <c r="A1409">
        <v>1527</v>
      </c>
      <c r="B1409">
        <v>51408</v>
      </c>
      <c r="C1409" s="2">
        <v>45269.484161387118</v>
      </c>
      <c r="D1409">
        <v>51</v>
      </c>
      <c r="E1409" t="s">
        <v>8</v>
      </c>
      <c r="F1409" t="s">
        <v>11</v>
      </c>
      <c r="G1409">
        <v>2046</v>
      </c>
    </row>
    <row r="1410" spans="1:7" x14ac:dyDescent="0.25">
      <c r="A1410">
        <v>1162</v>
      </c>
      <c r="B1410">
        <v>51409</v>
      </c>
      <c r="C1410" s="2">
        <v>45269.727575858611</v>
      </c>
      <c r="D1410">
        <v>33</v>
      </c>
      <c r="E1410" t="s">
        <v>8</v>
      </c>
      <c r="F1410" t="s">
        <v>11</v>
      </c>
      <c r="G1410">
        <v>2687</v>
      </c>
    </row>
    <row r="1411" spans="1:7" x14ac:dyDescent="0.25">
      <c r="A1411">
        <v>1163</v>
      </c>
      <c r="B1411">
        <v>51410</v>
      </c>
      <c r="C1411" s="2">
        <v>45269.970990330097</v>
      </c>
      <c r="D1411">
        <v>39</v>
      </c>
      <c r="E1411" t="s">
        <v>7</v>
      </c>
      <c r="F1411" t="s">
        <v>11</v>
      </c>
      <c r="G1411">
        <v>2993</v>
      </c>
    </row>
    <row r="1412" spans="1:7" x14ac:dyDescent="0.25">
      <c r="A1412">
        <v>1524</v>
      </c>
      <c r="B1412">
        <v>51411</v>
      </c>
      <c r="C1412" s="2">
        <v>45270.214404801598</v>
      </c>
      <c r="D1412">
        <v>49</v>
      </c>
      <c r="E1412" t="s">
        <v>8</v>
      </c>
      <c r="F1412" t="s">
        <v>10</v>
      </c>
      <c r="G1412">
        <v>3911</v>
      </c>
    </row>
    <row r="1413" spans="1:7" x14ac:dyDescent="0.25">
      <c r="A1413">
        <v>1271</v>
      </c>
      <c r="B1413">
        <v>51412</v>
      </c>
      <c r="C1413" s="2">
        <v>45270.457819273091</v>
      </c>
      <c r="D1413">
        <v>55</v>
      </c>
      <c r="E1413" t="s">
        <v>7</v>
      </c>
      <c r="F1413" t="s">
        <v>10</v>
      </c>
      <c r="G1413">
        <v>4399</v>
      </c>
    </row>
    <row r="1414" spans="1:7" x14ac:dyDescent="0.25">
      <c r="A1414">
        <v>1492</v>
      </c>
      <c r="B1414">
        <v>51413</v>
      </c>
      <c r="C1414" s="2">
        <v>45270.70123374457</v>
      </c>
      <c r="D1414">
        <v>25</v>
      </c>
      <c r="E1414" t="s">
        <v>7</v>
      </c>
      <c r="F1414" t="s">
        <v>10</v>
      </c>
      <c r="G1414">
        <v>2976</v>
      </c>
    </row>
    <row r="1415" spans="1:7" x14ac:dyDescent="0.25">
      <c r="A1415">
        <v>1208</v>
      </c>
      <c r="B1415">
        <v>51414</v>
      </c>
      <c r="C1415" s="2">
        <v>45270.944648216057</v>
      </c>
      <c r="D1415">
        <v>25</v>
      </c>
      <c r="E1415" t="s">
        <v>7</v>
      </c>
      <c r="F1415" t="s">
        <v>11</v>
      </c>
      <c r="G1415">
        <v>1796</v>
      </c>
    </row>
    <row r="1416" spans="1:7" x14ac:dyDescent="0.25">
      <c r="A1416">
        <v>1539</v>
      </c>
      <c r="B1416">
        <v>51415</v>
      </c>
      <c r="C1416" s="2">
        <v>45271.188062687557</v>
      </c>
      <c r="D1416">
        <v>23</v>
      </c>
      <c r="E1416" t="s">
        <v>7</v>
      </c>
      <c r="F1416" t="s">
        <v>10</v>
      </c>
      <c r="G1416">
        <v>679</v>
      </c>
    </row>
    <row r="1417" spans="1:7" x14ac:dyDescent="0.25">
      <c r="A1417">
        <v>1584</v>
      </c>
      <c r="B1417">
        <v>51416</v>
      </c>
      <c r="C1417" s="2">
        <v>45271.431477159051</v>
      </c>
      <c r="D1417">
        <v>31</v>
      </c>
      <c r="E1417" t="s">
        <v>8</v>
      </c>
      <c r="F1417" t="s">
        <v>12</v>
      </c>
      <c r="G1417">
        <v>3512</v>
      </c>
    </row>
    <row r="1418" spans="1:7" x14ac:dyDescent="0.25">
      <c r="A1418">
        <v>1060</v>
      </c>
      <c r="B1418">
        <v>51417</v>
      </c>
      <c r="C1418" s="2">
        <v>45271.67489163053</v>
      </c>
      <c r="D1418">
        <v>49</v>
      </c>
      <c r="E1418" t="s">
        <v>7</v>
      </c>
      <c r="F1418" t="s">
        <v>9</v>
      </c>
      <c r="G1418">
        <v>3418</v>
      </c>
    </row>
    <row r="1419" spans="1:7" x14ac:dyDescent="0.25">
      <c r="A1419">
        <v>1430</v>
      </c>
      <c r="B1419">
        <v>51418</v>
      </c>
      <c r="C1419" s="2">
        <v>45271.918306102023</v>
      </c>
      <c r="D1419">
        <v>52</v>
      </c>
      <c r="E1419" t="s">
        <v>7</v>
      </c>
      <c r="F1419" t="s">
        <v>11</v>
      </c>
      <c r="G1419">
        <v>2163</v>
      </c>
    </row>
    <row r="1420" spans="1:7" x14ac:dyDescent="0.25">
      <c r="A1420">
        <v>1309</v>
      </c>
      <c r="B1420">
        <v>51419</v>
      </c>
      <c r="C1420" s="2">
        <v>45272.161720573517</v>
      </c>
      <c r="D1420">
        <v>27</v>
      </c>
      <c r="E1420" t="s">
        <v>8</v>
      </c>
      <c r="F1420" t="s">
        <v>9</v>
      </c>
      <c r="G1420">
        <v>2342</v>
      </c>
    </row>
    <row r="1421" spans="1:7" x14ac:dyDescent="0.25">
      <c r="A1421">
        <v>1520</v>
      </c>
      <c r="B1421">
        <v>51420</v>
      </c>
      <c r="C1421" s="2">
        <v>45272.40513504501</v>
      </c>
      <c r="D1421">
        <v>20</v>
      </c>
      <c r="E1421" t="s">
        <v>7</v>
      </c>
      <c r="F1421" t="s">
        <v>12</v>
      </c>
      <c r="G1421">
        <v>4098</v>
      </c>
    </row>
    <row r="1422" spans="1:7" x14ac:dyDescent="0.25">
      <c r="A1422">
        <v>1591</v>
      </c>
      <c r="B1422">
        <v>51421</v>
      </c>
      <c r="C1422" s="2">
        <v>45272.648549516503</v>
      </c>
      <c r="D1422">
        <v>29</v>
      </c>
      <c r="E1422" t="s">
        <v>7</v>
      </c>
      <c r="F1422" t="s">
        <v>10</v>
      </c>
      <c r="G1422">
        <v>2272</v>
      </c>
    </row>
    <row r="1423" spans="1:7" x14ac:dyDescent="0.25">
      <c r="A1423">
        <v>1027</v>
      </c>
      <c r="B1423">
        <v>51422</v>
      </c>
      <c r="C1423" s="2">
        <v>45272.89196398799</v>
      </c>
      <c r="D1423">
        <v>48</v>
      </c>
      <c r="E1423" t="s">
        <v>7</v>
      </c>
      <c r="F1423" t="s">
        <v>9</v>
      </c>
      <c r="G1423">
        <v>1495</v>
      </c>
    </row>
    <row r="1424" spans="1:7" x14ac:dyDescent="0.25">
      <c r="A1424">
        <v>1562</v>
      </c>
      <c r="B1424">
        <v>51423</v>
      </c>
      <c r="C1424" s="2">
        <v>45273.135378459483</v>
      </c>
      <c r="D1424">
        <v>46</v>
      </c>
      <c r="E1424" t="s">
        <v>8</v>
      </c>
      <c r="F1424" t="s">
        <v>12</v>
      </c>
      <c r="G1424">
        <v>1138</v>
      </c>
    </row>
    <row r="1425" spans="1:7" x14ac:dyDescent="0.25">
      <c r="A1425">
        <v>1199</v>
      </c>
      <c r="B1425">
        <v>51424</v>
      </c>
      <c r="C1425" s="2">
        <v>45273.378792930969</v>
      </c>
      <c r="D1425">
        <v>22</v>
      </c>
      <c r="E1425" t="s">
        <v>7</v>
      </c>
      <c r="F1425" t="s">
        <v>12</v>
      </c>
      <c r="G1425">
        <v>961</v>
      </c>
    </row>
    <row r="1426" spans="1:7" x14ac:dyDescent="0.25">
      <c r="A1426">
        <v>1387</v>
      </c>
      <c r="B1426">
        <v>51425</v>
      </c>
      <c r="C1426" s="2">
        <v>45273.622207402463</v>
      </c>
      <c r="D1426">
        <v>42</v>
      </c>
      <c r="E1426" t="s">
        <v>7</v>
      </c>
      <c r="F1426" t="s">
        <v>9</v>
      </c>
      <c r="G1426">
        <v>4949</v>
      </c>
    </row>
    <row r="1427" spans="1:7" x14ac:dyDescent="0.25">
      <c r="A1427">
        <v>1349</v>
      </c>
      <c r="B1427">
        <v>51426</v>
      </c>
      <c r="C1427" s="2">
        <v>45273.865621873949</v>
      </c>
      <c r="D1427">
        <v>58</v>
      </c>
      <c r="E1427" t="s">
        <v>8</v>
      </c>
      <c r="F1427" t="s">
        <v>11</v>
      </c>
      <c r="G1427">
        <v>1869</v>
      </c>
    </row>
    <row r="1428" spans="1:7" x14ac:dyDescent="0.25">
      <c r="A1428">
        <v>1536</v>
      </c>
      <c r="B1428">
        <v>51427</v>
      </c>
      <c r="C1428" s="2">
        <v>45274.109036345442</v>
      </c>
      <c r="D1428">
        <v>48</v>
      </c>
      <c r="E1428" t="s">
        <v>8</v>
      </c>
      <c r="F1428" t="s">
        <v>9</v>
      </c>
      <c r="G1428">
        <v>4062</v>
      </c>
    </row>
    <row r="1429" spans="1:7" x14ac:dyDescent="0.25">
      <c r="A1429">
        <v>1378</v>
      </c>
      <c r="B1429">
        <v>51428</v>
      </c>
      <c r="C1429" s="2">
        <v>45274.352450816943</v>
      </c>
      <c r="D1429">
        <v>38</v>
      </c>
      <c r="E1429" t="s">
        <v>7</v>
      </c>
      <c r="F1429" t="s">
        <v>11</v>
      </c>
      <c r="G1429">
        <v>2885</v>
      </c>
    </row>
    <row r="1430" spans="1:7" x14ac:dyDescent="0.25">
      <c r="A1430">
        <v>1558</v>
      </c>
      <c r="B1430">
        <v>51429</v>
      </c>
      <c r="C1430" s="2">
        <v>45274.595865288429</v>
      </c>
      <c r="D1430">
        <v>37</v>
      </c>
      <c r="E1430" t="s">
        <v>7</v>
      </c>
      <c r="F1430" t="s">
        <v>10</v>
      </c>
      <c r="G1430">
        <v>4099</v>
      </c>
    </row>
    <row r="1431" spans="1:7" x14ac:dyDescent="0.25">
      <c r="A1431">
        <v>1527</v>
      </c>
      <c r="B1431">
        <v>51430</v>
      </c>
      <c r="C1431" s="2">
        <v>45274.839279759923</v>
      </c>
      <c r="D1431">
        <v>56</v>
      </c>
      <c r="E1431" t="s">
        <v>8</v>
      </c>
      <c r="F1431" t="s">
        <v>11</v>
      </c>
      <c r="G1431">
        <v>2131</v>
      </c>
    </row>
    <row r="1432" spans="1:7" x14ac:dyDescent="0.25">
      <c r="A1432">
        <v>1153</v>
      </c>
      <c r="B1432">
        <v>51431</v>
      </c>
      <c r="C1432" s="2">
        <v>45275.082694231402</v>
      </c>
      <c r="D1432">
        <v>39</v>
      </c>
      <c r="E1432" t="s">
        <v>7</v>
      </c>
      <c r="F1432" t="s">
        <v>10</v>
      </c>
      <c r="G1432">
        <v>4139</v>
      </c>
    </row>
    <row r="1433" spans="1:7" x14ac:dyDescent="0.25">
      <c r="A1433">
        <v>1206</v>
      </c>
      <c r="B1433">
        <v>51432</v>
      </c>
      <c r="C1433" s="2">
        <v>45275.326108702888</v>
      </c>
      <c r="D1433">
        <v>21</v>
      </c>
      <c r="E1433" t="s">
        <v>8</v>
      </c>
      <c r="F1433" t="s">
        <v>9</v>
      </c>
      <c r="G1433">
        <v>1326</v>
      </c>
    </row>
    <row r="1434" spans="1:7" x14ac:dyDescent="0.25">
      <c r="A1434">
        <v>1455</v>
      </c>
      <c r="B1434">
        <v>51433</v>
      </c>
      <c r="C1434" s="2">
        <v>45275.569523174388</v>
      </c>
      <c r="D1434">
        <v>30</v>
      </c>
      <c r="E1434" t="s">
        <v>7</v>
      </c>
      <c r="F1434" t="s">
        <v>10</v>
      </c>
      <c r="G1434">
        <v>3497</v>
      </c>
    </row>
    <row r="1435" spans="1:7" x14ac:dyDescent="0.25">
      <c r="A1435">
        <v>1273</v>
      </c>
      <c r="B1435">
        <v>51434</v>
      </c>
      <c r="C1435" s="2">
        <v>45275.812937645882</v>
      </c>
      <c r="D1435">
        <v>62</v>
      </c>
      <c r="E1435" t="s">
        <v>8</v>
      </c>
      <c r="F1435" t="s">
        <v>12</v>
      </c>
      <c r="G1435">
        <v>4870</v>
      </c>
    </row>
    <row r="1436" spans="1:7" x14ac:dyDescent="0.25">
      <c r="A1436">
        <v>1236</v>
      </c>
      <c r="B1436">
        <v>51435</v>
      </c>
      <c r="C1436" s="2">
        <v>45276.056352117361</v>
      </c>
      <c r="D1436">
        <v>59</v>
      </c>
      <c r="E1436" t="s">
        <v>7</v>
      </c>
      <c r="F1436" t="s">
        <v>10</v>
      </c>
      <c r="G1436">
        <v>1403</v>
      </c>
    </row>
    <row r="1437" spans="1:7" x14ac:dyDescent="0.25">
      <c r="A1437">
        <v>1521</v>
      </c>
      <c r="B1437">
        <v>51436</v>
      </c>
      <c r="C1437" s="2">
        <v>45276.299766588847</v>
      </c>
      <c r="D1437">
        <v>37</v>
      </c>
      <c r="E1437" t="s">
        <v>8</v>
      </c>
      <c r="F1437" t="s">
        <v>11</v>
      </c>
      <c r="G1437">
        <v>4335</v>
      </c>
    </row>
    <row r="1438" spans="1:7" x14ac:dyDescent="0.25">
      <c r="A1438">
        <v>1501</v>
      </c>
      <c r="B1438">
        <v>51437</v>
      </c>
      <c r="C1438" s="2">
        <v>45276.543181060348</v>
      </c>
      <c r="D1438">
        <v>30</v>
      </c>
      <c r="E1438" t="s">
        <v>8</v>
      </c>
      <c r="F1438" t="s">
        <v>11</v>
      </c>
      <c r="G1438">
        <v>3972</v>
      </c>
    </row>
    <row r="1439" spans="1:7" x14ac:dyDescent="0.25">
      <c r="A1439">
        <v>1117</v>
      </c>
      <c r="B1439">
        <v>51438</v>
      </c>
      <c r="C1439" s="2">
        <v>45276.786595531841</v>
      </c>
      <c r="D1439">
        <v>34</v>
      </c>
      <c r="E1439" t="s">
        <v>8</v>
      </c>
      <c r="F1439" t="s">
        <v>11</v>
      </c>
      <c r="G1439">
        <v>719</v>
      </c>
    </row>
    <row r="1440" spans="1:7" x14ac:dyDescent="0.25">
      <c r="A1440">
        <v>1386</v>
      </c>
      <c r="B1440">
        <v>51439</v>
      </c>
      <c r="C1440" s="2">
        <v>45277.030010003327</v>
      </c>
      <c r="D1440">
        <v>53</v>
      </c>
      <c r="E1440" t="s">
        <v>8</v>
      </c>
      <c r="F1440" t="s">
        <v>10</v>
      </c>
      <c r="G1440">
        <v>2483</v>
      </c>
    </row>
    <row r="1441" spans="1:7" x14ac:dyDescent="0.25">
      <c r="A1441">
        <v>1344</v>
      </c>
      <c r="B1441">
        <v>51440</v>
      </c>
      <c r="C1441" s="2">
        <v>45277.273424474814</v>
      </c>
      <c r="D1441">
        <v>50</v>
      </c>
      <c r="E1441" t="s">
        <v>8</v>
      </c>
      <c r="F1441" t="s">
        <v>11</v>
      </c>
      <c r="G1441">
        <v>4758</v>
      </c>
    </row>
    <row r="1442" spans="1:7" x14ac:dyDescent="0.25">
      <c r="A1442">
        <v>1584</v>
      </c>
      <c r="B1442">
        <v>51441</v>
      </c>
      <c r="C1442" s="2">
        <v>45277.516838946307</v>
      </c>
      <c r="D1442">
        <v>18</v>
      </c>
      <c r="E1442" t="s">
        <v>7</v>
      </c>
      <c r="F1442" t="s">
        <v>11</v>
      </c>
      <c r="G1442">
        <v>682</v>
      </c>
    </row>
    <row r="1443" spans="1:7" x14ac:dyDescent="0.25">
      <c r="A1443">
        <v>1395</v>
      </c>
      <c r="B1443">
        <v>51442</v>
      </c>
      <c r="C1443" s="2">
        <v>45277.7602534178</v>
      </c>
      <c r="D1443">
        <v>32</v>
      </c>
      <c r="E1443" t="s">
        <v>7</v>
      </c>
      <c r="F1443" t="s">
        <v>12</v>
      </c>
      <c r="G1443">
        <v>2677</v>
      </c>
    </row>
    <row r="1444" spans="1:7" x14ac:dyDescent="0.25">
      <c r="A1444">
        <v>1064</v>
      </c>
      <c r="B1444">
        <v>51443</v>
      </c>
      <c r="C1444" s="2">
        <v>45278.003667889287</v>
      </c>
      <c r="D1444">
        <v>30</v>
      </c>
      <c r="E1444" t="s">
        <v>8</v>
      </c>
      <c r="F1444" t="s">
        <v>10</v>
      </c>
      <c r="G1444">
        <v>3293</v>
      </c>
    </row>
    <row r="1445" spans="1:7" x14ac:dyDescent="0.25">
      <c r="A1445">
        <v>1072</v>
      </c>
      <c r="B1445">
        <v>51444</v>
      </c>
      <c r="C1445" s="2">
        <v>45278.247082360773</v>
      </c>
      <c r="D1445">
        <v>34</v>
      </c>
      <c r="E1445" t="s">
        <v>7</v>
      </c>
      <c r="F1445" t="s">
        <v>12</v>
      </c>
      <c r="G1445">
        <v>542</v>
      </c>
    </row>
    <row r="1446" spans="1:7" x14ac:dyDescent="0.25">
      <c r="A1446">
        <v>1274</v>
      </c>
      <c r="B1446">
        <v>51445</v>
      </c>
      <c r="C1446" s="2">
        <v>45278.490496832273</v>
      </c>
      <c r="D1446">
        <v>41</v>
      </c>
      <c r="E1446" t="s">
        <v>7</v>
      </c>
      <c r="F1446" t="s">
        <v>11</v>
      </c>
      <c r="G1446">
        <v>1662</v>
      </c>
    </row>
    <row r="1447" spans="1:7" x14ac:dyDescent="0.25">
      <c r="A1447">
        <v>1320</v>
      </c>
      <c r="B1447">
        <v>51446</v>
      </c>
      <c r="C1447" s="2">
        <v>45278.73391130376</v>
      </c>
      <c r="D1447">
        <v>25</v>
      </c>
      <c r="E1447" t="s">
        <v>7</v>
      </c>
      <c r="F1447" t="s">
        <v>11</v>
      </c>
      <c r="G1447">
        <v>1402</v>
      </c>
    </row>
    <row r="1448" spans="1:7" x14ac:dyDescent="0.25">
      <c r="A1448">
        <v>1338</v>
      </c>
      <c r="B1448">
        <v>51447</v>
      </c>
      <c r="C1448" s="2">
        <v>45278.977325775253</v>
      </c>
      <c r="D1448">
        <v>44</v>
      </c>
      <c r="E1448" t="s">
        <v>7</v>
      </c>
      <c r="F1448" t="s">
        <v>11</v>
      </c>
      <c r="G1448">
        <v>1821</v>
      </c>
    </row>
    <row r="1449" spans="1:7" x14ac:dyDescent="0.25">
      <c r="A1449">
        <v>1366</v>
      </c>
      <c r="B1449">
        <v>51448</v>
      </c>
      <c r="C1449" s="2">
        <v>45279.220740246747</v>
      </c>
      <c r="D1449">
        <v>62</v>
      </c>
      <c r="E1449" t="s">
        <v>7</v>
      </c>
      <c r="F1449" t="s">
        <v>10</v>
      </c>
      <c r="G1449">
        <v>2598</v>
      </c>
    </row>
    <row r="1450" spans="1:7" x14ac:dyDescent="0.25">
      <c r="A1450">
        <v>1495</v>
      </c>
      <c r="B1450">
        <v>51449</v>
      </c>
      <c r="C1450" s="2">
        <v>45279.464154718233</v>
      </c>
      <c r="D1450">
        <v>40</v>
      </c>
      <c r="E1450" t="s">
        <v>7</v>
      </c>
      <c r="F1450" t="s">
        <v>9</v>
      </c>
      <c r="G1450">
        <v>3796</v>
      </c>
    </row>
    <row r="1451" spans="1:7" x14ac:dyDescent="0.25">
      <c r="A1451">
        <v>1166</v>
      </c>
      <c r="B1451">
        <v>51450</v>
      </c>
      <c r="C1451" s="2">
        <v>45279.707569189719</v>
      </c>
      <c r="D1451">
        <v>63</v>
      </c>
      <c r="E1451" t="s">
        <v>8</v>
      </c>
      <c r="F1451" t="s">
        <v>11</v>
      </c>
      <c r="G1451">
        <v>3735</v>
      </c>
    </row>
    <row r="1452" spans="1:7" x14ac:dyDescent="0.25">
      <c r="A1452">
        <v>1544</v>
      </c>
      <c r="B1452">
        <v>51451</v>
      </c>
      <c r="C1452" s="2">
        <v>45279.950983661212</v>
      </c>
      <c r="D1452">
        <v>25</v>
      </c>
      <c r="E1452" t="s">
        <v>7</v>
      </c>
      <c r="F1452" t="s">
        <v>11</v>
      </c>
      <c r="G1452">
        <v>3077</v>
      </c>
    </row>
    <row r="1453" spans="1:7" x14ac:dyDescent="0.25">
      <c r="A1453">
        <v>1011</v>
      </c>
      <c r="B1453">
        <v>51452</v>
      </c>
      <c r="C1453" s="2">
        <v>45280.194398132713</v>
      </c>
      <c r="D1453">
        <v>25</v>
      </c>
      <c r="E1453" t="s">
        <v>7</v>
      </c>
      <c r="F1453" t="s">
        <v>11</v>
      </c>
      <c r="G1453">
        <v>2590</v>
      </c>
    </row>
    <row r="1454" spans="1:7" x14ac:dyDescent="0.25">
      <c r="A1454">
        <v>1301</v>
      </c>
      <c r="B1454">
        <v>51453</v>
      </c>
      <c r="C1454" s="2">
        <v>45280.437812604199</v>
      </c>
      <c r="D1454">
        <v>43</v>
      </c>
      <c r="E1454" t="s">
        <v>7</v>
      </c>
      <c r="F1454" t="s">
        <v>11</v>
      </c>
      <c r="G1454">
        <v>3551</v>
      </c>
    </row>
    <row r="1455" spans="1:7" x14ac:dyDescent="0.25">
      <c r="A1455">
        <v>1102</v>
      </c>
      <c r="B1455">
        <v>51454</v>
      </c>
      <c r="C1455" s="2">
        <v>45280.681227075693</v>
      </c>
      <c r="D1455">
        <v>64</v>
      </c>
      <c r="E1455" t="s">
        <v>8</v>
      </c>
      <c r="F1455" t="s">
        <v>10</v>
      </c>
      <c r="G1455">
        <v>3113</v>
      </c>
    </row>
    <row r="1456" spans="1:7" x14ac:dyDescent="0.25">
      <c r="A1456">
        <v>1425</v>
      </c>
      <c r="B1456">
        <v>51455</v>
      </c>
      <c r="C1456" s="2">
        <v>45280.924641547179</v>
      </c>
      <c r="D1456">
        <v>30</v>
      </c>
      <c r="E1456" t="s">
        <v>7</v>
      </c>
      <c r="F1456" t="s">
        <v>9</v>
      </c>
      <c r="G1456">
        <v>1389</v>
      </c>
    </row>
    <row r="1457" spans="1:7" x14ac:dyDescent="0.25">
      <c r="A1457">
        <v>1392</v>
      </c>
      <c r="B1457">
        <v>51456</v>
      </c>
      <c r="C1457" s="2">
        <v>45281.168056018672</v>
      </c>
      <c r="D1457">
        <v>56</v>
      </c>
      <c r="E1457" t="s">
        <v>7</v>
      </c>
      <c r="F1457" t="s">
        <v>9</v>
      </c>
      <c r="G1457">
        <v>2540</v>
      </c>
    </row>
    <row r="1458" spans="1:7" x14ac:dyDescent="0.25">
      <c r="A1458">
        <v>1214</v>
      </c>
      <c r="B1458">
        <v>51457</v>
      </c>
      <c r="C1458" s="2">
        <v>45281.411470490159</v>
      </c>
      <c r="D1458">
        <v>54</v>
      </c>
      <c r="E1458" t="s">
        <v>7</v>
      </c>
      <c r="F1458" t="s">
        <v>9</v>
      </c>
      <c r="G1458">
        <v>3780</v>
      </c>
    </row>
    <row r="1459" spans="1:7" x14ac:dyDescent="0.25">
      <c r="A1459">
        <v>1088</v>
      </c>
      <c r="B1459">
        <v>51458</v>
      </c>
      <c r="C1459" s="2">
        <v>45281.654884961637</v>
      </c>
      <c r="D1459">
        <v>45</v>
      </c>
      <c r="E1459" t="s">
        <v>8</v>
      </c>
      <c r="F1459" t="s">
        <v>11</v>
      </c>
      <c r="G1459">
        <v>1803</v>
      </c>
    </row>
    <row r="1460" spans="1:7" x14ac:dyDescent="0.25">
      <c r="A1460">
        <v>1553</v>
      </c>
      <c r="B1460">
        <v>51459</v>
      </c>
      <c r="C1460" s="2">
        <v>45281.898299433138</v>
      </c>
      <c r="D1460">
        <v>42</v>
      </c>
      <c r="E1460" t="s">
        <v>7</v>
      </c>
      <c r="F1460" t="s">
        <v>11</v>
      </c>
      <c r="G1460">
        <v>3497</v>
      </c>
    </row>
    <row r="1461" spans="1:7" x14ac:dyDescent="0.25">
      <c r="A1461">
        <v>1401</v>
      </c>
      <c r="B1461">
        <v>51460</v>
      </c>
      <c r="C1461" s="2">
        <v>45282.141713904632</v>
      </c>
      <c r="D1461">
        <v>33</v>
      </c>
      <c r="E1461" t="s">
        <v>8</v>
      </c>
      <c r="F1461" t="s">
        <v>9</v>
      </c>
      <c r="G1461">
        <v>797</v>
      </c>
    </row>
    <row r="1462" spans="1:7" x14ac:dyDescent="0.25">
      <c r="A1462">
        <v>1588</v>
      </c>
      <c r="B1462">
        <v>51461</v>
      </c>
      <c r="C1462" s="2">
        <v>45282.385128376132</v>
      </c>
      <c r="D1462">
        <v>19</v>
      </c>
      <c r="E1462" t="s">
        <v>7</v>
      </c>
      <c r="F1462" t="s">
        <v>9</v>
      </c>
      <c r="G1462">
        <v>844</v>
      </c>
    </row>
    <row r="1463" spans="1:7" x14ac:dyDescent="0.25">
      <c r="A1463">
        <v>1046</v>
      </c>
      <c r="B1463">
        <v>51462</v>
      </c>
      <c r="C1463" s="2">
        <v>45282.628542847619</v>
      </c>
      <c r="D1463">
        <v>35</v>
      </c>
      <c r="E1463" t="s">
        <v>8</v>
      </c>
      <c r="F1463" t="s">
        <v>11</v>
      </c>
      <c r="G1463">
        <v>4743</v>
      </c>
    </row>
    <row r="1464" spans="1:7" x14ac:dyDescent="0.25">
      <c r="A1464">
        <v>1463</v>
      </c>
      <c r="B1464">
        <v>51463</v>
      </c>
      <c r="C1464" s="2">
        <v>45282.871957319097</v>
      </c>
      <c r="D1464">
        <v>34</v>
      </c>
      <c r="E1464" t="s">
        <v>8</v>
      </c>
      <c r="F1464" t="s">
        <v>11</v>
      </c>
      <c r="G1464">
        <v>3102</v>
      </c>
    </row>
    <row r="1465" spans="1:7" x14ac:dyDescent="0.25">
      <c r="A1465">
        <v>1592</v>
      </c>
      <c r="B1465">
        <v>51464</v>
      </c>
      <c r="C1465" s="2">
        <v>45283.115371790591</v>
      </c>
      <c r="D1465">
        <v>47</v>
      </c>
      <c r="E1465" t="s">
        <v>8</v>
      </c>
      <c r="F1465" t="s">
        <v>12</v>
      </c>
      <c r="G1465">
        <v>963</v>
      </c>
    </row>
    <row r="1466" spans="1:7" x14ac:dyDescent="0.25">
      <c r="A1466">
        <v>1310</v>
      </c>
      <c r="B1466">
        <v>51465</v>
      </c>
      <c r="C1466" s="2">
        <v>45283.358786262077</v>
      </c>
      <c r="D1466">
        <v>56</v>
      </c>
      <c r="E1466" t="s">
        <v>7</v>
      </c>
      <c r="F1466" t="s">
        <v>12</v>
      </c>
      <c r="G1466">
        <v>1842</v>
      </c>
    </row>
    <row r="1467" spans="1:7" x14ac:dyDescent="0.25">
      <c r="A1467">
        <v>1086</v>
      </c>
      <c r="B1467">
        <v>51466</v>
      </c>
      <c r="C1467" s="2">
        <v>45283.602200733578</v>
      </c>
      <c r="D1467">
        <v>30</v>
      </c>
      <c r="E1467" t="s">
        <v>8</v>
      </c>
      <c r="F1467" t="s">
        <v>12</v>
      </c>
      <c r="G1467">
        <v>2497</v>
      </c>
    </row>
    <row r="1468" spans="1:7" x14ac:dyDescent="0.25">
      <c r="A1468">
        <v>1092</v>
      </c>
      <c r="B1468">
        <v>51467</v>
      </c>
      <c r="C1468" s="2">
        <v>45283.845615205057</v>
      </c>
      <c r="D1468">
        <v>49</v>
      </c>
      <c r="E1468" t="s">
        <v>8</v>
      </c>
      <c r="F1468" t="s">
        <v>9</v>
      </c>
      <c r="G1468">
        <v>4896</v>
      </c>
    </row>
    <row r="1469" spans="1:7" x14ac:dyDescent="0.25">
      <c r="A1469">
        <v>1242</v>
      </c>
      <c r="B1469">
        <v>51468</v>
      </c>
      <c r="C1469" s="2">
        <v>45284.08902967655</v>
      </c>
      <c r="D1469">
        <v>46</v>
      </c>
      <c r="E1469" t="s">
        <v>8</v>
      </c>
      <c r="F1469" t="s">
        <v>10</v>
      </c>
      <c r="G1469">
        <v>2372</v>
      </c>
    </row>
    <row r="1470" spans="1:7" x14ac:dyDescent="0.25">
      <c r="A1470">
        <v>1002</v>
      </c>
      <c r="B1470">
        <v>51469</v>
      </c>
      <c r="C1470" s="2">
        <v>45284.332444148044</v>
      </c>
      <c r="D1470">
        <v>63</v>
      </c>
      <c r="E1470" t="s">
        <v>8</v>
      </c>
      <c r="F1470" t="s">
        <v>11</v>
      </c>
      <c r="G1470">
        <v>2360</v>
      </c>
    </row>
    <row r="1471" spans="1:7" x14ac:dyDescent="0.25">
      <c r="A1471">
        <v>1225</v>
      </c>
      <c r="B1471">
        <v>51470</v>
      </c>
      <c r="C1471" s="2">
        <v>45284.575858619537</v>
      </c>
      <c r="D1471">
        <v>47</v>
      </c>
      <c r="E1471" t="s">
        <v>7</v>
      </c>
      <c r="F1471" t="s">
        <v>12</v>
      </c>
      <c r="G1471">
        <v>3949</v>
      </c>
    </row>
    <row r="1472" spans="1:7" x14ac:dyDescent="0.25">
      <c r="A1472">
        <v>1589</v>
      </c>
      <c r="B1472">
        <v>51471</v>
      </c>
      <c r="C1472" s="2">
        <v>45284.81927309103</v>
      </c>
      <c r="D1472">
        <v>35</v>
      </c>
      <c r="E1472" t="s">
        <v>7</v>
      </c>
      <c r="F1472" t="s">
        <v>10</v>
      </c>
      <c r="G1472">
        <v>3122</v>
      </c>
    </row>
    <row r="1473" spans="1:7" x14ac:dyDescent="0.25">
      <c r="A1473">
        <v>1116</v>
      </c>
      <c r="B1473">
        <v>51472</v>
      </c>
      <c r="C1473" s="2">
        <v>45285.062687562509</v>
      </c>
      <c r="D1473">
        <v>30</v>
      </c>
      <c r="E1473" t="s">
        <v>7</v>
      </c>
      <c r="F1473" t="s">
        <v>11</v>
      </c>
      <c r="G1473">
        <v>779</v>
      </c>
    </row>
    <row r="1474" spans="1:7" x14ac:dyDescent="0.25">
      <c r="A1474">
        <v>1103</v>
      </c>
      <c r="B1474">
        <v>51473</v>
      </c>
      <c r="C1474" s="2">
        <v>45285.306102034003</v>
      </c>
      <c r="D1474">
        <v>60</v>
      </c>
      <c r="E1474" t="s">
        <v>7</v>
      </c>
      <c r="F1474" t="s">
        <v>10</v>
      </c>
      <c r="G1474">
        <v>4004</v>
      </c>
    </row>
    <row r="1475" spans="1:7" x14ac:dyDescent="0.25">
      <c r="A1475">
        <v>1194</v>
      </c>
      <c r="B1475">
        <v>51474</v>
      </c>
      <c r="C1475" s="2">
        <v>45285.549516505504</v>
      </c>
      <c r="D1475">
        <v>38</v>
      </c>
      <c r="E1475" t="s">
        <v>8</v>
      </c>
      <c r="F1475" t="s">
        <v>9</v>
      </c>
      <c r="G1475">
        <v>2568</v>
      </c>
    </row>
    <row r="1476" spans="1:7" x14ac:dyDescent="0.25">
      <c r="A1476">
        <v>1166</v>
      </c>
      <c r="B1476">
        <v>51475</v>
      </c>
      <c r="C1476" s="2">
        <v>45285.79293097699</v>
      </c>
      <c r="D1476">
        <v>47</v>
      </c>
      <c r="E1476" t="s">
        <v>7</v>
      </c>
      <c r="F1476" t="s">
        <v>9</v>
      </c>
      <c r="G1476">
        <v>4132</v>
      </c>
    </row>
    <row r="1477" spans="1:7" x14ac:dyDescent="0.25">
      <c r="A1477">
        <v>1090</v>
      </c>
      <c r="B1477">
        <v>51476</v>
      </c>
      <c r="C1477" s="2">
        <v>45286.036345448469</v>
      </c>
      <c r="D1477">
        <v>38</v>
      </c>
      <c r="E1477" t="s">
        <v>8</v>
      </c>
      <c r="F1477" t="s">
        <v>9</v>
      </c>
      <c r="G1477">
        <v>4827</v>
      </c>
    </row>
    <row r="1478" spans="1:7" x14ac:dyDescent="0.25">
      <c r="A1478">
        <v>1122</v>
      </c>
      <c r="B1478">
        <v>51477</v>
      </c>
      <c r="C1478" s="2">
        <v>45286.279759919962</v>
      </c>
      <c r="D1478">
        <v>34</v>
      </c>
      <c r="E1478" t="s">
        <v>7</v>
      </c>
      <c r="F1478" t="s">
        <v>12</v>
      </c>
      <c r="G1478">
        <v>3560</v>
      </c>
    </row>
    <row r="1479" spans="1:7" x14ac:dyDescent="0.25">
      <c r="A1479">
        <v>1143</v>
      </c>
      <c r="B1479">
        <v>51478</v>
      </c>
      <c r="C1479" s="2">
        <v>45286.523174391463</v>
      </c>
      <c r="D1479">
        <v>57</v>
      </c>
      <c r="E1479" t="s">
        <v>7</v>
      </c>
      <c r="F1479" t="s">
        <v>11</v>
      </c>
      <c r="G1479">
        <v>4907</v>
      </c>
    </row>
    <row r="1480" spans="1:7" x14ac:dyDescent="0.25">
      <c r="A1480">
        <v>1106</v>
      </c>
      <c r="B1480">
        <v>51479</v>
      </c>
      <c r="C1480" s="2">
        <v>45286.766588862949</v>
      </c>
      <c r="D1480">
        <v>36</v>
      </c>
      <c r="E1480" t="s">
        <v>7</v>
      </c>
      <c r="F1480" t="s">
        <v>9</v>
      </c>
      <c r="G1480">
        <v>1300</v>
      </c>
    </row>
    <row r="1481" spans="1:7" x14ac:dyDescent="0.25">
      <c r="A1481">
        <v>1428</v>
      </c>
      <c r="B1481">
        <v>51480</v>
      </c>
      <c r="C1481" s="2">
        <v>45287.010003334442</v>
      </c>
      <c r="D1481">
        <v>32</v>
      </c>
      <c r="E1481" t="s">
        <v>8</v>
      </c>
      <c r="F1481" t="s">
        <v>12</v>
      </c>
      <c r="G1481">
        <v>1870</v>
      </c>
    </row>
    <row r="1482" spans="1:7" x14ac:dyDescent="0.25">
      <c r="A1482">
        <v>1305</v>
      </c>
      <c r="B1482">
        <v>51481</v>
      </c>
      <c r="C1482" s="2">
        <v>45287.253417805929</v>
      </c>
      <c r="D1482">
        <v>26</v>
      </c>
      <c r="E1482" t="s">
        <v>7</v>
      </c>
      <c r="F1482" t="s">
        <v>12</v>
      </c>
      <c r="G1482">
        <v>2420</v>
      </c>
    </row>
    <row r="1483" spans="1:7" x14ac:dyDescent="0.25">
      <c r="A1483">
        <v>1317</v>
      </c>
      <c r="B1483">
        <v>51482</v>
      </c>
      <c r="C1483" s="2">
        <v>45287.496832277422</v>
      </c>
      <c r="D1483">
        <v>27</v>
      </c>
      <c r="E1483" t="s">
        <v>7</v>
      </c>
      <c r="F1483" t="s">
        <v>12</v>
      </c>
      <c r="G1483">
        <v>416</v>
      </c>
    </row>
    <row r="1484" spans="1:7" x14ac:dyDescent="0.25">
      <c r="A1484">
        <v>1009</v>
      </c>
      <c r="B1484">
        <v>51483</v>
      </c>
      <c r="C1484" s="2">
        <v>45287.740246748923</v>
      </c>
      <c r="D1484">
        <v>61</v>
      </c>
      <c r="E1484" t="s">
        <v>7</v>
      </c>
      <c r="F1484" t="s">
        <v>12</v>
      </c>
      <c r="G1484">
        <v>575</v>
      </c>
    </row>
    <row r="1485" spans="1:7" x14ac:dyDescent="0.25">
      <c r="A1485">
        <v>1073</v>
      </c>
      <c r="B1485">
        <v>51484</v>
      </c>
      <c r="C1485" s="2">
        <v>45287.983661220402</v>
      </c>
      <c r="D1485">
        <v>48</v>
      </c>
      <c r="E1485" t="s">
        <v>8</v>
      </c>
      <c r="F1485" t="s">
        <v>9</v>
      </c>
      <c r="G1485">
        <v>1809</v>
      </c>
    </row>
    <row r="1486" spans="1:7" x14ac:dyDescent="0.25">
      <c r="A1486">
        <v>1359</v>
      </c>
      <c r="B1486">
        <v>51485</v>
      </c>
      <c r="C1486" s="2">
        <v>45288.227075691888</v>
      </c>
      <c r="D1486">
        <v>40</v>
      </c>
      <c r="E1486" t="s">
        <v>7</v>
      </c>
      <c r="F1486" t="s">
        <v>12</v>
      </c>
      <c r="G1486">
        <v>4306</v>
      </c>
    </row>
    <row r="1487" spans="1:7" x14ac:dyDescent="0.25">
      <c r="A1487">
        <v>1223</v>
      </c>
      <c r="B1487">
        <v>51486</v>
      </c>
      <c r="C1487" s="2">
        <v>45288.470490163381</v>
      </c>
      <c r="D1487">
        <v>47</v>
      </c>
      <c r="E1487" t="s">
        <v>7</v>
      </c>
      <c r="F1487" t="s">
        <v>9</v>
      </c>
      <c r="G1487">
        <v>4039</v>
      </c>
    </row>
    <row r="1488" spans="1:7" x14ac:dyDescent="0.25">
      <c r="A1488">
        <v>1416</v>
      </c>
      <c r="B1488">
        <v>51487</v>
      </c>
      <c r="C1488" s="2">
        <v>45288.713904634868</v>
      </c>
      <c r="D1488">
        <v>50</v>
      </c>
      <c r="E1488" t="s">
        <v>8</v>
      </c>
      <c r="F1488" t="s">
        <v>9</v>
      </c>
      <c r="G1488">
        <v>3139</v>
      </c>
    </row>
    <row r="1489" spans="1:7" x14ac:dyDescent="0.25">
      <c r="A1489">
        <v>1553</v>
      </c>
      <c r="B1489">
        <v>51488</v>
      </c>
      <c r="C1489" s="2">
        <v>45288.957319106368</v>
      </c>
      <c r="D1489">
        <v>26</v>
      </c>
      <c r="E1489" t="s">
        <v>8</v>
      </c>
      <c r="F1489" t="s">
        <v>12</v>
      </c>
      <c r="G1489">
        <v>4262</v>
      </c>
    </row>
    <row r="1490" spans="1:7" x14ac:dyDescent="0.25">
      <c r="A1490">
        <v>1370</v>
      </c>
      <c r="B1490">
        <v>51489</v>
      </c>
      <c r="C1490" s="2">
        <v>45289.200733577862</v>
      </c>
      <c r="D1490">
        <v>64</v>
      </c>
      <c r="E1490" t="s">
        <v>7</v>
      </c>
      <c r="F1490" t="s">
        <v>9</v>
      </c>
      <c r="G1490">
        <v>1813</v>
      </c>
    </row>
    <row r="1491" spans="1:7" x14ac:dyDescent="0.25">
      <c r="A1491">
        <v>1264</v>
      </c>
      <c r="B1491">
        <v>51490</v>
      </c>
      <c r="C1491" s="2">
        <v>45289.444148049341</v>
      </c>
      <c r="D1491">
        <v>18</v>
      </c>
      <c r="E1491" t="s">
        <v>7</v>
      </c>
      <c r="F1491" t="s">
        <v>11</v>
      </c>
      <c r="G1491">
        <v>3879</v>
      </c>
    </row>
    <row r="1492" spans="1:7" x14ac:dyDescent="0.25">
      <c r="A1492">
        <v>1318</v>
      </c>
      <c r="B1492">
        <v>51491</v>
      </c>
      <c r="C1492" s="2">
        <v>45289.687562520827</v>
      </c>
      <c r="D1492">
        <v>61</v>
      </c>
      <c r="E1492" t="s">
        <v>7</v>
      </c>
      <c r="F1492" t="s">
        <v>11</v>
      </c>
      <c r="G1492">
        <v>1496</v>
      </c>
    </row>
    <row r="1493" spans="1:7" x14ac:dyDescent="0.25">
      <c r="A1493">
        <v>1084</v>
      </c>
      <c r="B1493">
        <v>51492</v>
      </c>
      <c r="C1493" s="2">
        <v>45289.930976992327</v>
      </c>
      <c r="D1493">
        <v>52</v>
      </c>
      <c r="E1493" t="s">
        <v>8</v>
      </c>
      <c r="F1493" t="s">
        <v>10</v>
      </c>
      <c r="G1493">
        <v>4196</v>
      </c>
    </row>
    <row r="1494" spans="1:7" x14ac:dyDescent="0.25">
      <c r="A1494">
        <v>1318</v>
      </c>
      <c r="B1494">
        <v>51493</v>
      </c>
      <c r="C1494" s="2">
        <v>45290.174391463821</v>
      </c>
      <c r="D1494">
        <v>28</v>
      </c>
      <c r="E1494" t="s">
        <v>8</v>
      </c>
      <c r="F1494" t="s">
        <v>11</v>
      </c>
      <c r="G1494">
        <v>4986</v>
      </c>
    </row>
    <row r="1495" spans="1:7" x14ac:dyDescent="0.25">
      <c r="A1495">
        <v>1111</v>
      </c>
      <c r="B1495">
        <v>51494</v>
      </c>
      <c r="C1495" s="2">
        <v>45290.4178059353</v>
      </c>
      <c r="D1495">
        <v>51</v>
      </c>
      <c r="E1495" t="s">
        <v>8</v>
      </c>
      <c r="F1495" t="s">
        <v>9</v>
      </c>
      <c r="G1495">
        <v>1355</v>
      </c>
    </row>
    <row r="1496" spans="1:7" x14ac:dyDescent="0.25">
      <c r="A1496">
        <v>1251</v>
      </c>
      <c r="B1496">
        <v>51495</v>
      </c>
      <c r="C1496" s="2">
        <v>45290.661220406793</v>
      </c>
      <c r="D1496">
        <v>33</v>
      </c>
      <c r="E1496" t="s">
        <v>7</v>
      </c>
      <c r="F1496" t="s">
        <v>9</v>
      </c>
      <c r="G1496">
        <v>2566</v>
      </c>
    </row>
    <row r="1497" spans="1:7" x14ac:dyDescent="0.25">
      <c r="A1497">
        <v>1383</v>
      </c>
      <c r="B1497">
        <v>51496</v>
      </c>
      <c r="C1497" s="2">
        <v>45290.904634878287</v>
      </c>
      <c r="D1497">
        <v>26</v>
      </c>
      <c r="E1497" t="s">
        <v>8</v>
      </c>
      <c r="F1497" t="s">
        <v>11</v>
      </c>
      <c r="G1497">
        <v>3091</v>
      </c>
    </row>
    <row r="1498" spans="1:7" x14ac:dyDescent="0.25">
      <c r="A1498">
        <v>1007</v>
      </c>
      <c r="B1498">
        <v>51497</v>
      </c>
      <c r="C1498" s="2">
        <v>45291.14804934978</v>
      </c>
      <c r="D1498">
        <v>49</v>
      </c>
      <c r="E1498" t="s">
        <v>7</v>
      </c>
      <c r="F1498" t="s">
        <v>12</v>
      </c>
      <c r="G1498">
        <v>2172</v>
      </c>
    </row>
    <row r="1499" spans="1:7" x14ac:dyDescent="0.25">
      <c r="A1499">
        <v>1459</v>
      </c>
      <c r="B1499">
        <v>51498</v>
      </c>
      <c r="C1499" s="2">
        <v>45291.391463821266</v>
      </c>
      <c r="D1499">
        <v>32</v>
      </c>
      <c r="E1499" t="s">
        <v>8</v>
      </c>
      <c r="F1499" t="s">
        <v>12</v>
      </c>
      <c r="G1499">
        <v>984</v>
      </c>
    </row>
    <row r="1500" spans="1:7" x14ac:dyDescent="0.25">
      <c r="A1500">
        <v>1084</v>
      </c>
      <c r="B1500">
        <v>51499</v>
      </c>
      <c r="C1500" s="2">
        <v>45291.634878292753</v>
      </c>
      <c r="D1500">
        <v>29</v>
      </c>
      <c r="E1500" t="s">
        <v>8</v>
      </c>
      <c r="F1500" t="s">
        <v>9</v>
      </c>
      <c r="G1500">
        <v>4692</v>
      </c>
    </row>
    <row r="1501" spans="1:7" x14ac:dyDescent="0.25">
      <c r="A1501">
        <v>1208</v>
      </c>
      <c r="B1501">
        <v>51500</v>
      </c>
      <c r="C1501" s="2">
        <v>45291.878292764253</v>
      </c>
      <c r="D1501">
        <v>50</v>
      </c>
      <c r="E1501" t="s">
        <v>8</v>
      </c>
      <c r="F1501" t="s">
        <v>12</v>
      </c>
      <c r="G1501">
        <v>1281</v>
      </c>
    </row>
    <row r="1502" spans="1:7" x14ac:dyDescent="0.25">
      <c r="A1502">
        <v>1390</v>
      </c>
      <c r="B1502">
        <v>51501</v>
      </c>
      <c r="C1502" s="2">
        <v>45292.121707235739</v>
      </c>
      <c r="D1502">
        <v>62</v>
      </c>
      <c r="E1502" t="s">
        <v>7</v>
      </c>
      <c r="F1502" t="s">
        <v>10</v>
      </c>
      <c r="G1502">
        <v>2233</v>
      </c>
    </row>
    <row r="1503" spans="1:7" x14ac:dyDescent="0.25">
      <c r="A1503">
        <v>1314</v>
      </c>
      <c r="B1503">
        <v>51502</v>
      </c>
      <c r="C1503" s="2">
        <v>45292.365121707233</v>
      </c>
      <c r="D1503">
        <v>31</v>
      </c>
      <c r="E1503" t="s">
        <v>7</v>
      </c>
      <c r="F1503" t="s">
        <v>10</v>
      </c>
      <c r="G1503">
        <v>1814</v>
      </c>
    </row>
    <row r="1504" spans="1:7" x14ac:dyDescent="0.25">
      <c r="A1504">
        <v>1022</v>
      </c>
      <c r="B1504">
        <v>51503</v>
      </c>
      <c r="C1504" s="2">
        <v>45292.608536178712</v>
      </c>
      <c r="D1504">
        <v>25</v>
      </c>
      <c r="E1504" t="s">
        <v>7</v>
      </c>
      <c r="F1504" t="s">
        <v>11</v>
      </c>
      <c r="G1504">
        <v>4755</v>
      </c>
    </row>
    <row r="1505" spans="1:7" x14ac:dyDescent="0.25">
      <c r="A1505">
        <v>1410</v>
      </c>
      <c r="B1505">
        <v>51504</v>
      </c>
      <c r="C1505" s="2">
        <v>45292.851950650213</v>
      </c>
      <c r="D1505">
        <v>25</v>
      </c>
      <c r="E1505" t="s">
        <v>7</v>
      </c>
      <c r="F1505" t="s">
        <v>11</v>
      </c>
      <c r="G1505">
        <v>2616</v>
      </c>
    </row>
    <row r="1506" spans="1:7" x14ac:dyDescent="0.25">
      <c r="A1506">
        <v>1515</v>
      </c>
      <c r="B1506">
        <v>51505</v>
      </c>
      <c r="C1506" s="2">
        <v>45293.095365121699</v>
      </c>
      <c r="D1506">
        <v>44</v>
      </c>
      <c r="E1506" t="s">
        <v>8</v>
      </c>
      <c r="F1506" t="s">
        <v>12</v>
      </c>
      <c r="G1506">
        <v>4841</v>
      </c>
    </row>
    <row r="1507" spans="1:7" x14ac:dyDescent="0.25">
      <c r="A1507">
        <v>1127</v>
      </c>
      <c r="B1507">
        <v>51506</v>
      </c>
      <c r="C1507" s="2">
        <v>45293.338779593192</v>
      </c>
      <c r="D1507">
        <v>29</v>
      </c>
      <c r="E1507" t="s">
        <v>7</v>
      </c>
      <c r="F1507" t="s">
        <v>9</v>
      </c>
      <c r="G1507">
        <v>3853</v>
      </c>
    </row>
    <row r="1508" spans="1:7" x14ac:dyDescent="0.25">
      <c r="A1508">
        <v>1014</v>
      </c>
      <c r="B1508">
        <v>51507</v>
      </c>
      <c r="C1508" s="2">
        <v>45293.582194064693</v>
      </c>
      <c r="D1508">
        <v>18</v>
      </c>
      <c r="E1508" t="s">
        <v>8</v>
      </c>
      <c r="F1508" t="s">
        <v>11</v>
      </c>
      <c r="G1508">
        <v>696</v>
      </c>
    </row>
    <row r="1509" spans="1:7" x14ac:dyDescent="0.25">
      <c r="A1509">
        <v>1012</v>
      </c>
      <c r="B1509">
        <v>51508</v>
      </c>
      <c r="C1509" s="2">
        <v>45293.825608536172</v>
      </c>
      <c r="D1509">
        <v>60</v>
      </c>
      <c r="E1509" t="s">
        <v>7</v>
      </c>
      <c r="F1509" t="s">
        <v>10</v>
      </c>
      <c r="G1509">
        <v>704</v>
      </c>
    </row>
    <row r="1510" spans="1:7" x14ac:dyDescent="0.25">
      <c r="A1510">
        <v>1087</v>
      </c>
      <c r="B1510">
        <v>51509</v>
      </c>
      <c r="C1510" s="2">
        <v>45294.069023007673</v>
      </c>
      <c r="D1510">
        <v>57</v>
      </c>
      <c r="E1510" t="s">
        <v>7</v>
      </c>
      <c r="F1510" t="s">
        <v>11</v>
      </c>
      <c r="G1510">
        <v>3586</v>
      </c>
    </row>
    <row r="1511" spans="1:7" x14ac:dyDescent="0.25">
      <c r="A1511">
        <v>1524</v>
      </c>
      <c r="B1511">
        <v>51510</v>
      </c>
      <c r="C1511" s="2">
        <v>45294.312437479159</v>
      </c>
      <c r="D1511">
        <v>59</v>
      </c>
      <c r="E1511" t="s">
        <v>8</v>
      </c>
      <c r="F1511" t="s">
        <v>11</v>
      </c>
      <c r="G1511">
        <v>2408</v>
      </c>
    </row>
    <row r="1512" spans="1:7" x14ac:dyDescent="0.25">
      <c r="A1512">
        <v>1537</v>
      </c>
      <c r="B1512">
        <v>51511</v>
      </c>
      <c r="C1512" s="2">
        <v>45294.555851950638</v>
      </c>
      <c r="D1512">
        <v>28</v>
      </c>
      <c r="E1512" t="s">
        <v>8</v>
      </c>
      <c r="F1512" t="s">
        <v>10</v>
      </c>
      <c r="G1512">
        <v>3416</v>
      </c>
    </row>
    <row r="1513" spans="1:7" x14ac:dyDescent="0.25">
      <c r="A1513">
        <v>1301</v>
      </c>
      <c r="B1513">
        <v>51512</v>
      </c>
      <c r="C1513" s="2">
        <v>45294.799266422131</v>
      </c>
      <c r="D1513">
        <v>56</v>
      </c>
      <c r="E1513" t="s">
        <v>7</v>
      </c>
      <c r="F1513" t="s">
        <v>9</v>
      </c>
      <c r="G1513">
        <v>3866</v>
      </c>
    </row>
    <row r="1514" spans="1:7" x14ac:dyDescent="0.25">
      <c r="A1514">
        <v>1243</v>
      </c>
      <c r="B1514">
        <v>51513</v>
      </c>
      <c r="C1514" s="2">
        <v>45295.042680893617</v>
      </c>
      <c r="D1514">
        <v>60</v>
      </c>
      <c r="E1514" t="s">
        <v>7</v>
      </c>
      <c r="F1514" t="s">
        <v>11</v>
      </c>
      <c r="G1514">
        <v>1608</v>
      </c>
    </row>
    <row r="1515" spans="1:7" x14ac:dyDescent="0.25">
      <c r="A1515">
        <v>1122</v>
      </c>
      <c r="B1515">
        <v>51514</v>
      </c>
      <c r="C1515" s="2">
        <v>45295.286095365118</v>
      </c>
      <c r="D1515">
        <v>48</v>
      </c>
      <c r="E1515" t="s">
        <v>8</v>
      </c>
      <c r="F1515" t="s">
        <v>11</v>
      </c>
      <c r="G1515">
        <v>4564</v>
      </c>
    </row>
    <row r="1516" spans="1:7" x14ac:dyDescent="0.25">
      <c r="A1516">
        <v>1147</v>
      </c>
      <c r="B1516">
        <v>51515</v>
      </c>
      <c r="C1516" s="2">
        <v>45295.529509836611</v>
      </c>
      <c r="D1516">
        <v>34</v>
      </c>
      <c r="E1516" t="s">
        <v>8</v>
      </c>
      <c r="F1516" t="s">
        <v>11</v>
      </c>
      <c r="G1516">
        <v>4277</v>
      </c>
    </row>
    <row r="1517" spans="1:7" x14ac:dyDescent="0.25">
      <c r="A1517">
        <v>1567</v>
      </c>
      <c r="B1517">
        <v>51516</v>
      </c>
      <c r="C1517" s="2">
        <v>45295.772924308098</v>
      </c>
      <c r="D1517">
        <v>50</v>
      </c>
      <c r="E1517" t="s">
        <v>8</v>
      </c>
      <c r="F1517" t="s">
        <v>12</v>
      </c>
      <c r="G1517">
        <v>1677</v>
      </c>
    </row>
    <row r="1518" spans="1:7" x14ac:dyDescent="0.25">
      <c r="A1518">
        <v>1356</v>
      </c>
      <c r="B1518">
        <v>51517</v>
      </c>
      <c r="C1518" s="2">
        <v>45296.016338779576</v>
      </c>
      <c r="D1518">
        <v>49</v>
      </c>
      <c r="E1518" t="s">
        <v>8</v>
      </c>
      <c r="F1518" t="s">
        <v>11</v>
      </c>
      <c r="G1518">
        <v>2597</v>
      </c>
    </row>
    <row r="1519" spans="1:7" x14ac:dyDescent="0.25">
      <c r="A1519">
        <v>1309</v>
      </c>
      <c r="B1519">
        <v>51518</v>
      </c>
      <c r="C1519" s="2">
        <v>45296.259753251077</v>
      </c>
      <c r="D1519">
        <v>46</v>
      </c>
      <c r="E1519" t="s">
        <v>8</v>
      </c>
      <c r="F1519" t="s">
        <v>10</v>
      </c>
      <c r="G1519">
        <v>309</v>
      </c>
    </row>
    <row r="1520" spans="1:7" x14ac:dyDescent="0.25">
      <c r="A1520">
        <v>1288</v>
      </c>
      <c r="B1520">
        <v>51519</v>
      </c>
      <c r="C1520" s="2">
        <v>45296.503167722571</v>
      </c>
      <c r="D1520">
        <v>38</v>
      </c>
      <c r="E1520" t="s">
        <v>7</v>
      </c>
      <c r="F1520" t="s">
        <v>9</v>
      </c>
      <c r="G1520">
        <v>3754</v>
      </c>
    </row>
    <row r="1521" spans="1:7" x14ac:dyDescent="0.25">
      <c r="A1521">
        <v>1307</v>
      </c>
      <c r="B1521">
        <v>51520</v>
      </c>
      <c r="C1521" s="2">
        <v>45296.746582194057</v>
      </c>
      <c r="D1521">
        <v>38</v>
      </c>
      <c r="E1521" t="s">
        <v>7</v>
      </c>
      <c r="F1521" t="s">
        <v>9</v>
      </c>
      <c r="G1521">
        <v>849</v>
      </c>
    </row>
    <row r="1522" spans="1:7" x14ac:dyDescent="0.25">
      <c r="A1522">
        <v>1594</v>
      </c>
      <c r="B1522">
        <v>51521</v>
      </c>
      <c r="C1522" s="2">
        <v>45296.989996665543</v>
      </c>
      <c r="D1522">
        <v>57</v>
      </c>
      <c r="E1522" t="s">
        <v>7</v>
      </c>
      <c r="F1522" t="s">
        <v>10</v>
      </c>
      <c r="G1522">
        <v>1699</v>
      </c>
    </row>
    <row r="1523" spans="1:7" x14ac:dyDescent="0.25">
      <c r="A1523">
        <v>1549</v>
      </c>
      <c r="B1523">
        <v>51522</v>
      </c>
      <c r="C1523" s="2">
        <v>45297.233411137036</v>
      </c>
      <c r="D1523">
        <v>40</v>
      </c>
      <c r="E1523" t="s">
        <v>7</v>
      </c>
      <c r="F1523" t="s">
        <v>12</v>
      </c>
      <c r="G1523">
        <v>795</v>
      </c>
    </row>
    <row r="1524" spans="1:7" x14ac:dyDescent="0.25">
      <c r="A1524">
        <v>1352</v>
      </c>
      <c r="B1524">
        <v>51523</v>
      </c>
      <c r="C1524" s="2">
        <v>45297.47682560853</v>
      </c>
      <c r="D1524">
        <v>23</v>
      </c>
      <c r="E1524" t="s">
        <v>8</v>
      </c>
      <c r="F1524" t="s">
        <v>10</v>
      </c>
      <c r="G1524">
        <v>1178</v>
      </c>
    </row>
    <row r="1525" spans="1:7" x14ac:dyDescent="0.25">
      <c r="A1525">
        <v>1312</v>
      </c>
      <c r="B1525">
        <v>51524</v>
      </c>
      <c r="C1525" s="2">
        <v>45297.720240080023</v>
      </c>
      <c r="D1525">
        <v>39</v>
      </c>
      <c r="E1525" t="s">
        <v>8</v>
      </c>
      <c r="F1525" t="s">
        <v>9</v>
      </c>
      <c r="G1525">
        <v>930</v>
      </c>
    </row>
    <row r="1526" spans="1:7" x14ac:dyDescent="0.25">
      <c r="A1526">
        <v>1059</v>
      </c>
      <c r="B1526">
        <v>51525</v>
      </c>
      <c r="C1526" s="2">
        <v>45297.963654551517</v>
      </c>
      <c r="D1526">
        <v>55</v>
      </c>
      <c r="E1526" t="s">
        <v>8</v>
      </c>
      <c r="F1526" t="s">
        <v>10</v>
      </c>
      <c r="G1526">
        <v>256</v>
      </c>
    </row>
    <row r="1527" spans="1:7" x14ac:dyDescent="0.25">
      <c r="A1527">
        <v>1035</v>
      </c>
      <c r="B1527">
        <v>51526</v>
      </c>
      <c r="C1527" s="2">
        <v>45298.207069023003</v>
      </c>
      <c r="D1527">
        <v>54</v>
      </c>
      <c r="E1527" t="s">
        <v>7</v>
      </c>
      <c r="F1527" t="s">
        <v>12</v>
      </c>
      <c r="G1527">
        <v>2443</v>
      </c>
    </row>
    <row r="1528" spans="1:7" x14ac:dyDescent="0.25">
      <c r="A1528">
        <v>1445</v>
      </c>
      <c r="B1528">
        <v>51527</v>
      </c>
      <c r="C1528" s="2">
        <v>45298.450483494489</v>
      </c>
      <c r="D1528">
        <v>62</v>
      </c>
      <c r="E1528" t="s">
        <v>8</v>
      </c>
      <c r="F1528" t="s">
        <v>9</v>
      </c>
      <c r="G1528">
        <v>1901</v>
      </c>
    </row>
    <row r="1529" spans="1:7" x14ac:dyDescent="0.25">
      <c r="A1529">
        <v>1093</v>
      </c>
      <c r="B1529">
        <v>51528</v>
      </c>
      <c r="C1529" s="2">
        <v>45298.693897965983</v>
      </c>
      <c r="D1529">
        <v>25</v>
      </c>
      <c r="E1529" t="s">
        <v>8</v>
      </c>
      <c r="F1529" t="s">
        <v>12</v>
      </c>
      <c r="G1529">
        <v>1486</v>
      </c>
    </row>
    <row r="1530" spans="1:7" x14ac:dyDescent="0.25">
      <c r="A1530">
        <v>1207</v>
      </c>
      <c r="B1530">
        <v>51529</v>
      </c>
      <c r="C1530" s="2">
        <v>45298.937312437483</v>
      </c>
      <c r="D1530">
        <v>58</v>
      </c>
      <c r="E1530" t="s">
        <v>7</v>
      </c>
      <c r="F1530" t="s">
        <v>10</v>
      </c>
      <c r="G1530">
        <v>311</v>
      </c>
    </row>
    <row r="1531" spans="1:7" x14ac:dyDescent="0.25">
      <c r="A1531">
        <v>1353</v>
      </c>
      <c r="B1531">
        <v>51530</v>
      </c>
      <c r="C1531" s="2">
        <v>45299.180726908948</v>
      </c>
      <c r="D1531">
        <v>52</v>
      </c>
      <c r="E1531" t="s">
        <v>7</v>
      </c>
      <c r="F1531" t="s">
        <v>11</v>
      </c>
      <c r="G1531">
        <v>1401</v>
      </c>
    </row>
    <row r="1532" spans="1:7" x14ac:dyDescent="0.25">
      <c r="A1532">
        <v>1332</v>
      </c>
      <c r="B1532">
        <v>51531</v>
      </c>
      <c r="C1532" s="2">
        <v>45299.424141380448</v>
      </c>
      <c r="D1532">
        <v>28</v>
      </c>
      <c r="E1532" t="s">
        <v>7</v>
      </c>
      <c r="F1532" t="s">
        <v>10</v>
      </c>
      <c r="G1532">
        <v>1147</v>
      </c>
    </row>
    <row r="1533" spans="1:7" x14ac:dyDescent="0.25">
      <c r="A1533">
        <v>1159</v>
      </c>
      <c r="B1533">
        <v>51532</v>
      </c>
      <c r="C1533" s="2">
        <v>45299.667555851942</v>
      </c>
      <c r="D1533">
        <v>41</v>
      </c>
      <c r="E1533" t="s">
        <v>8</v>
      </c>
      <c r="F1533" t="s">
        <v>12</v>
      </c>
      <c r="G1533">
        <v>4321</v>
      </c>
    </row>
    <row r="1534" spans="1:7" x14ac:dyDescent="0.25">
      <c r="A1534">
        <v>1024</v>
      </c>
      <c r="B1534">
        <v>51533</v>
      </c>
      <c r="C1534" s="2">
        <v>45299.910970323443</v>
      </c>
      <c r="D1534">
        <v>38</v>
      </c>
      <c r="E1534" t="s">
        <v>8</v>
      </c>
      <c r="F1534" t="s">
        <v>10</v>
      </c>
      <c r="G1534">
        <v>957</v>
      </c>
    </row>
    <row r="1535" spans="1:7" x14ac:dyDescent="0.25">
      <c r="A1535">
        <v>1404</v>
      </c>
      <c r="B1535">
        <v>51534</v>
      </c>
      <c r="C1535" s="2">
        <v>45300.154384794929</v>
      </c>
      <c r="D1535">
        <v>19</v>
      </c>
      <c r="E1535" t="s">
        <v>7</v>
      </c>
      <c r="F1535" t="s">
        <v>11</v>
      </c>
      <c r="G1535">
        <v>3588</v>
      </c>
    </row>
    <row r="1536" spans="1:7" x14ac:dyDescent="0.25">
      <c r="A1536">
        <v>1516</v>
      </c>
      <c r="B1536">
        <v>51535</v>
      </c>
      <c r="C1536" s="2">
        <v>45300.397799266408</v>
      </c>
      <c r="D1536">
        <v>57</v>
      </c>
      <c r="E1536" t="s">
        <v>7</v>
      </c>
      <c r="F1536" t="s">
        <v>12</v>
      </c>
      <c r="G1536">
        <v>2041</v>
      </c>
    </row>
    <row r="1537" spans="1:7" x14ac:dyDescent="0.25">
      <c r="A1537">
        <v>1364</v>
      </c>
      <c r="B1537">
        <v>51536</v>
      </c>
      <c r="C1537" s="2">
        <v>45300.641213737908</v>
      </c>
      <c r="D1537">
        <v>36</v>
      </c>
      <c r="E1537" t="s">
        <v>8</v>
      </c>
      <c r="F1537" t="s">
        <v>10</v>
      </c>
      <c r="G1537">
        <v>3735</v>
      </c>
    </row>
    <row r="1538" spans="1:7" x14ac:dyDescent="0.25">
      <c r="A1538">
        <v>1382</v>
      </c>
      <c r="B1538">
        <v>51537</v>
      </c>
      <c r="C1538" s="2">
        <v>45300.884628209387</v>
      </c>
      <c r="D1538">
        <v>56</v>
      </c>
      <c r="E1538" t="s">
        <v>7</v>
      </c>
      <c r="F1538" t="s">
        <v>12</v>
      </c>
      <c r="G1538">
        <v>2493</v>
      </c>
    </row>
    <row r="1539" spans="1:7" x14ac:dyDescent="0.25">
      <c r="A1539">
        <v>1532</v>
      </c>
      <c r="B1539">
        <v>51538</v>
      </c>
      <c r="C1539" s="2">
        <v>45301.128042680888</v>
      </c>
      <c r="D1539">
        <v>45</v>
      </c>
      <c r="E1539" t="s">
        <v>8</v>
      </c>
      <c r="F1539" t="s">
        <v>12</v>
      </c>
      <c r="G1539">
        <v>1304</v>
      </c>
    </row>
    <row r="1540" spans="1:7" x14ac:dyDescent="0.25">
      <c r="A1540">
        <v>1152</v>
      </c>
      <c r="B1540">
        <v>51539</v>
      </c>
      <c r="C1540" s="2">
        <v>45301.371457152367</v>
      </c>
      <c r="D1540">
        <v>34</v>
      </c>
      <c r="E1540" t="s">
        <v>7</v>
      </c>
      <c r="F1540" t="s">
        <v>9</v>
      </c>
      <c r="G1540">
        <v>861</v>
      </c>
    </row>
    <row r="1541" spans="1:7" x14ac:dyDescent="0.25">
      <c r="A1541">
        <v>1562</v>
      </c>
      <c r="B1541">
        <v>51540</v>
      </c>
      <c r="C1541" s="2">
        <v>45301.614871623868</v>
      </c>
      <c r="D1541">
        <v>23</v>
      </c>
      <c r="E1541" t="s">
        <v>7</v>
      </c>
      <c r="F1541" t="s">
        <v>9</v>
      </c>
      <c r="G1541">
        <v>1108</v>
      </c>
    </row>
    <row r="1542" spans="1:7" x14ac:dyDescent="0.25">
      <c r="A1542">
        <v>1420</v>
      </c>
      <c r="B1542">
        <v>51541</v>
      </c>
      <c r="C1542" s="2">
        <v>45301.858286095361</v>
      </c>
      <c r="D1542">
        <v>36</v>
      </c>
      <c r="E1542" t="s">
        <v>7</v>
      </c>
      <c r="F1542" t="s">
        <v>12</v>
      </c>
      <c r="G1542">
        <v>4817</v>
      </c>
    </row>
    <row r="1543" spans="1:7" x14ac:dyDescent="0.25">
      <c r="A1543">
        <v>1250</v>
      </c>
      <c r="B1543">
        <v>51542</v>
      </c>
      <c r="C1543" s="2">
        <v>45302.101700566847</v>
      </c>
      <c r="D1543">
        <v>55</v>
      </c>
      <c r="E1543" t="s">
        <v>8</v>
      </c>
      <c r="F1543" t="s">
        <v>10</v>
      </c>
      <c r="G1543">
        <v>2056</v>
      </c>
    </row>
    <row r="1544" spans="1:7" x14ac:dyDescent="0.25">
      <c r="A1544">
        <v>1117</v>
      </c>
      <c r="B1544">
        <v>51543</v>
      </c>
      <c r="C1544" s="2">
        <v>45302.345115038348</v>
      </c>
      <c r="D1544">
        <v>45</v>
      </c>
      <c r="E1544" t="s">
        <v>8</v>
      </c>
      <c r="F1544" t="s">
        <v>10</v>
      </c>
      <c r="G1544">
        <v>2511</v>
      </c>
    </row>
    <row r="1545" spans="1:7" x14ac:dyDescent="0.25">
      <c r="A1545">
        <v>1512</v>
      </c>
      <c r="B1545">
        <v>51544</v>
      </c>
      <c r="C1545" s="2">
        <v>45302.588529509827</v>
      </c>
      <c r="D1545">
        <v>19</v>
      </c>
      <c r="E1545" t="s">
        <v>7</v>
      </c>
      <c r="F1545" t="s">
        <v>10</v>
      </c>
      <c r="G1545">
        <v>989</v>
      </c>
    </row>
    <row r="1546" spans="1:7" x14ac:dyDescent="0.25">
      <c r="A1546">
        <v>1578</v>
      </c>
      <c r="B1546">
        <v>51545</v>
      </c>
      <c r="C1546" s="2">
        <v>45302.83194398132</v>
      </c>
      <c r="D1546">
        <v>55</v>
      </c>
      <c r="E1546" t="s">
        <v>8</v>
      </c>
      <c r="F1546" t="s">
        <v>11</v>
      </c>
      <c r="G1546">
        <v>371</v>
      </c>
    </row>
    <row r="1547" spans="1:7" x14ac:dyDescent="0.25">
      <c r="A1547">
        <v>1335</v>
      </c>
      <c r="B1547">
        <v>51546</v>
      </c>
      <c r="C1547" s="2">
        <v>45303.075358452807</v>
      </c>
      <c r="D1547">
        <v>54</v>
      </c>
      <c r="E1547" t="s">
        <v>7</v>
      </c>
      <c r="F1547" t="s">
        <v>12</v>
      </c>
      <c r="G1547">
        <v>4560</v>
      </c>
    </row>
    <row r="1548" spans="1:7" x14ac:dyDescent="0.25">
      <c r="A1548">
        <v>1418</v>
      </c>
      <c r="B1548">
        <v>51547</v>
      </c>
      <c r="C1548" s="2">
        <v>45303.318772924307</v>
      </c>
      <c r="D1548">
        <v>21</v>
      </c>
      <c r="E1548" t="s">
        <v>7</v>
      </c>
      <c r="F1548" t="s">
        <v>12</v>
      </c>
      <c r="G1548">
        <v>2186</v>
      </c>
    </row>
    <row r="1549" spans="1:7" x14ac:dyDescent="0.25">
      <c r="A1549">
        <v>1295</v>
      </c>
      <c r="B1549">
        <v>51548</v>
      </c>
      <c r="C1549" s="2">
        <v>45303.562187395801</v>
      </c>
      <c r="D1549">
        <v>39</v>
      </c>
      <c r="E1549" t="s">
        <v>8</v>
      </c>
      <c r="F1549" t="s">
        <v>11</v>
      </c>
      <c r="G1549">
        <v>2085</v>
      </c>
    </row>
    <row r="1550" spans="1:7" x14ac:dyDescent="0.25">
      <c r="A1550">
        <v>1371</v>
      </c>
      <c r="B1550">
        <v>51549</v>
      </c>
      <c r="C1550" s="2">
        <v>45303.80560186728</v>
      </c>
      <c r="D1550">
        <v>43</v>
      </c>
      <c r="E1550" t="s">
        <v>8</v>
      </c>
      <c r="F1550" t="s">
        <v>12</v>
      </c>
      <c r="G1550">
        <v>675</v>
      </c>
    </row>
    <row r="1551" spans="1:7" x14ac:dyDescent="0.25">
      <c r="A1551">
        <v>1186</v>
      </c>
      <c r="B1551">
        <v>51550</v>
      </c>
      <c r="C1551" s="2">
        <v>45304.049016338773</v>
      </c>
      <c r="D1551">
        <v>60</v>
      </c>
      <c r="E1551" t="s">
        <v>8</v>
      </c>
      <c r="F1551" t="s">
        <v>12</v>
      </c>
      <c r="G1551">
        <v>1249</v>
      </c>
    </row>
    <row r="1552" spans="1:7" x14ac:dyDescent="0.25">
      <c r="A1552">
        <v>1246</v>
      </c>
      <c r="B1552">
        <v>51551</v>
      </c>
      <c r="C1552" s="2">
        <v>45304.292430810267</v>
      </c>
      <c r="D1552">
        <v>53</v>
      </c>
      <c r="E1552" t="s">
        <v>8</v>
      </c>
      <c r="F1552" t="s">
        <v>11</v>
      </c>
      <c r="G1552">
        <v>4329</v>
      </c>
    </row>
    <row r="1553" spans="1:7" x14ac:dyDescent="0.25">
      <c r="A1553">
        <v>1268</v>
      </c>
      <c r="B1553">
        <v>51552</v>
      </c>
      <c r="C1553" s="2">
        <v>45304.53584528176</v>
      </c>
      <c r="D1553">
        <v>30</v>
      </c>
      <c r="E1553" t="s">
        <v>7</v>
      </c>
      <c r="F1553" t="s">
        <v>9</v>
      </c>
      <c r="G1553">
        <v>2511</v>
      </c>
    </row>
    <row r="1554" spans="1:7" x14ac:dyDescent="0.25">
      <c r="A1554">
        <v>1237</v>
      </c>
      <c r="B1554">
        <v>51553</v>
      </c>
      <c r="C1554" s="2">
        <v>45304.779259753239</v>
      </c>
      <c r="D1554">
        <v>49</v>
      </c>
      <c r="E1554" t="s">
        <v>8</v>
      </c>
      <c r="F1554" t="s">
        <v>12</v>
      </c>
      <c r="G1554">
        <v>1361</v>
      </c>
    </row>
    <row r="1555" spans="1:7" x14ac:dyDescent="0.25">
      <c r="A1555">
        <v>1530</v>
      </c>
      <c r="B1555">
        <v>51554</v>
      </c>
      <c r="C1555" s="2">
        <v>45305.022674224732</v>
      </c>
      <c r="D1555">
        <v>34</v>
      </c>
      <c r="E1555" t="s">
        <v>8</v>
      </c>
      <c r="F1555" t="s">
        <v>11</v>
      </c>
      <c r="G1555">
        <v>1015</v>
      </c>
    </row>
    <row r="1556" spans="1:7" x14ac:dyDescent="0.25">
      <c r="A1556">
        <v>1552</v>
      </c>
      <c r="B1556">
        <v>51555</v>
      </c>
      <c r="C1556" s="2">
        <v>45305.266088696233</v>
      </c>
      <c r="D1556">
        <v>58</v>
      </c>
      <c r="E1556" t="s">
        <v>7</v>
      </c>
      <c r="F1556" t="s">
        <v>10</v>
      </c>
      <c r="G1556">
        <v>3966</v>
      </c>
    </row>
    <row r="1557" spans="1:7" x14ac:dyDescent="0.25">
      <c r="A1557">
        <v>1021</v>
      </c>
      <c r="B1557">
        <v>51556</v>
      </c>
      <c r="C1557" s="2">
        <v>45305.509503167719</v>
      </c>
      <c r="D1557">
        <v>53</v>
      </c>
      <c r="E1557" t="s">
        <v>7</v>
      </c>
      <c r="F1557" t="s">
        <v>9</v>
      </c>
      <c r="G1557">
        <v>3122</v>
      </c>
    </row>
    <row r="1558" spans="1:7" x14ac:dyDescent="0.25">
      <c r="A1558">
        <v>1520</v>
      </c>
      <c r="B1558">
        <v>51557</v>
      </c>
      <c r="C1558" s="2">
        <v>45305.752917639213</v>
      </c>
      <c r="D1558">
        <v>63</v>
      </c>
      <c r="E1558" t="s">
        <v>7</v>
      </c>
      <c r="F1558" t="s">
        <v>10</v>
      </c>
      <c r="G1558">
        <v>953</v>
      </c>
    </row>
    <row r="1559" spans="1:7" x14ac:dyDescent="0.25">
      <c r="A1559">
        <v>1100</v>
      </c>
      <c r="B1559">
        <v>51558</v>
      </c>
      <c r="C1559" s="2">
        <v>45305.996332110692</v>
      </c>
      <c r="D1559">
        <v>36</v>
      </c>
      <c r="E1559" t="s">
        <v>7</v>
      </c>
      <c r="F1559" t="s">
        <v>12</v>
      </c>
      <c r="G1559">
        <v>4861</v>
      </c>
    </row>
    <row r="1560" spans="1:7" x14ac:dyDescent="0.25">
      <c r="A1560">
        <v>1478</v>
      </c>
      <c r="B1560">
        <v>51559</v>
      </c>
      <c r="C1560" s="2">
        <v>45306.239746582192</v>
      </c>
      <c r="D1560">
        <v>52</v>
      </c>
      <c r="E1560" t="s">
        <v>8</v>
      </c>
      <c r="F1560" t="s">
        <v>9</v>
      </c>
      <c r="G1560">
        <v>661</v>
      </c>
    </row>
    <row r="1561" spans="1:7" x14ac:dyDescent="0.25">
      <c r="A1561">
        <v>1599</v>
      </c>
      <c r="B1561">
        <v>51560</v>
      </c>
      <c r="C1561" s="2">
        <v>45306.483161053678</v>
      </c>
      <c r="D1561">
        <v>63</v>
      </c>
      <c r="E1561" t="s">
        <v>8</v>
      </c>
      <c r="F1561" t="s">
        <v>11</v>
      </c>
      <c r="G1561">
        <v>3439</v>
      </c>
    </row>
    <row r="1562" spans="1:7" x14ac:dyDescent="0.25">
      <c r="A1562">
        <v>1298</v>
      </c>
      <c r="B1562">
        <v>51561</v>
      </c>
      <c r="C1562" s="2">
        <v>45306.726575525172</v>
      </c>
      <c r="D1562">
        <v>57</v>
      </c>
      <c r="E1562" t="s">
        <v>7</v>
      </c>
      <c r="F1562" t="s">
        <v>12</v>
      </c>
      <c r="G1562">
        <v>2902</v>
      </c>
    </row>
    <row r="1563" spans="1:7" x14ac:dyDescent="0.25">
      <c r="A1563">
        <v>1526</v>
      </c>
      <c r="B1563">
        <v>51562</v>
      </c>
      <c r="C1563" s="2">
        <v>45306.969989996658</v>
      </c>
      <c r="D1563">
        <v>45</v>
      </c>
      <c r="E1563" t="s">
        <v>7</v>
      </c>
      <c r="F1563" t="s">
        <v>11</v>
      </c>
      <c r="G1563">
        <v>280</v>
      </c>
    </row>
    <row r="1564" spans="1:7" x14ac:dyDescent="0.25">
      <c r="A1564">
        <v>1334</v>
      </c>
      <c r="B1564">
        <v>51563</v>
      </c>
      <c r="C1564" s="2">
        <v>45307.213404468152</v>
      </c>
      <c r="D1564">
        <v>18</v>
      </c>
      <c r="E1564" t="s">
        <v>8</v>
      </c>
      <c r="F1564" t="s">
        <v>9</v>
      </c>
      <c r="G1564">
        <v>3004</v>
      </c>
    </row>
    <row r="1565" spans="1:7" x14ac:dyDescent="0.25">
      <c r="A1565">
        <v>1002</v>
      </c>
      <c r="B1565">
        <v>51564</v>
      </c>
      <c r="C1565" s="2">
        <v>45307.456818939638</v>
      </c>
      <c r="D1565">
        <v>59</v>
      </c>
      <c r="E1565" t="s">
        <v>8</v>
      </c>
      <c r="F1565" t="s">
        <v>10</v>
      </c>
      <c r="G1565">
        <v>1069</v>
      </c>
    </row>
    <row r="1566" spans="1:7" x14ac:dyDescent="0.25">
      <c r="A1566">
        <v>1375</v>
      </c>
      <c r="B1566">
        <v>51565</v>
      </c>
      <c r="C1566" s="2">
        <v>45307.700233411131</v>
      </c>
      <c r="D1566">
        <v>35</v>
      </c>
      <c r="E1566" t="s">
        <v>8</v>
      </c>
      <c r="F1566" t="s">
        <v>12</v>
      </c>
      <c r="G1566">
        <v>4894</v>
      </c>
    </row>
    <row r="1567" spans="1:7" x14ac:dyDescent="0.25">
      <c r="A1567">
        <v>1293</v>
      </c>
      <c r="B1567">
        <v>51566</v>
      </c>
      <c r="C1567" s="2">
        <v>45307.943647882617</v>
      </c>
      <c r="D1567">
        <v>57</v>
      </c>
      <c r="E1567" t="s">
        <v>8</v>
      </c>
      <c r="F1567" t="s">
        <v>12</v>
      </c>
      <c r="G1567">
        <v>1006</v>
      </c>
    </row>
    <row r="1568" spans="1:7" x14ac:dyDescent="0.25">
      <c r="A1568">
        <v>1553</v>
      </c>
      <c r="B1568">
        <v>51567</v>
      </c>
      <c r="C1568" s="2">
        <v>45308.187062354111</v>
      </c>
      <c r="D1568">
        <v>50</v>
      </c>
      <c r="E1568" t="s">
        <v>8</v>
      </c>
      <c r="F1568" t="s">
        <v>11</v>
      </c>
      <c r="G1568">
        <v>2134</v>
      </c>
    </row>
    <row r="1569" spans="1:7" x14ac:dyDescent="0.25">
      <c r="A1569">
        <v>1318</v>
      </c>
      <c r="B1569">
        <v>51568</v>
      </c>
      <c r="C1569" s="2">
        <v>45308.430476825597</v>
      </c>
      <c r="D1569">
        <v>29</v>
      </c>
      <c r="E1569" t="s">
        <v>7</v>
      </c>
      <c r="F1569" t="s">
        <v>9</v>
      </c>
      <c r="G1569">
        <v>903</v>
      </c>
    </row>
    <row r="1570" spans="1:7" x14ac:dyDescent="0.25">
      <c r="A1570">
        <v>1502</v>
      </c>
      <c r="B1570">
        <v>51569</v>
      </c>
      <c r="C1570" s="2">
        <v>45308.673891297098</v>
      </c>
      <c r="D1570">
        <v>25</v>
      </c>
      <c r="E1570" t="s">
        <v>7</v>
      </c>
      <c r="F1570" t="s">
        <v>11</v>
      </c>
      <c r="G1570">
        <v>2723</v>
      </c>
    </row>
    <row r="1571" spans="1:7" x14ac:dyDescent="0.25">
      <c r="A1571">
        <v>1381</v>
      </c>
      <c r="B1571">
        <v>51570</v>
      </c>
      <c r="C1571" s="2">
        <v>45308.917305768591</v>
      </c>
      <c r="D1571">
        <v>41</v>
      </c>
      <c r="E1571" t="s">
        <v>7</v>
      </c>
      <c r="F1571" t="s">
        <v>9</v>
      </c>
      <c r="G1571">
        <v>2839</v>
      </c>
    </row>
    <row r="1572" spans="1:7" x14ac:dyDescent="0.25">
      <c r="A1572">
        <v>1014</v>
      </c>
      <c r="B1572">
        <v>51571</v>
      </c>
      <c r="C1572" s="2">
        <v>45309.16072024007</v>
      </c>
      <c r="D1572">
        <v>33</v>
      </c>
      <c r="E1572" t="s">
        <v>7</v>
      </c>
      <c r="F1572" t="s">
        <v>12</v>
      </c>
      <c r="G1572">
        <v>4782</v>
      </c>
    </row>
    <row r="1573" spans="1:7" x14ac:dyDescent="0.25">
      <c r="A1573">
        <v>1504</v>
      </c>
      <c r="B1573">
        <v>51572</v>
      </c>
      <c r="C1573" s="2">
        <v>45309.404134711564</v>
      </c>
      <c r="D1573">
        <v>21</v>
      </c>
      <c r="E1573" t="s">
        <v>8</v>
      </c>
      <c r="F1573" t="s">
        <v>9</v>
      </c>
      <c r="G1573">
        <v>4109</v>
      </c>
    </row>
    <row r="1574" spans="1:7" x14ac:dyDescent="0.25">
      <c r="A1574">
        <v>1231</v>
      </c>
      <c r="B1574">
        <v>51573</v>
      </c>
      <c r="C1574" s="2">
        <v>45309.647549183057</v>
      </c>
      <c r="D1574">
        <v>55</v>
      </c>
      <c r="E1574" t="s">
        <v>7</v>
      </c>
      <c r="F1574" t="s">
        <v>12</v>
      </c>
      <c r="G1574">
        <v>1364</v>
      </c>
    </row>
    <row r="1575" spans="1:7" x14ac:dyDescent="0.25">
      <c r="A1575">
        <v>1084</v>
      </c>
      <c r="B1575">
        <v>51574</v>
      </c>
      <c r="C1575" s="2">
        <v>45309.89096365455</v>
      </c>
      <c r="D1575">
        <v>61</v>
      </c>
      <c r="E1575" t="s">
        <v>8</v>
      </c>
      <c r="F1575" t="s">
        <v>9</v>
      </c>
      <c r="G1575">
        <v>819</v>
      </c>
    </row>
    <row r="1576" spans="1:7" x14ac:dyDescent="0.25">
      <c r="A1576">
        <v>1130</v>
      </c>
      <c r="B1576">
        <v>51575</v>
      </c>
      <c r="C1576" s="2">
        <v>45310.134378126037</v>
      </c>
      <c r="D1576">
        <v>44</v>
      </c>
      <c r="E1576" t="s">
        <v>8</v>
      </c>
      <c r="F1576" t="s">
        <v>10</v>
      </c>
      <c r="G1576">
        <v>3266</v>
      </c>
    </row>
    <row r="1577" spans="1:7" x14ac:dyDescent="0.25">
      <c r="A1577">
        <v>1145</v>
      </c>
      <c r="B1577">
        <v>51576</v>
      </c>
      <c r="C1577" s="2">
        <v>45310.377792597523</v>
      </c>
      <c r="D1577">
        <v>26</v>
      </c>
      <c r="E1577" t="s">
        <v>8</v>
      </c>
      <c r="F1577" t="s">
        <v>9</v>
      </c>
      <c r="G1577">
        <v>646</v>
      </c>
    </row>
    <row r="1578" spans="1:7" x14ac:dyDescent="0.25">
      <c r="A1578">
        <v>1028</v>
      </c>
      <c r="B1578">
        <v>51577</v>
      </c>
      <c r="C1578" s="2">
        <v>45310.621207069024</v>
      </c>
      <c r="D1578">
        <v>64</v>
      </c>
      <c r="E1578" t="s">
        <v>8</v>
      </c>
      <c r="F1578" t="s">
        <v>10</v>
      </c>
      <c r="G1578">
        <v>2537</v>
      </c>
    </row>
    <row r="1579" spans="1:7" x14ac:dyDescent="0.25">
      <c r="A1579">
        <v>1066</v>
      </c>
      <c r="B1579">
        <v>51578</v>
      </c>
      <c r="C1579" s="2">
        <v>45310.86462154051</v>
      </c>
      <c r="D1579">
        <v>33</v>
      </c>
      <c r="E1579" t="s">
        <v>8</v>
      </c>
      <c r="F1579" t="s">
        <v>9</v>
      </c>
      <c r="G1579">
        <v>408</v>
      </c>
    </row>
    <row r="1580" spans="1:7" x14ac:dyDescent="0.25">
      <c r="A1580">
        <v>1163</v>
      </c>
      <c r="B1580">
        <v>51579</v>
      </c>
      <c r="C1580" s="2">
        <v>45311.108036012003</v>
      </c>
      <c r="D1580">
        <v>29</v>
      </c>
      <c r="E1580" t="s">
        <v>8</v>
      </c>
      <c r="F1580" t="s">
        <v>9</v>
      </c>
      <c r="G1580">
        <v>2660</v>
      </c>
    </row>
    <row r="1581" spans="1:7" x14ac:dyDescent="0.25">
      <c r="A1581">
        <v>1229</v>
      </c>
      <c r="B1581">
        <v>51580</v>
      </c>
      <c r="C1581" s="2">
        <v>45311.351450483482</v>
      </c>
      <c r="D1581">
        <v>48</v>
      </c>
      <c r="E1581" t="s">
        <v>8</v>
      </c>
      <c r="F1581" t="s">
        <v>11</v>
      </c>
      <c r="G1581">
        <v>3642</v>
      </c>
    </row>
    <row r="1582" spans="1:7" x14ac:dyDescent="0.25">
      <c r="A1582">
        <v>1261</v>
      </c>
      <c r="B1582">
        <v>51581</v>
      </c>
      <c r="C1582" s="2">
        <v>45311.594864954983</v>
      </c>
      <c r="D1582">
        <v>41</v>
      </c>
      <c r="E1582" t="s">
        <v>7</v>
      </c>
      <c r="F1582" t="s">
        <v>11</v>
      </c>
      <c r="G1582">
        <v>2911</v>
      </c>
    </row>
    <row r="1583" spans="1:7" x14ac:dyDescent="0.25">
      <c r="A1583">
        <v>1449</v>
      </c>
      <c r="B1583">
        <v>51582</v>
      </c>
      <c r="C1583" s="2">
        <v>45311.838279426469</v>
      </c>
      <c r="D1583">
        <v>31</v>
      </c>
      <c r="E1583" t="s">
        <v>8</v>
      </c>
      <c r="F1583" t="s">
        <v>12</v>
      </c>
      <c r="G1583">
        <v>2537</v>
      </c>
    </row>
    <row r="1584" spans="1:7" x14ac:dyDescent="0.25">
      <c r="A1584">
        <v>1424</v>
      </c>
      <c r="B1584">
        <v>51583</v>
      </c>
      <c r="C1584" s="2">
        <v>45312.081693897962</v>
      </c>
      <c r="D1584">
        <v>62</v>
      </c>
      <c r="E1584" t="s">
        <v>7</v>
      </c>
      <c r="F1584" t="s">
        <v>11</v>
      </c>
      <c r="G1584">
        <v>1491</v>
      </c>
    </row>
    <row r="1585" spans="1:7" x14ac:dyDescent="0.25">
      <c r="A1585">
        <v>1460</v>
      </c>
      <c r="B1585">
        <v>51584</v>
      </c>
      <c r="C1585" s="2">
        <v>45312.325108369463</v>
      </c>
      <c r="D1585">
        <v>42</v>
      </c>
      <c r="E1585" t="s">
        <v>7</v>
      </c>
      <c r="F1585" t="s">
        <v>9</v>
      </c>
      <c r="G1585">
        <v>2398</v>
      </c>
    </row>
    <row r="1586" spans="1:7" x14ac:dyDescent="0.25">
      <c r="A1586">
        <v>1301</v>
      </c>
      <c r="B1586">
        <v>51585</v>
      </c>
      <c r="C1586" s="2">
        <v>45312.568522840927</v>
      </c>
      <c r="D1586">
        <v>51</v>
      </c>
      <c r="E1586" t="s">
        <v>8</v>
      </c>
      <c r="F1586" t="s">
        <v>11</v>
      </c>
      <c r="G1586">
        <v>1600</v>
      </c>
    </row>
    <row r="1587" spans="1:7" x14ac:dyDescent="0.25">
      <c r="A1587">
        <v>1303</v>
      </c>
      <c r="B1587">
        <v>51586</v>
      </c>
      <c r="C1587" s="2">
        <v>45312.811937312428</v>
      </c>
      <c r="D1587">
        <v>20</v>
      </c>
      <c r="E1587" t="s">
        <v>8</v>
      </c>
      <c r="F1587" t="s">
        <v>9</v>
      </c>
      <c r="G1587">
        <v>2855</v>
      </c>
    </row>
    <row r="1588" spans="1:7" x14ac:dyDescent="0.25">
      <c r="A1588">
        <v>1287</v>
      </c>
      <c r="B1588">
        <v>51587</v>
      </c>
      <c r="C1588" s="2">
        <v>45313.055351783922</v>
      </c>
      <c r="D1588">
        <v>41</v>
      </c>
      <c r="E1588" t="s">
        <v>7</v>
      </c>
      <c r="F1588" t="s">
        <v>10</v>
      </c>
      <c r="G1588">
        <v>4212</v>
      </c>
    </row>
    <row r="1589" spans="1:7" x14ac:dyDescent="0.25">
      <c r="A1589">
        <v>1395</v>
      </c>
      <c r="B1589">
        <v>51588</v>
      </c>
      <c r="C1589" s="2">
        <v>45313.298766255422</v>
      </c>
      <c r="D1589">
        <v>59</v>
      </c>
      <c r="E1589" t="s">
        <v>7</v>
      </c>
      <c r="F1589" t="s">
        <v>9</v>
      </c>
      <c r="G1589">
        <v>904</v>
      </c>
    </row>
    <row r="1590" spans="1:7" x14ac:dyDescent="0.25">
      <c r="A1590">
        <v>1010</v>
      </c>
      <c r="B1590">
        <v>51589</v>
      </c>
      <c r="C1590" s="2">
        <v>45313.542180726901</v>
      </c>
      <c r="D1590">
        <v>26</v>
      </c>
      <c r="E1590" t="s">
        <v>7</v>
      </c>
      <c r="F1590" t="s">
        <v>12</v>
      </c>
      <c r="G1590">
        <v>1025</v>
      </c>
    </row>
    <row r="1591" spans="1:7" x14ac:dyDescent="0.25">
      <c r="A1591">
        <v>1270</v>
      </c>
      <c r="B1591">
        <v>51590</v>
      </c>
      <c r="C1591" s="2">
        <v>45313.785595198387</v>
      </c>
      <c r="D1591">
        <v>43</v>
      </c>
      <c r="E1591" t="s">
        <v>7</v>
      </c>
      <c r="F1591" t="s">
        <v>10</v>
      </c>
      <c r="G1591">
        <v>1204</v>
      </c>
    </row>
    <row r="1592" spans="1:7" x14ac:dyDescent="0.25">
      <c r="A1592">
        <v>1592</v>
      </c>
      <c r="B1592">
        <v>51591</v>
      </c>
      <c r="C1592" s="2">
        <v>45314.029009669881</v>
      </c>
      <c r="D1592">
        <v>37</v>
      </c>
      <c r="E1592" t="s">
        <v>8</v>
      </c>
      <c r="F1592" t="s">
        <v>12</v>
      </c>
      <c r="G1592">
        <v>3660</v>
      </c>
    </row>
    <row r="1593" spans="1:7" x14ac:dyDescent="0.25">
      <c r="A1593">
        <v>1361</v>
      </c>
      <c r="B1593">
        <v>51592</v>
      </c>
      <c r="C1593" s="2">
        <v>45314.272424141367</v>
      </c>
      <c r="D1593">
        <v>57</v>
      </c>
      <c r="E1593" t="s">
        <v>8</v>
      </c>
      <c r="F1593" t="s">
        <v>12</v>
      </c>
      <c r="G1593">
        <v>576</v>
      </c>
    </row>
    <row r="1594" spans="1:7" x14ac:dyDescent="0.25">
      <c r="A1594">
        <v>1257</v>
      </c>
      <c r="B1594">
        <v>51593</v>
      </c>
      <c r="C1594" s="2">
        <v>45314.515838612868</v>
      </c>
      <c r="D1594">
        <v>27</v>
      </c>
      <c r="E1594" t="s">
        <v>8</v>
      </c>
      <c r="F1594" t="s">
        <v>12</v>
      </c>
      <c r="G1594">
        <v>1172</v>
      </c>
    </row>
    <row r="1595" spans="1:7" x14ac:dyDescent="0.25">
      <c r="A1595">
        <v>1133</v>
      </c>
      <c r="B1595">
        <v>51594</v>
      </c>
      <c r="C1595" s="2">
        <v>45314.759253084347</v>
      </c>
      <c r="D1595">
        <v>36</v>
      </c>
      <c r="E1595" t="s">
        <v>7</v>
      </c>
      <c r="F1595" t="s">
        <v>11</v>
      </c>
      <c r="G1595">
        <v>4413</v>
      </c>
    </row>
    <row r="1596" spans="1:7" x14ac:dyDescent="0.25">
      <c r="A1596">
        <v>1276</v>
      </c>
      <c r="B1596">
        <v>51595</v>
      </c>
      <c r="C1596" s="2">
        <v>45315.002667555847</v>
      </c>
      <c r="D1596">
        <v>20</v>
      </c>
      <c r="E1596" t="s">
        <v>8</v>
      </c>
      <c r="F1596" t="s">
        <v>12</v>
      </c>
      <c r="G1596">
        <v>3276</v>
      </c>
    </row>
    <row r="1597" spans="1:7" x14ac:dyDescent="0.25">
      <c r="A1597">
        <v>1513</v>
      </c>
      <c r="B1597">
        <v>51596</v>
      </c>
      <c r="C1597" s="2">
        <v>45315.246082027341</v>
      </c>
      <c r="D1597">
        <v>41</v>
      </c>
      <c r="E1597" t="s">
        <v>7</v>
      </c>
      <c r="F1597" t="s">
        <v>10</v>
      </c>
      <c r="G1597">
        <v>643</v>
      </c>
    </row>
    <row r="1598" spans="1:7" x14ac:dyDescent="0.25">
      <c r="A1598">
        <v>1313</v>
      </c>
      <c r="B1598">
        <v>51597</v>
      </c>
      <c r="C1598" s="2">
        <v>45315.489496498827</v>
      </c>
      <c r="D1598">
        <v>22</v>
      </c>
      <c r="E1598" t="s">
        <v>8</v>
      </c>
      <c r="F1598" t="s">
        <v>9</v>
      </c>
      <c r="G1598">
        <v>954</v>
      </c>
    </row>
    <row r="1599" spans="1:7" x14ac:dyDescent="0.25">
      <c r="A1599">
        <v>1576</v>
      </c>
      <c r="B1599">
        <v>51598</v>
      </c>
      <c r="C1599" s="2">
        <v>45315.732910970313</v>
      </c>
      <c r="D1599">
        <v>20</v>
      </c>
      <c r="E1599" t="s">
        <v>7</v>
      </c>
      <c r="F1599" t="s">
        <v>12</v>
      </c>
      <c r="G1599">
        <v>3804</v>
      </c>
    </row>
    <row r="1600" spans="1:7" x14ac:dyDescent="0.25">
      <c r="A1600">
        <v>1284</v>
      </c>
      <c r="B1600">
        <v>51599</v>
      </c>
      <c r="C1600" s="2">
        <v>45315.976325441807</v>
      </c>
      <c r="D1600">
        <v>44</v>
      </c>
      <c r="E1600" t="s">
        <v>8</v>
      </c>
      <c r="F1600" t="s">
        <v>10</v>
      </c>
      <c r="G1600">
        <v>4935</v>
      </c>
    </row>
    <row r="1601" spans="1:7" x14ac:dyDescent="0.25">
      <c r="A1601">
        <v>1121</v>
      </c>
      <c r="B1601">
        <v>51600</v>
      </c>
      <c r="C1601" s="2">
        <v>45316.2197399133</v>
      </c>
      <c r="D1601">
        <v>33</v>
      </c>
      <c r="E1601" t="s">
        <v>8</v>
      </c>
      <c r="F1601" t="s">
        <v>12</v>
      </c>
      <c r="G1601">
        <v>2371</v>
      </c>
    </row>
    <row r="1602" spans="1:7" x14ac:dyDescent="0.25">
      <c r="A1602">
        <v>1107</v>
      </c>
      <c r="B1602">
        <v>51601</v>
      </c>
      <c r="C1602" s="2">
        <v>45316.463154384794</v>
      </c>
      <c r="D1602">
        <v>32</v>
      </c>
      <c r="E1602" t="s">
        <v>7</v>
      </c>
      <c r="F1602" t="s">
        <v>9</v>
      </c>
      <c r="G1602">
        <v>2905</v>
      </c>
    </row>
    <row r="1603" spans="1:7" x14ac:dyDescent="0.25">
      <c r="A1603">
        <v>1204</v>
      </c>
      <c r="B1603">
        <v>51602</v>
      </c>
      <c r="C1603" s="2">
        <v>45316.706568856287</v>
      </c>
      <c r="D1603">
        <v>52</v>
      </c>
      <c r="E1603" t="s">
        <v>7</v>
      </c>
      <c r="F1603" t="s">
        <v>10</v>
      </c>
      <c r="G1603">
        <v>3665</v>
      </c>
    </row>
    <row r="1604" spans="1:7" x14ac:dyDescent="0.25">
      <c r="A1604">
        <v>1165</v>
      </c>
      <c r="B1604">
        <v>51603</v>
      </c>
      <c r="C1604" s="2">
        <v>45316.949983327773</v>
      </c>
      <c r="D1604">
        <v>29</v>
      </c>
      <c r="E1604" t="s">
        <v>7</v>
      </c>
      <c r="F1604" t="s">
        <v>10</v>
      </c>
      <c r="G1604">
        <v>2911</v>
      </c>
    </row>
    <row r="1605" spans="1:7" x14ac:dyDescent="0.25">
      <c r="A1605">
        <v>1305</v>
      </c>
      <c r="B1605">
        <v>51604</v>
      </c>
      <c r="C1605" s="2">
        <v>45317.193397799259</v>
      </c>
      <c r="D1605">
        <v>58</v>
      </c>
      <c r="E1605" t="s">
        <v>7</v>
      </c>
      <c r="F1605" t="s">
        <v>9</v>
      </c>
      <c r="G1605">
        <v>2607</v>
      </c>
    </row>
    <row r="1606" spans="1:7" x14ac:dyDescent="0.25">
      <c r="A1606">
        <v>1497</v>
      </c>
      <c r="B1606">
        <v>51605</v>
      </c>
      <c r="C1606" s="2">
        <v>45317.436812270753</v>
      </c>
      <c r="D1606">
        <v>61</v>
      </c>
      <c r="E1606" t="s">
        <v>7</v>
      </c>
      <c r="F1606" t="s">
        <v>10</v>
      </c>
      <c r="G1606">
        <v>822</v>
      </c>
    </row>
    <row r="1607" spans="1:7" x14ac:dyDescent="0.25">
      <c r="A1607">
        <v>1556</v>
      </c>
      <c r="B1607">
        <v>51606</v>
      </c>
      <c r="C1607" s="2">
        <v>45317.680226742254</v>
      </c>
      <c r="D1607">
        <v>43</v>
      </c>
      <c r="E1607" t="s">
        <v>8</v>
      </c>
      <c r="F1607" t="s">
        <v>9</v>
      </c>
      <c r="G1607">
        <v>1923</v>
      </c>
    </row>
    <row r="1608" spans="1:7" x14ac:dyDescent="0.25">
      <c r="A1608">
        <v>1156</v>
      </c>
      <c r="B1608">
        <v>51607</v>
      </c>
      <c r="C1608" s="2">
        <v>45317.923641213732</v>
      </c>
      <c r="D1608">
        <v>64</v>
      </c>
      <c r="E1608" t="s">
        <v>7</v>
      </c>
      <c r="F1608" t="s">
        <v>10</v>
      </c>
      <c r="G1608">
        <v>3522</v>
      </c>
    </row>
    <row r="1609" spans="1:7" x14ac:dyDescent="0.25">
      <c r="A1609">
        <v>1367</v>
      </c>
      <c r="B1609">
        <v>51608</v>
      </c>
      <c r="C1609" s="2">
        <v>45318.167055685219</v>
      </c>
      <c r="D1609">
        <v>51</v>
      </c>
      <c r="E1609" t="s">
        <v>8</v>
      </c>
      <c r="F1609" t="s">
        <v>10</v>
      </c>
      <c r="G1609">
        <v>2119</v>
      </c>
    </row>
    <row r="1610" spans="1:7" x14ac:dyDescent="0.25">
      <c r="A1610">
        <v>1251</v>
      </c>
      <c r="B1610">
        <v>51609</v>
      </c>
      <c r="C1610" s="2">
        <v>45318.410470156712</v>
      </c>
      <c r="D1610">
        <v>40</v>
      </c>
      <c r="E1610" t="s">
        <v>8</v>
      </c>
      <c r="F1610" t="s">
        <v>9</v>
      </c>
      <c r="G1610">
        <v>1118</v>
      </c>
    </row>
    <row r="1611" spans="1:7" x14ac:dyDescent="0.25">
      <c r="A1611">
        <v>1334</v>
      </c>
      <c r="B1611">
        <v>51610</v>
      </c>
      <c r="C1611" s="2">
        <v>45318.653884628213</v>
      </c>
      <c r="D1611">
        <v>48</v>
      </c>
      <c r="E1611" t="s">
        <v>8</v>
      </c>
      <c r="F1611" t="s">
        <v>9</v>
      </c>
      <c r="G1611">
        <v>4415</v>
      </c>
    </row>
    <row r="1612" spans="1:7" x14ac:dyDescent="0.25">
      <c r="A1612">
        <v>1511</v>
      </c>
      <c r="B1612">
        <v>51611</v>
      </c>
      <c r="C1612" s="2">
        <v>45318.897299099699</v>
      </c>
      <c r="D1612">
        <v>37</v>
      </c>
      <c r="E1612" t="s">
        <v>8</v>
      </c>
      <c r="F1612" t="s">
        <v>10</v>
      </c>
      <c r="G1612">
        <v>781</v>
      </c>
    </row>
    <row r="1613" spans="1:7" x14ac:dyDescent="0.25">
      <c r="A1613">
        <v>1293</v>
      </c>
      <c r="B1613">
        <v>51612</v>
      </c>
      <c r="C1613" s="2">
        <v>45319.140713571178</v>
      </c>
      <c r="D1613">
        <v>29</v>
      </c>
      <c r="E1613" t="s">
        <v>8</v>
      </c>
      <c r="F1613" t="s">
        <v>10</v>
      </c>
      <c r="G1613">
        <v>4081</v>
      </c>
    </row>
    <row r="1614" spans="1:7" x14ac:dyDescent="0.25">
      <c r="A1614">
        <v>1020</v>
      </c>
      <c r="B1614">
        <v>51613</v>
      </c>
      <c r="C1614" s="2">
        <v>45319.384128042671</v>
      </c>
      <c r="D1614">
        <v>40</v>
      </c>
      <c r="E1614" t="s">
        <v>7</v>
      </c>
      <c r="F1614" t="s">
        <v>9</v>
      </c>
      <c r="G1614">
        <v>1886</v>
      </c>
    </row>
    <row r="1615" spans="1:7" x14ac:dyDescent="0.25">
      <c r="A1615">
        <v>1282</v>
      </c>
      <c r="B1615">
        <v>51614</v>
      </c>
      <c r="C1615" s="2">
        <v>45319.627542514158</v>
      </c>
      <c r="D1615">
        <v>21</v>
      </c>
      <c r="E1615" t="s">
        <v>7</v>
      </c>
      <c r="F1615" t="s">
        <v>11</v>
      </c>
      <c r="G1615">
        <v>4109</v>
      </c>
    </row>
    <row r="1616" spans="1:7" x14ac:dyDescent="0.25">
      <c r="A1616">
        <v>1001</v>
      </c>
      <c r="B1616">
        <v>51615</v>
      </c>
      <c r="C1616" s="2">
        <v>45319.870956985658</v>
      </c>
      <c r="D1616">
        <v>40</v>
      </c>
      <c r="E1616" t="s">
        <v>8</v>
      </c>
      <c r="F1616" t="s">
        <v>9</v>
      </c>
      <c r="G1616">
        <v>2199</v>
      </c>
    </row>
    <row r="1617" spans="1:7" x14ac:dyDescent="0.25">
      <c r="A1617">
        <v>1119</v>
      </c>
      <c r="B1617">
        <v>51616</v>
      </c>
      <c r="C1617" s="2">
        <v>45320.114371457137</v>
      </c>
      <c r="D1617">
        <v>18</v>
      </c>
      <c r="E1617" t="s">
        <v>8</v>
      </c>
      <c r="F1617" t="s">
        <v>10</v>
      </c>
      <c r="G1617">
        <v>2911</v>
      </c>
    </row>
    <row r="1618" spans="1:7" x14ac:dyDescent="0.25">
      <c r="A1618">
        <v>1035</v>
      </c>
      <c r="B1618">
        <v>51617</v>
      </c>
      <c r="C1618" s="2">
        <v>45320.357785928638</v>
      </c>
      <c r="D1618">
        <v>42</v>
      </c>
      <c r="E1618" t="s">
        <v>7</v>
      </c>
      <c r="F1618" t="s">
        <v>10</v>
      </c>
      <c r="G1618">
        <v>600</v>
      </c>
    </row>
    <row r="1619" spans="1:7" x14ac:dyDescent="0.25">
      <c r="A1619">
        <v>1198</v>
      </c>
      <c r="B1619">
        <v>51618</v>
      </c>
      <c r="C1619" s="2">
        <v>45320.601200400117</v>
      </c>
      <c r="D1619">
        <v>19</v>
      </c>
      <c r="E1619" t="s">
        <v>7</v>
      </c>
      <c r="F1619" t="s">
        <v>10</v>
      </c>
      <c r="G1619">
        <v>3848</v>
      </c>
    </row>
    <row r="1620" spans="1:7" x14ac:dyDescent="0.25">
      <c r="A1620">
        <v>1485</v>
      </c>
      <c r="B1620">
        <v>51619</v>
      </c>
      <c r="C1620" s="2">
        <v>45320.844614871618</v>
      </c>
      <c r="D1620">
        <v>47</v>
      </c>
      <c r="E1620" t="s">
        <v>8</v>
      </c>
      <c r="F1620" t="s">
        <v>9</v>
      </c>
      <c r="G1620">
        <v>2828</v>
      </c>
    </row>
    <row r="1621" spans="1:7" x14ac:dyDescent="0.25">
      <c r="A1621">
        <v>1059</v>
      </c>
      <c r="B1621">
        <v>51620</v>
      </c>
      <c r="C1621" s="2">
        <v>45321.088029343111</v>
      </c>
      <c r="D1621">
        <v>20</v>
      </c>
      <c r="E1621" t="s">
        <v>7</v>
      </c>
      <c r="F1621" t="s">
        <v>10</v>
      </c>
      <c r="G1621">
        <v>1856</v>
      </c>
    </row>
    <row r="1622" spans="1:7" x14ac:dyDescent="0.25">
      <c r="A1622">
        <v>1161</v>
      </c>
      <c r="B1622">
        <v>51621</v>
      </c>
      <c r="C1622" s="2">
        <v>45321.331443814597</v>
      </c>
      <c r="D1622">
        <v>38</v>
      </c>
      <c r="E1622" t="s">
        <v>7</v>
      </c>
      <c r="F1622" t="s">
        <v>11</v>
      </c>
      <c r="G1622">
        <v>820</v>
      </c>
    </row>
    <row r="1623" spans="1:7" x14ac:dyDescent="0.25">
      <c r="A1623">
        <v>1206</v>
      </c>
      <c r="B1623">
        <v>51622</v>
      </c>
      <c r="C1623" s="2">
        <v>45321.574858286091</v>
      </c>
      <c r="D1623">
        <v>42</v>
      </c>
      <c r="E1623" t="s">
        <v>7</v>
      </c>
      <c r="F1623" t="s">
        <v>12</v>
      </c>
      <c r="G1623">
        <v>446</v>
      </c>
    </row>
    <row r="1624" spans="1:7" x14ac:dyDescent="0.25">
      <c r="A1624">
        <v>1012</v>
      </c>
      <c r="B1624">
        <v>51623</v>
      </c>
      <c r="C1624" s="2">
        <v>45321.818272757577</v>
      </c>
      <c r="D1624">
        <v>37</v>
      </c>
      <c r="E1624" t="s">
        <v>8</v>
      </c>
      <c r="F1624" t="s">
        <v>11</v>
      </c>
      <c r="G1624">
        <v>3539</v>
      </c>
    </row>
    <row r="1625" spans="1:7" x14ac:dyDescent="0.25">
      <c r="A1625">
        <v>1490</v>
      </c>
      <c r="B1625">
        <v>51624</v>
      </c>
      <c r="C1625" s="2">
        <v>45322.061687229078</v>
      </c>
      <c r="D1625">
        <v>39</v>
      </c>
      <c r="E1625" t="s">
        <v>7</v>
      </c>
      <c r="F1625" t="s">
        <v>9</v>
      </c>
      <c r="G1625">
        <v>3210</v>
      </c>
    </row>
    <row r="1626" spans="1:7" x14ac:dyDescent="0.25">
      <c r="A1626">
        <v>1276</v>
      </c>
      <c r="B1626">
        <v>51625</v>
      </c>
      <c r="C1626" s="2">
        <v>45322.305101700556</v>
      </c>
      <c r="D1626">
        <v>38</v>
      </c>
      <c r="E1626" t="s">
        <v>8</v>
      </c>
      <c r="F1626" t="s">
        <v>10</v>
      </c>
      <c r="G1626">
        <v>4919</v>
      </c>
    </row>
    <row r="1627" spans="1:7" x14ac:dyDescent="0.25">
      <c r="A1627">
        <v>1242</v>
      </c>
      <c r="B1627">
        <v>51626</v>
      </c>
      <c r="C1627" s="2">
        <v>45322.54851617205</v>
      </c>
      <c r="D1627">
        <v>50</v>
      </c>
      <c r="E1627" t="s">
        <v>8</v>
      </c>
      <c r="F1627" t="s">
        <v>9</v>
      </c>
      <c r="G1627">
        <v>2568</v>
      </c>
    </row>
    <row r="1628" spans="1:7" x14ac:dyDescent="0.25">
      <c r="A1628">
        <v>1216</v>
      </c>
      <c r="B1628">
        <v>51627</v>
      </c>
      <c r="C1628" s="2">
        <v>45322.791930643543</v>
      </c>
      <c r="D1628">
        <v>55</v>
      </c>
      <c r="E1628" t="s">
        <v>8</v>
      </c>
      <c r="F1628" t="s">
        <v>12</v>
      </c>
      <c r="G1628">
        <v>4194</v>
      </c>
    </row>
    <row r="1629" spans="1:7" x14ac:dyDescent="0.25">
      <c r="A1629">
        <v>1251</v>
      </c>
      <c r="B1629">
        <v>51628</v>
      </c>
      <c r="C1629" s="2">
        <v>45323.035345115037</v>
      </c>
      <c r="D1629">
        <v>32</v>
      </c>
      <c r="E1629" t="s">
        <v>8</v>
      </c>
      <c r="F1629" t="s">
        <v>9</v>
      </c>
      <c r="G1629">
        <v>2039</v>
      </c>
    </row>
    <row r="1630" spans="1:7" x14ac:dyDescent="0.25">
      <c r="A1630">
        <v>1126</v>
      </c>
      <c r="B1630">
        <v>51629</v>
      </c>
      <c r="C1630" s="2">
        <v>45323.27875958653</v>
      </c>
      <c r="D1630">
        <v>63</v>
      </c>
      <c r="E1630" t="s">
        <v>8</v>
      </c>
      <c r="F1630" t="s">
        <v>10</v>
      </c>
      <c r="G1630">
        <v>3103</v>
      </c>
    </row>
    <row r="1631" spans="1:7" x14ac:dyDescent="0.25">
      <c r="A1631">
        <v>1217</v>
      </c>
      <c r="B1631">
        <v>51630</v>
      </c>
      <c r="C1631" s="2">
        <v>45323.522174058009</v>
      </c>
      <c r="D1631">
        <v>32</v>
      </c>
      <c r="E1631" t="s">
        <v>7</v>
      </c>
      <c r="F1631" t="s">
        <v>12</v>
      </c>
      <c r="G1631">
        <v>4595</v>
      </c>
    </row>
    <row r="1632" spans="1:7" x14ac:dyDescent="0.25">
      <c r="A1632">
        <v>1306</v>
      </c>
      <c r="B1632">
        <v>51631</v>
      </c>
      <c r="C1632" s="2">
        <v>45323.765588529503</v>
      </c>
      <c r="D1632">
        <v>63</v>
      </c>
      <c r="E1632" t="s">
        <v>8</v>
      </c>
      <c r="F1632" t="s">
        <v>12</v>
      </c>
      <c r="G1632">
        <v>4698</v>
      </c>
    </row>
    <row r="1633" spans="1:7" x14ac:dyDescent="0.25">
      <c r="A1633">
        <v>1185</v>
      </c>
      <c r="B1633">
        <v>51632</v>
      </c>
      <c r="C1633" s="2">
        <v>45324.009003001003</v>
      </c>
      <c r="D1633">
        <v>42</v>
      </c>
      <c r="E1633" t="s">
        <v>8</v>
      </c>
      <c r="F1633" t="s">
        <v>10</v>
      </c>
      <c r="G1633">
        <v>3891</v>
      </c>
    </row>
    <row r="1634" spans="1:7" x14ac:dyDescent="0.25">
      <c r="A1634">
        <v>1039</v>
      </c>
      <c r="B1634">
        <v>51633</v>
      </c>
      <c r="C1634" s="2">
        <v>45324.252417472489</v>
      </c>
      <c r="D1634">
        <v>38</v>
      </c>
      <c r="E1634" t="s">
        <v>8</v>
      </c>
      <c r="F1634" t="s">
        <v>10</v>
      </c>
      <c r="G1634">
        <v>4041</v>
      </c>
    </row>
    <row r="1635" spans="1:7" x14ac:dyDescent="0.25">
      <c r="A1635">
        <v>1223</v>
      </c>
      <c r="B1635">
        <v>51634</v>
      </c>
      <c r="C1635" s="2">
        <v>45324.495831943968</v>
      </c>
      <c r="D1635">
        <v>41</v>
      </c>
      <c r="E1635" t="s">
        <v>7</v>
      </c>
      <c r="F1635" t="s">
        <v>10</v>
      </c>
      <c r="G1635">
        <v>4548</v>
      </c>
    </row>
    <row r="1636" spans="1:7" x14ac:dyDescent="0.25">
      <c r="A1636">
        <v>1184</v>
      </c>
      <c r="B1636">
        <v>51635</v>
      </c>
      <c r="C1636" s="2">
        <v>45324.739246415462</v>
      </c>
      <c r="D1636">
        <v>22</v>
      </c>
      <c r="E1636" t="s">
        <v>7</v>
      </c>
      <c r="F1636" t="s">
        <v>9</v>
      </c>
      <c r="G1636">
        <v>1592</v>
      </c>
    </row>
    <row r="1637" spans="1:7" x14ac:dyDescent="0.25">
      <c r="A1637">
        <v>1495</v>
      </c>
      <c r="B1637">
        <v>51636</v>
      </c>
      <c r="C1637" s="2">
        <v>45324.982660886963</v>
      </c>
      <c r="D1637">
        <v>23</v>
      </c>
      <c r="E1637" t="s">
        <v>7</v>
      </c>
      <c r="F1637" t="s">
        <v>11</v>
      </c>
      <c r="G1637">
        <v>3950</v>
      </c>
    </row>
    <row r="1638" spans="1:7" x14ac:dyDescent="0.25">
      <c r="A1638">
        <v>1427</v>
      </c>
      <c r="B1638">
        <v>51637</v>
      </c>
      <c r="C1638" s="2">
        <v>45325.226075358449</v>
      </c>
      <c r="D1638">
        <v>60</v>
      </c>
      <c r="E1638" t="s">
        <v>7</v>
      </c>
      <c r="F1638" t="s">
        <v>9</v>
      </c>
      <c r="G1638">
        <v>4455</v>
      </c>
    </row>
    <row r="1639" spans="1:7" x14ac:dyDescent="0.25">
      <c r="A1639">
        <v>1178</v>
      </c>
      <c r="B1639">
        <v>51638</v>
      </c>
      <c r="C1639" s="2">
        <v>45325.469489829942</v>
      </c>
      <c r="D1639">
        <v>61</v>
      </c>
      <c r="E1639" t="s">
        <v>7</v>
      </c>
      <c r="F1639" t="s">
        <v>9</v>
      </c>
      <c r="G1639">
        <v>3208</v>
      </c>
    </row>
    <row r="1640" spans="1:7" x14ac:dyDescent="0.25">
      <c r="A1640">
        <v>1428</v>
      </c>
      <c r="B1640">
        <v>51639</v>
      </c>
      <c r="C1640" s="2">
        <v>45325.712904301421</v>
      </c>
      <c r="D1640">
        <v>64</v>
      </c>
      <c r="E1640" t="s">
        <v>7</v>
      </c>
      <c r="F1640" t="s">
        <v>11</v>
      </c>
      <c r="G1640">
        <v>4500</v>
      </c>
    </row>
    <row r="1641" spans="1:7" x14ac:dyDescent="0.25">
      <c r="A1641">
        <v>1294</v>
      </c>
      <c r="B1641">
        <v>51640</v>
      </c>
      <c r="C1641" s="2">
        <v>45325.956318772907</v>
      </c>
      <c r="D1641">
        <v>40</v>
      </c>
      <c r="E1641" t="s">
        <v>7</v>
      </c>
      <c r="F1641" t="s">
        <v>10</v>
      </c>
      <c r="G1641">
        <v>3538</v>
      </c>
    </row>
    <row r="1642" spans="1:7" x14ac:dyDescent="0.25">
      <c r="A1642">
        <v>1151</v>
      </c>
      <c r="B1642">
        <v>51641</v>
      </c>
      <c r="C1642" s="2">
        <v>45326.199733244408</v>
      </c>
      <c r="D1642">
        <v>21</v>
      </c>
      <c r="E1642" t="s">
        <v>8</v>
      </c>
      <c r="F1642" t="s">
        <v>10</v>
      </c>
      <c r="G1642">
        <v>3714</v>
      </c>
    </row>
    <row r="1643" spans="1:7" x14ac:dyDescent="0.25">
      <c r="A1643">
        <v>1384</v>
      </c>
      <c r="B1643">
        <v>51642</v>
      </c>
      <c r="C1643" s="2">
        <v>45326.443147715901</v>
      </c>
      <c r="D1643">
        <v>44</v>
      </c>
      <c r="E1643" t="s">
        <v>8</v>
      </c>
      <c r="F1643" t="s">
        <v>11</v>
      </c>
      <c r="G1643">
        <v>959</v>
      </c>
    </row>
    <row r="1644" spans="1:7" x14ac:dyDescent="0.25">
      <c r="A1644">
        <v>1308</v>
      </c>
      <c r="B1644">
        <v>51643</v>
      </c>
      <c r="C1644" s="2">
        <v>45326.686562187388</v>
      </c>
      <c r="D1644">
        <v>35</v>
      </c>
      <c r="E1644" t="s">
        <v>7</v>
      </c>
      <c r="F1644" t="s">
        <v>11</v>
      </c>
      <c r="G1644">
        <v>2968</v>
      </c>
    </row>
    <row r="1645" spans="1:7" x14ac:dyDescent="0.25">
      <c r="A1645">
        <v>1336</v>
      </c>
      <c r="B1645">
        <v>51644</v>
      </c>
      <c r="C1645" s="2">
        <v>45326.929976658867</v>
      </c>
      <c r="D1645">
        <v>38</v>
      </c>
      <c r="E1645" t="s">
        <v>8</v>
      </c>
      <c r="F1645" t="s">
        <v>9</v>
      </c>
      <c r="G1645">
        <v>3288</v>
      </c>
    </row>
    <row r="1646" spans="1:7" x14ac:dyDescent="0.25">
      <c r="A1646">
        <v>1375</v>
      </c>
      <c r="B1646">
        <v>51645</v>
      </c>
      <c r="C1646" s="2">
        <v>45327.173391130367</v>
      </c>
      <c r="D1646">
        <v>45</v>
      </c>
      <c r="E1646" t="s">
        <v>8</v>
      </c>
      <c r="F1646" t="s">
        <v>12</v>
      </c>
      <c r="G1646">
        <v>2315</v>
      </c>
    </row>
    <row r="1647" spans="1:7" x14ac:dyDescent="0.25">
      <c r="A1647">
        <v>1008</v>
      </c>
      <c r="B1647">
        <v>51646</v>
      </c>
      <c r="C1647" s="2">
        <v>45327.416805601861</v>
      </c>
      <c r="D1647">
        <v>52</v>
      </c>
      <c r="E1647" t="s">
        <v>7</v>
      </c>
      <c r="F1647" t="s">
        <v>11</v>
      </c>
      <c r="G1647">
        <v>4428</v>
      </c>
    </row>
    <row r="1648" spans="1:7" x14ac:dyDescent="0.25">
      <c r="A1648">
        <v>1341</v>
      </c>
      <c r="B1648">
        <v>51647</v>
      </c>
      <c r="C1648" s="2">
        <v>45327.660220073347</v>
      </c>
      <c r="D1648">
        <v>39</v>
      </c>
      <c r="E1648" t="s">
        <v>8</v>
      </c>
      <c r="F1648" t="s">
        <v>9</v>
      </c>
      <c r="G1648">
        <v>1923</v>
      </c>
    </row>
    <row r="1649" spans="1:7" x14ac:dyDescent="0.25">
      <c r="A1649">
        <v>1129</v>
      </c>
      <c r="B1649">
        <v>51648</v>
      </c>
      <c r="C1649" s="2">
        <v>45327.90363454484</v>
      </c>
      <c r="D1649">
        <v>57</v>
      </c>
      <c r="E1649" t="s">
        <v>8</v>
      </c>
      <c r="F1649" t="s">
        <v>12</v>
      </c>
      <c r="G1649">
        <v>3166</v>
      </c>
    </row>
    <row r="1650" spans="1:7" x14ac:dyDescent="0.25">
      <c r="A1650">
        <v>1352</v>
      </c>
      <c r="B1650">
        <v>51649</v>
      </c>
      <c r="C1650" s="2">
        <v>45328.147049016326</v>
      </c>
      <c r="D1650">
        <v>40</v>
      </c>
      <c r="E1650" t="s">
        <v>7</v>
      </c>
      <c r="F1650" t="s">
        <v>10</v>
      </c>
      <c r="G1650">
        <v>629</v>
      </c>
    </row>
    <row r="1651" spans="1:7" x14ac:dyDescent="0.25">
      <c r="A1651">
        <v>1358</v>
      </c>
      <c r="B1651">
        <v>51650</v>
      </c>
      <c r="C1651" s="2">
        <v>45328.390463487827</v>
      </c>
      <c r="D1651">
        <v>20</v>
      </c>
      <c r="E1651" t="s">
        <v>8</v>
      </c>
      <c r="F1651" t="s">
        <v>10</v>
      </c>
      <c r="G1651">
        <v>2555</v>
      </c>
    </row>
    <row r="1652" spans="1:7" x14ac:dyDescent="0.25">
      <c r="A1652">
        <v>1517</v>
      </c>
      <c r="B1652">
        <v>51651</v>
      </c>
      <c r="C1652" s="2">
        <v>45328.633877959321</v>
      </c>
      <c r="D1652">
        <v>57</v>
      </c>
      <c r="E1652" t="s">
        <v>7</v>
      </c>
      <c r="F1652" t="s">
        <v>9</v>
      </c>
      <c r="G1652">
        <v>2659</v>
      </c>
    </row>
    <row r="1653" spans="1:7" x14ac:dyDescent="0.25">
      <c r="A1653">
        <v>1495</v>
      </c>
      <c r="B1653">
        <v>51652</v>
      </c>
      <c r="C1653" s="2">
        <v>45328.877292430807</v>
      </c>
      <c r="D1653">
        <v>27</v>
      </c>
      <c r="E1653" t="s">
        <v>7</v>
      </c>
      <c r="F1653" t="s">
        <v>9</v>
      </c>
      <c r="G1653">
        <v>4392</v>
      </c>
    </row>
    <row r="1654" spans="1:7" x14ac:dyDescent="0.25">
      <c r="A1654">
        <v>1086</v>
      </c>
      <c r="B1654">
        <v>51653</v>
      </c>
      <c r="C1654" s="2">
        <v>45329.120706902293</v>
      </c>
      <c r="D1654">
        <v>42</v>
      </c>
      <c r="E1654" t="s">
        <v>8</v>
      </c>
      <c r="F1654" t="s">
        <v>11</v>
      </c>
      <c r="G1654">
        <v>1918</v>
      </c>
    </row>
    <row r="1655" spans="1:7" x14ac:dyDescent="0.25">
      <c r="A1655">
        <v>1175</v>
      </c>
      <c r="B1655">
        <v>51654</v>
      </c>
      <c r="C1655" s="2">
        <v>45329.364121373786</v>
      </c>
      <c r="D1655">
        <v>25</v>
      </c>
      <c r="E1655" t="s">
        <v>8</v>
      </c>
      <c r="F1655" t="s">
        <v>10</v>
      </c>
      <c r="G1655">
        <v>1465</v>
      </c>
    </row>
    <row r="1656" spans="1:7" x14ac:dyDescent="0.25">
      <c r="A1656">
        <v>1193</v>
      </c>
      <c r="B1656">
        <v>51655</v>
      </c>
      <c r="C1656" s="2">
        <v>45329.60753584528</v>
      </c>
      <c r="D1656">
        <v>28</v>
      </c>
      <c r="E1656" t="s">
        <v>8</v>
      </c>
      <c r="F1656" t="s">
        <v>9</v>
      </c>
      <c r="G1656">
        <v>1508</v>
      </c>
    </row>
    <row r="1657" spans="1:7" x14ac:dyDescent="0.25">
      <c r="A1657">
        <v>1311</v>
      </c>
      <c r="B1657">
        <v>51656</v>
      </c>
      <c r="C1657" s="2">
        <v>45329.850950316773</v>
      </c>
      <c r="D1657">
        <v>22</v>
      </c>
      <c r="E1657" t="s">
        <v>7</v>
      </c>
      <c r="F1657" t="s">
        <v>10</v>
      </c>
      <c r="G1657">
        <v>1250</v>
      </c>
    </row>
    <row r="1658" spans="1:7" x14ac:dyDescent="0.25">
      <c r="A1658">
        <v>1119</v>
      </c>
      <c r="B1658">
        <v>51657</v>
      </c>
      <c r="C1658" s="2">
        <v>45330.094364788252</v>
      </c>
      <c r="D1658">
        <v>62</v>
      </c>
      <c r="E1658" t="s">
        <v>7</v>
      </c>
      <c r="F1658" t="s">
        <v>10</v>
      </c>
      <c r="G1658">
        <v>3673</v>
      </c>
    </row>
    <row r="1659" spans="1:7" x14ac:dyDescent="0.25">
      <c r="A1659">
        <v>1218</v>
      </c>
      <c r="B1659">
        <v>51658</v>
      </c>
      <c r="C1659" s="2">
        <v>45330.337779259753</v>
      </c>
      <c r="D1659">
        <v>54</v>
      </c>
      <c r="E1659" t="s">
        <v>7</v>
      </c>
      <c r="F1659" t="s">
        <v>11</v>
      </c>
      <c r="G1659">
        <v>2449</v>
      </c>
    </row>
    <row r="1660" spans="1:7" x14ac:dyDescent="0.25">
      <c r="A1660">
        <v>1427</v>
      </c>
      <c r="B1660">
        <v>51659</v>
      </c>
      <c r="C1660" s="2">
        <v>45330.581193731239</v>
      </c>
      <c r="D1660">
        <v>62</v>
      </c>
      <c r="E1660" t="s">
        <v>8</v>
      </c>
      <c r="F1660" t="s">
        <v>12</v>
      </c>
      <c r="G1660">
        <v>3009</v>
      </c>
    </row>
    <row r="1661" spans="1:7" x14ac:dyDescent="0.25">
      <c r="A1661">
        <v>1414</v>
      </c>
      <c r="B1661">
        <v>51660</v>
      </c>
      <c r="C1661" s="2">
        <v>45330.824608202733</v>
      </c>
      <c r="D1661">
        <v>55</v>
      </c>
      <c r="E1661" t="s">
        <v>8</v>
      </c>
      <c r="F1661" t="s">
        <v>11</v>
      </c>
      <c r="G1661">
        <v>3121</v>
      </c>
    </row>
    <row r="1662" spans="1:7" x14ac:dyDescent="0.25">
      <c r="A1662">
        <v>1114</v>
      </c>
      <c r="B1662">
        <v>51661</v>
      </c>
      <c r="C1662" s="2">
        <v>45331.068022674233</v>
      </c>
      <c r="D1662">
        <v>46</v>
      </c>
      <c r="E1662" t="s">
        <v>7</v>
      </c>
      <c r="F1662" t="s">
        <v>9</v>
      </c>
      <c r="G1662">
        <v>4876</v>
      </c>
    </row>
    <row r="1663" spans="1:7" x14ac:dyDescent="0.25">
      <c r="A1663">
        <v>1145</v>
      </c>
      <c r="B1663">
        <v>51662</v>
      </c>
      <c r="C1663" s="2">
        <v>45331.311437145698</v>
      </c>
      <c r="D1663">
        <v>22</v>
      </c>
      <c r="E1663" t="s">
        <v>8</v>
      </c>
      <c r="F1663" t="s">
        <v>11</v>
      </c>
      <c r="G1663">
        <v>4241</v>
      </c>
    </row>
    <row r="1664" spans="1:7" x14ac:dyDescent="0.25">
      <c r="A1664">
        <v>1538</v>
      </c>
      <c r="B1664">
        <v>51663</v>
      </c>
      <c r="C1664" s="2">
        <v>45331.554851617198</v>
      </c>
      <c r="D1664">
        <v>26</v>
      </c>
      <c r="E1664" t="s">
        <v>8</v>
      </c>
      <c r="F1664" t="s">
        <v>11</v>
      </c>
      <c r="G1664">
        <v>2617</v>
      </c>
    </row>
    <row r="1665" spans="1:7" x14ac:dyDescent="0.25">
      <c r="A1665">
        <v>1303</v>
      </c>
      <c r="B1665">
        <v>51664</v>
      </c>
      <c r="C1665" s="2">
        <v>45331.798266088692</v>
      </c>
      <c r="D1665">
        <v>19</v>
      </c>
      <c r="E1665" t="s">
        <v>7</v>
      </c>
      <c r="F1665" t="s">
        <v>10</v>
      </c>
      <c r="G1665">
        <v>732</v>
      </c>
    </row>
    <row r="1666" spans="1:7" x14ac:dyDescent="0.25">
      <c r="A1666">
        <v>1588</v>
      </c>
      <c r="B1666">
        <v>51665</v>
      </c>
      <c r="C1666" s="2">
        <v>45332.041680560193</v>
      </c>
      <c r="D1666">
        <v>18</v>
      </c>
      <c r="E1666" t="s">
        <v>7</v>
      </c>
      <c r="F1666" t="s">
        <v>11</v>
      </c>
      <c r="G1666">
        <v>1098</v>
      </c>
    </row>
    <row r="1667" spans="1:7" x14ac:dyDescent="0.25">
      <c r="A1667">
        <v>1345</v>
      </c>
      <c r="B1667">
        <v>51666</v>
      </c>
      <c r="C1667" s="2">
        <v>45332.285095031657</v>
      </c>
      <c r="D1667">
        <v>57</v>
      </c>
      <c r="E1667" t="s">
        <v>8</v>
      </c>
      <c r="F1667" t="s">
        <v>9</v>
      </c>
      <c r="G1667">
        <v>2854</v>
      </c>
    </row>
    <row r="1668" spans="1:7" x14ac:dyDescent="0.25">
      <c r="A1668">
        <v>1001</v>
      </c>
      <c r="B1668">
        <v>51667</v>
      </c>
      <c r="C1668" s="2">
        <v>45332.528509503158</v>
      </c>
      <c r="D1668">
        <v>47</v>
      </c>
      <c r="E1668" t="s">
        <v>7</v>
      </c>
      <c r="F1668" t="s">
        <v>12</v>
      </c>
      <c r="G1668">
        <v>1669</v>
      </c>
    </row>
    <row r="1669" spans="1:7" x14ac:dyDescent="0.25">
      <c r="A1669">
        <v>1147</v>
      </c>
      <c r="B1669">
        <v>51668</v>
      </c>
      <c r="C1669" s="2">
        <v>45332.771923974651</v>
      </c>
      <c r="D1669">
        <v>28</v>
      </c>
      <c r="E1669" t="s">
        <v>8</v>
      </c>
      <c r="F1669" t="s">
        <v>11</v>
      </c>
      <c r="G1669">
        <v>3120</v>
      </c>
    </row>
    <row r="1670" spans="1:7" x14ac:dyDescent="0.25">
      <c r="A1670">
        <v>1287</v>
      </c>
      <c r="B1670">
        <v>51669</v>
      </c>
      <c r="C1670" s="2">
        <v>45333.015338446137</v>
      </c>
      <c r="D1670">
        <v>45</v>
      </c>
      <c r="E1670" t="s">
        <v>7</v>
      </c>
      <c r="F1670" t="s">
        <v>11</v>
      </c>
      <c r="G1670">
        <v>1452</v>
      </c>
    </row>
    <row r="1671" spans="1:7" x14ac:dyDescent="0.25">
      <c r="A1671">
        <v>1053</v>
      </c>
      <c r="B1671">
        <v>51670</v>
      </c>
      <c r="C1671" s="2">
        <v>45333.258752917638</v>
      </c>
      <c r="D1671">
        <v>61</v>
      </c>
      <c r="E1671" t="s">
        <v>7</v>
      </c>
      <c r="F1671" t="s">
        <v>12</v>
      </c>
      <c r="G1671">
        <v>969</v>
      </c>
    </row>
    <row r="1672" spans="1:7" x14ac:dyDescent="0.25">
      <c r="A1672">
        <v>1304</v>
      </c>
      <c r="B1672">
        <v>51671</v>
      </c>
      <c r="C1672" s="2">
        <v>45333.502167389117</v>
      </c>
      <c r="D1672">
        <v>29</v>
      </c>
      <c r="E1672" t="s">
        <v>7</v>
      </c>
      <c r="F1672" t="s">
        <v>9</v>
      </c>
      <c r="G1672">
        <v>1033</v>
      </c>
    </row>
    <row r="1673" spans="1:7" x14ac:dyDescent="0.25">
      <c r="A1673">
        <v>1069</v>
      </c>
      <c r="B1673">
        <v>51672</v>
      </c>
      <c r="C1673" s="2">
        <v>45333.74558186061</v>
      </c>
      <c r="D1673">
        <v>56</v>
      </c>
      <c r="E1673" t="s">
        <v>8</v>
      </c>
      <c r="F1673" t="s">
        <v>9</v>
      </c>
      <c r="G1673">
        <v>2409</v>
      </c>
    </row>
    <row r="1674" spans="1:7" x14ac:dyDescent="0.25">
      <c r="A1674">
        <v>1361</v>
      </c>
      <c r="B1674">
        <v>51673</v>
      </c>
      <c r="C1674" s="2">
        <v>45333.988996332097</v>
      </c>
      <c r="D1674">
        <v>43</v>
      </c>
      <c r="E1674" t="s">
        <v>8</v>
      </c>
      <c r="F1674" t="s">
        <v>11</v>
      </c>
      <c r="G1674">
        <v>4849</v>
      </c>
    </row>
    <row r="1675" spans="1:7" x14ac:dyDescent="0.25">
      <c r="A1675">
        <v>1220</v>
      </c>
      <c r="B1675">
        <v>51674</v>
      </c>
      <c r="C1675" s="2">
        <v>45334.232410803597</v>
      </c>
      <c r="D1675">
        <v>30</v>
      </c>
      <c r="E1675" t="s">
        <v>7</v>
      </c>
      <c r="F1675" t="s">
        <v>10</v>
      </c>
      <c r="G1675">
        <v>3624</v>
      </c>
    </row>
    <row r="1676" spans="1:7" x14ac:dyDescent="0.25">
      <c r="A1676">
        <v>1575</v>
      </c>
      <c r="B1676">
        <v>51675</v>
      </c>
      <c r="C1676" s="2">
        <v>45334.475825275083</v>
      </c>
      <c r="D1676">
        <v>25</v>
      </c>
      <c r="E1676" t="s">
        <v>7</v>
      </c>
      <c r="F1676" t="s">
        <v>11</v>
      </c>
      <c r="G1676">
        <v>1291</v>
      </c>
    </row>
    <row r="1677" spans="1:7" x14ac:dyDescent="0.25">
      <c r="A1677">
        <v>1585</v>
      </c>
      <c r="B1677">
        <v>51676</v>
      </c>
      <c r="C1677" s="2">
        <v>45334.719239746577</v>
      </c>
      <c r="D1677">
        <v>45</v>
      </c>
      <c r="E1677" t="s">
        <v>7</v>
      </c>
      <c r="F1677" t="s">
        <v>12</v>
      </c>
      <c r="G1677">
        <v>1396</v>
      </c>
    </row>
    <row r="1678" spans="1:7" x14ac:dyDescent="0.25">
      <c r="A1678">
        <v>1161</v>
      </c>
      <c r="B1678">
        <v>51677</v>
      </c>
      <c r="C1678" s="2">
        <v>45334.96265421807</v>
      </c>
      <c r="D1678">
        <v>47</v>
      </c>
      <c r="E1678" t="s">
        <v>8</v>
      </c>
      <c r="F1678" t="s">
        <v>12</v>
      </c>
      <c r="G1678">
        <v>4114</v>
      </c>
    </row>
    <row r="1679" spans="1:7" x14ac:dyDescent="0.25">
      <c r="A1679">
        <v>1089</v>
      </c>
      <c r="B1679">
        <v>51678</v>
      </c>
      <c r="C1679" s="2">
        <v>45335.206068689557</v>
      </c>
      <c r="D1679">
        <v>26</v>
      </c>
      <c r="E1679" t="s">
        <v>7</v>
      </c>
      <c r="F1679" t="s">
        <v>12</v>
      </c>
      <c r="G1679">
        <v>1860</v>
      </c>
    </row>
    <row r="1680" spans="1:7" x14ac:dyDescent="0.25">
      <c r="A1680">
        <v>1585</v>
      </c>
      <c r="B1680">
        <v>51679</v>
      </c>
      <c r="C1680" s="2">
        <v>45335.44948316105</v>
      </c>
      <c r="D1680">
        <v>56</v>
      </c>
      <c r="E1680" t="s">
        <v>7</v>
      </c>
      <c r="F1680" t="s">
        <v>11</v>
      </c>
      <c r="G1680">
        <v>4854</v>
      </c>
    </row>
    <row r="1681" spans="1:7" x14ac:dyDescent="0.25">
      <c r="A1681">
        <v>1589</v>
      </c>
      <c r="B1681">
        <v>51680</v>
      </c>
      <c r="C1681" s="2">
        <v>45335.692897632543</v>
      </c>
      <c r="D1681">
        <v>48</v>
      </c>
      <c r="E1681" t="s">
        <v>7</v>
      </c>
      <c r="F1681" t="s">
        <v>11</v>
      </c>
      <c r="G1681">
        <v>460</v>
      </c>
    </row>
    <row r="1682" spans="1:7" x14ac:dyDescent="0.25">
      <c r="A1682">
        <v>1159</v>
      </c>
      <c r="B1682">
        <v>51681</v>
      </c>
      <c r="C1682" s="2">
        <v>45335.93631210403</v>
      </c>
      <c r="D1682">
        <v>38</v>
      </c>
      <c r="E1682" t="s">
        <v>7</v>
      </c>
      <c r="F1682" t="s">
        <v>9</v>
      </c>
      <c r="G1682">
        <v>2464</v>
      </c>
    </row>
    <row r="1683" spans="1:7" x14ac:dyDescent="0.25">
      <c r="A1683">
        <v>1489</v>
      </c>
      <c r="B1683">
        <v>51682</v>
      </c>
      <c r="C1683" s="2">
        <v>45336.179726575523</v>
      </c>
      <c r="D1683">
        <v>64</v>
      </c>
      <c r="E1683" t="s">
        <v>8</v>
      </c>
      <c r="F1683" t="s">
        <v>10</v>
      </c>
      <c r="G1683">
        <v>1385</v>
      </c>
    </row>
    <row r="1684" spans="1:7" x14ac:dyDescent="0.25">
      <c r="A1684">
        <v>1324</v>
      </c>
      <c r="B1684">
        <v>51683</v>
      </c>
      <c r="C1684" s="2">
        <v>45336.423141047017</v>
      </c>
      <c r="D1684">
        <v>51</v>
      </c>
      <c r="E1684" t="s">
        <v>8</v>
      </c>
      <c r="F1684" t="s">
        <v>11</v>
      </c>
      <c r="G1684">
        <v>2649</v>
      </c>
    </row>
    <row r="1685" spans="1:7" x14ac:dyDescent="0.25">
      <c r="A1685">
        <v>1381</v>
      </c>
      <c r="B1685">
        <v>51684</v>
      </c>
      <c r="C1685" s="2">
        <v>45336.666555518503</v>
      </c>
      <c r="D1685">
        <v>48</v>
      </c>
      <c r="E1685" t="s">
        <v>7</v>
      </c>
      <c r="F1685" t="s">
        <v>9</v>
      </c>
      <c r="G1685">
        <v>3733</v>
      </c>
    </row>
    <row r="1686" spans="1:7" x14ac:dyDescent="0.25">
      <c r="A1686">
        <v>1102</v>
      </c>
      <c r="B1686">
        <v>51685</v>
      </c>
      <c r="C1686" s="2">
        <v>45336.909969989989</v>
      </c>
      <c r="D1686">
        <v>42</v>
      </c>
      <c r="E1686" t="s">
        <v>8</v>
      </c>
      <c r="F1686" t="s">
        <v>11</v>
      </c>
      <c r="G1686">
        <v>4570</v>
      </c>
    </row>
    <row r="1687" spans="1:7" x14ac:dyDescent="0.25">
      <c r="A1687">
        <v>1494</v>
      </c>
      <c r="B1687">
        <v>51686</v>
      </c>
      <c r="C1687" s="2">
        <v>45337.153384461482</v>
      </c>
      <c r="D1687">
        <v>29</v>
      </c>
      <c r="E1687" t="s">
        <v>8</v>
      </c>
      <c r="F1687" t="s">
        <v>9</v>
      </c>
      <c r="G1687">
        <v>4501</v>
      </c>
    </row>
    <row r="1688" spans="1:7" x14ac:dyDescent="0.25">
      <c r="A1688">
        <v>1019</v>
      </c>
      <c r="B1688">
        <v>51687</v>
      </c>
      <c r="C1688" s="2">
        <v>45337.396798932983</v>
      </c>
      <c r="D1688">
        <v>18</v>
      </c>
      <c r="E1688" t="s">
        <v>8</v>
      </c>
      <c r="F1688" t="s">
        <v>9</v>
      </c>
      <c r="G1688">
        <v>3544</v>
      </c>
    </row>
    <row r="1689" spans="1:7" x14ac:dyDescent="0.25">
      <c r="A1689">
        <v>1454</v>
      </c>
      <c r="B1689">
        <v>51688</v>
      </c>
      <c r="C1689" s="2">
        <v>45337.640213404469</v>
      </c>
      <c r="D1689">
        <v>39</v>
      </c>
      <c r="E1689" t="s">
        <v>7</v>
      </c>
      <c r="F1689" t="s">
        <v>10</v>
      </c>
      <c r="G1689">
        <v>1066</v>
      </c>
    </row>
    <row r="1690" spans="1:7" x14ac:dyDescent="0.25">
      <c r="A1690">
        <v>1482</v>
      </c>
      <c r="B1690">
        <v>51689</v>
      </c>
      <c r="C1690" s="2">
        <v>45337.883627875948</v>
      </c>
      <c r="D1690">
        <v>57</v>
      </c>
      <c r="E1690" t="s">
        <v>8</v>
      </c>
      <c r="F1690" t="s">
        <v>11</v>
      </c>
      <c r="G1690">
        <v>292</v>
      </c>
    </row>
    <row r="1691" spans="1:7" x14ac:dyDescent="0.25">
      <c r="A1691">
        <v>1594</v>
      </c>
      <c r="B1691">
        <v>51690</v>
      </c>
      <c r="C1691" s="2">
        <v>45338.127042347442</v>
      </c>
      <c r="D1691">
        <v>54</v>
      </c>
      <c r="E1691" t="s">
        <v>8</v>
      </c>
      <c r="F1691" t="s">
        <v>9</v>
      </c>
      <c r="G1691">
        <v>3378</v>
      </c>
    </row>
    <row r="1692" spans="1:7" x14ac:dyDescent="0.25">
      <c r="A1692">
        <v>1397</v>
      </c>
      <c r="B1692">
        <v>51691</v>
      </c>
      <c r="C1692" s="2">
        <v>45338.370456818942</v>
      </c>
      <c r="D1692">
        <v>64</v>
      </c>
      <c r="E1692" t="s">
        <v>8</v>
      </c>
      <c r="F1692" t="s">
        <v>12</v>
      </c>
      <c r="G1692">
        <v>1551</v>
      </c>
    </row>
    <row r="1693" spans="1:7" x14ac:dyDescent="0.25">
      <c r="A1693">
        <v>1279</v>
      </c>
      <c r="B1693">
        <v>51692</v>
      </c>
      <c r="C1693" s="2">
        <v>45338.613871290429</v>
      </c>
      <c r="D1693">
        <v>18</v>
      </c>
      <c r="E1693" t="s">
        <v>7</v>
      </c>
      <c r="F1693" t="s">
        <v>12</v>
      </c>
      <c r="G1693">
        <v>564</v>
      </c>
    </row>
    <row r="1694" spans="1:7" x14ac:dyDescent="0.25">
      <c r="A1694">
        <v>1365</v>
      </c>
      <c r="B1694">
        <v>51693</v>
      </c>
      <c r="C1694" s="2">
        <v>45338.857285761907</v>
      </c>
      <c r="D1694">
        <v>18</v>
      </c>
      <c r="E1694" t="s">
        <v>7</v>
      </c>
      <c r="F1694" t="s">
        <v>12</v>
      </c>
      <c r="G1694">
        <v>3918</v>
      </c>
    </row>
    <row r="1695" spans="1:7" x14ac:dyDescent="0.25">
      <c r="A1695">
        <v>1331</v>
      </c>
      <c r="B1695">
        <v>51694</v>
      </c>
      <c r="C1695" s="2">
        <v>45339.100700233401</v>
      </c>
      <c r="D1695">
        <v>59</v>
      </c>
      <c r="E1695" t="s">
        <v>8</v>
      </c>
      <c r="F1695" t="s">
        <v>10</v>
      </c>
      <c r="G1695">
        <v>2124</v>
      </c>
    </row>
    <row r="1696" spans="1:7" x14ac:dyDescent="0.25">
      <c r="A1696">
        <v>1344</v>
      </c>
      <c r="B1696">
        <v>51695</v>
      </c>
      <c r="C1696" s="2">
        <v>45339.344114704887</v>
      </c>
      <c r="D1696">
        <v>59</v>
      </c>
      <c r="E1696" t="s">
        <v>8</v>
      </c>
      <c r="F1696" t="s">
        <v>9</v>
      </c>
      <c r="G1696">
        <v>3295</v>
      </c>
    </row>
    <row r="1697" spans="1:7" x14ac:dyDescent="0.25">
      <c r="A1697">
        <v>1455</v>
      </c>
      <c r="B1697">
        <v>51696</v>
      </c>
      <c r="C1697" s="2">
        <v>45339.587529176388</v>
      </c>
      <c r="D1697">
        <v>38</v>
      </c>
      <c r="E1697" t="s">
        <v>7</v>
      </c>
      <c r="F1697" t="s">
        <v>10</v>
      </c>
      <c r="G1697">
        <v>2738</v>
      </c>
    </row>
    <row r="1698" spans="1:7" x14ac:dyDescent="0.25">
      <c r="A1698">
        <v>1065</v>
      </c>
      <c r="B1698">
        <v>51697</v>
      </c>
      <c r="C1698" s="2">
        <v>45339.830943647881</v>
      </c>
      <c r="D1698">
        <v>32</v>
      </c>
      <c r="E1698" t="s">
        <v>7</v>
      </c>
      <c r="F1698" t="s">
        <v>11</v>
      </c>
      <c r="G1698">
        <v>1496</v>
      </c>
    </row>
    <row r="1699" spans="1:7" x14ac:dyDescent="0.25">
      <c r="A1699">
        <v>1076</v>
      </c>
      <c r="B1699">
        <v>51698</v>
      </c>
      <c r="C1699" s="2">
        <v>45340.07435811936</v>
      </c>
      <c r="D1699">
        <v>34</v>
      </c>
      <c r="E1699" t="s">
        <v>8</v>
      </c>
      <c r="F1699" t="s">
        <v>11</v>
      </c>
      <c r="G1699">
        <v>2476</v>
      </c>
    </row>
    <row r="1700" spans="1:7" x14ac:dyDescent="0.25">
      <c r="A1700">
        <v>1143</v>
      </c>
      <c r="B1700">
        <v>51699</v>
      </c>
      <c r="C1700" s="2">
        <v>45340.317772590854</v>
      </c>
      <c r="D1700">
        <v>39</v>
      </c>
      <c r="E1700" t="s">
        <v>8</v>
      </c>
      <c r="F1700" t="s">
        <v>9</v>
      </c>
      <c r="G1700">
        <v>202</v>
      </c>
    </row>
    <row r="1701" spans="1:7" x14ac:dyDescent="0.25">
      <c r="A1701">
        <v>1473</v>
      </c>
      <c r="B1701">
        <v>51700</v>
      </c>
      <c r="C1701" s="2">
        <v>45340.561187062347</v>
      </c>
      <c r="D1701">
        <v>55</v>
      </c>
      <c r="E1701" t="s">
        <v>7</v>
      </c>
      <c r="F1701" t="s">
        <v>12</v>
      </c>
      <c r="G1701">
        <v>3692</v>
      </c>
    </row>
    <row r="1702" spans="1:7" x14ac:dyDescent="0.25">
      <c r="A1702">
        <v>1417</v>
      </c>
      <c r="B1702">
        <v>51701</v>
      </c>
      <c r="C1702" s="2">
        <v>45340.80460153384</v>
      </c>
      <c r="D1702">
        <v>52</v>
      </c>
      <c r="E1702" t="s">
        <v>7</v>
      </c>
      <c r="F1702" t="s">
        <v>9</v>
      </c>
      <c r="G1702">
        <v>1953</v>
      </c>
    </row>
    <row r="1703" spans="1:7" x14ac:dyDescent="0.25">
      <c r="A1703">
        <v>1305</v>
      </c>
      <c r="B1703">
        <v>51702</v>
      </c>
      <c r="C1703" s="2">
        <v>45341.048016005327</v>
      </c>
      <c r="D1703">
        <v>62</v>
      </c>
      <c r="E1703" t="s">
        <v>8</v>
      </c>
      <c r="F1703" t="s">
        <v>9</v>
      </c>
      <c r="G1703">
        <v>1110</v>
      </c>
    </row>
    <row r="1704" spans="1:7" x14ac:dyDescent="0.25">
      <c r="A1704">
        <v>1497</v>
      </c>
      <c r="B1704">
        <v>51703</v>
      </c>
      <c r="C1704" s="2">
        <v>45341.29143047682</v>
      </c>
      <c r="D1704">
        <v>33</v>
      </c>
      <c r="E1704" t="s">
        <v>7</v>
      </c>
      <c r="F1704" t="s">
        <v>9</v>
      </c>
      <c r="G1704">
        <v>506</v>
      </c>
    </row>
    <row r="1705" spans="1:7" x14ac:dyDescent="0.25">
      <c r="A1705">
        <v>1291</v>
      </c>
      <c r="B1705">
        <v>51704</v>
      </c>
      <c r="C1705" s="2">
        <v>45341.534844948314</v>
      </c>
      <c r="D1705">
        <v>25</v>
      </c>
      <c r="E1705" t="s">
        <v>8</v>
      </c>
      <c r="F1705" t="s">
        <v>10</v>
      </c>
      <c r="G1705">
        <v>4431</v>
      </c>
    </row>
    <row r="1706" spans="1:7" x14ac:dyDescent="0.25">
      <c r="A1706">
        <v>1102</v>
      </c>
      <c r="B1706">
        <v>51705</v>
      </c>
      <c r="C1706" s="2">
        <v>45341.7782594198</v>
      </c>
      <c r="D1706">
        <v>64</v>
      </c>
      <c r="E1706" t="s">
        <v>8</v>
      </c>
      <c r="F1706" t="s">
        <v>11</v>
      </c>
      <c r="G1706">
        <v>4215</v>
      </c>
    </row>
    <row r="1707" spans="1:7" x14ac:dyDescent="0.25">
      <c r="A1707">
        <v>1267</v>
      </c>
      <c r="B1707">
        <v>51706</v>
      </c>
      <c r="C1707" s="2">
        <v>45342.021673891293</v>
      </c>
      <c r="D1707">
        <v>34</v>
      </c>
      <c r="E1707" t="s">
        <v>8</v>
      </c>
      <c r="F1707" t="s">
        <v>9</v>
      </c>
      <c r="G1707">
        <v>1638</v>
      </c>
    </row>
    <row r="1708" spans="1:7" x14ac:dyDescent="0.25">
      <c r="A1708">
        <v>1003</v>
      </c>
      <c r="B1708">
        <v>51707</v>
      </c>
      <c r="C1708" s="2">
        <v>45342.265088362779</v>
      </c>
      <c r="D1708">
        <v>34</v>
      </c>
      <c r="E1708" t="s">
        <v>7</v>
      </c>
      <c r="F1708" t="s">
        <v>9</v>
      </c>
      <c r="G1708">
        <v>1072</v>
      </c>
    </row>
    <row r="1709" spans="1:7" x14ac:dyDescent="0.25">
      <c r="A1709">
        <v>1085</v>
      </c>
      <c r="B1709">
        <v>51708</v>
      </c>
      <c r="C1709" s="2">
        <v>45342.508502834273</v>
      </c>
      <c r="D1709">
        <v>43</v>
      </c>
      <c r="E1709" t="s">
        <v>8</v>
      </c>
      <c r="F1709" t="s">
        <v>9</v>
      </c>
      <c r="G1709">
        <v>1341</v>
      </c>
    </row>
    <row r="1710" spans="1:7" x14ac:dyDescent="0.25">
      <c r="A1710">
        <v>1328</v>
      </c>
      <c r="B1710">
        <v>51709</v>
      </c>
      <c r="C1710" s="2">
        <v>45342.751917305774</v>
      </c>
      <c r="D1710">
        <v>30</v>
      </c>
      <c r="E1710" t="s">
        <v>8</v>
      </c>
      <c r="F1710" t="s">
        <v>10</v>
      </c>
      <c r="G1710">
        <v>865</v>
      </c>
    </row>
    <row r="1711" spans="1:7" x14ac:dyDescent="0.25">
      <c r="A1711">
        <v>1450</v>
      </c>
      <c r="B1711">
        <v>51710</v>
      </c>
      <c r="C1711" s="2">
        <v>45342.99533177726</v>
      </c>
      <c r="D1711">
        <v>34</v>
      </c>
      <c r="E1711" t="s">
        <v>7</v>
      </c>
      <c r="F1711" t="s">
        <v>10</v>
      </c>
      <c r="G1711">
        <v>408</v>
      </c>
    </row>
    <row r="1712" spans="1:7" x14ac:dyDescent="0.25">
      <c r="A1712">
        <v>1454</v>
      </c>
      <c r="B1712">
        <v>51711</v>
      </c>
      <c r="C1712" s="2">
        <v>45343.238746248739</v>
      </c>
      <c r="D1712">
        <v>55</v>
      </c>
      <c r="E1712" t="s">
        <v>7</v>
      </c>
      <c r="F1712" t="s">
        <v>10</v>
      </c>
      <c r="G1712">
        <v>1151</v>
      </c>
    </row>
    <row r="1713" spans="1:7" x14ac:dyDescent="0.25">
      <c r="A1713">
        <v>1221</v>
      </c>
      <c r="B1713">
        <v>51712</v>
      </c>
      <c r="C1713" s="2">
        <v>45343.482160720232</v>
      </c>
      <c r="D1713">
        <v>34</v>
      </c>
      <c r="E1713" t="s">
        <v>8</v>
      </c>
      <c r="F1713" t="s">
        <v>9</v>
      </c>
      <c r="G1713">
        <v>1257</v>
      </c>
    </row>
    <row r="1714" spans="1:7" x14ac:dyDescent="0.25">
      <c r="A1714">
        <v>1154</v>
      </c>
      <c r="B1714">
        <v>51713</v>
      </c>
      <c r="C1714" s="2">
        <v>45343.725575191733</v>
      </c>
      <c r="D1714">
        <v>31</v>
      </c>
      <c r="E1714" t="s">
        <v>8</v>
      </c>
      <c r="F1714" t="s">
        <v>12</v>
      </c>
      <c r="G1714">
        <v>4944</v>
      </c>
    </row>
    <row r="1715" spans="1:7" x14ac:dyDescent="0.25">
      <c r="A1715">
        <v>1012</v>
      </c>
      <c r="B1715">
        <v>51714</v>
      </c>
      <c r="C1715" s="2">
        <v>45343.968989663219</v>
      </c>
      <c r="D1715">
        <v>62</v>
      </c>
      <c r="E1715" t="s">
        <v>7</v>
      </c>
      <c r="F1715" t="s">
        <v>12</v>
      </c>
      <c r="G1715">
        <v>4922</v>
      </c>
    </row>
    <row r="1716" spans="1:7" x14ac:dyDescent="0.25">
      <c r="A1716">
        <v>1133</v>
      </c>
      <c r="B1716">
        <v>51715</v>
      </c>
      <c r="C1716" s="2">
        <v>45344.212404134712</v>
      </c>
      <c r="D1716">
        <v>23</v>
      </c>
      <c r="E1716" t="s">
        <v>7</v>
      </c>
      <c r="F1716" t="s">
        <v>12</v>
      </c>
      <c r="G1716">
        <v>4820</v>
      </c>
    </row>
    <row r="1717" spans="1:7" x14ac:dyDescent="0.25">
      <c r="A1717">
        <v>1304</v>
      </c>
      <c r="B1717">
        <v>51716</v>
      </c>
      <c r="C1717" s="2">
        <v>45344.455818606191</v>
      </c>
      <c r="D1717">
        <v>52</v>
      </c>
      <c r="E1717" t="s">
        <v>7</v>
      </c>
      <c r="F1717" t="s">
        <v>11</v>
      </c>
      <c r="G1717">
        <v>4208</v>
      </c>
    </row>
    <row r="1718" spans="1:7" x14ac:dyDescent="0.25">
      <c r="A1718">
        <v>1293</v>
      </c>
      <c r="B1718">
        <v>51717</v>
      </c>
      <c r="C1718" s="2">
        <v>45344.699233077677</v>
      </c>
      <c r="D1718">
        <v>63</v>
      </c>
      <c r="E1718" t="s">
        <v>8</v>
      </c>
      <c r="F1718" t="s">
        <v>9</v>
      </c>
      <c r="G1718">
        <v>2068</v>
      </c>
    </row>
    <row r="1719" spans="1:7" x14ac:dyDescent="0.25">
      <c r="A1719">
        <v>1300</v>
      </c>
      <c r="B1719">
        <v>51718</v>
      </c>
      <c r="C1719" s="2">
        <v>45344.942647549178</v>
      </c>
      <c r="D1719">
        <v>31</v>
      </c>
      <c r="E1719" t="s">
        <v>8</v>
      </c>
      <c r="F1719" t="s">
        <v>12</v>
      </c>
      <c r="G1719">
        <v>971</v>
      </c>
    </row>
    <row r="1720" spans="1:7" x14ac:dyDescent="0.25">
      <c r="A1720">
        <v>1043</v>
      </c>
      <c r="B1720">
        <v>51719</v>
      </c>
      <c r="C1720" s="2">
        <v>45345.186062020672</v>
      </c>
      <c r="D1720">
        <v>64</v>
      </c>
      <c r="E1720" t="s">
        <v>8</v>
      </c>
      <c r="F1720" t="s">
        <v>12</v>
      </c>
      <c r="G1720">
        <v>4230</v>
      </c>
    </row>
    <row r="1721" spans="1:7" x14ac:dyDescent="0.25">
      <c r="A1721">
        <v>1343</v>
      </c>
      <c r="B1721">
        <v>51720</v>
      </c>
      <c r="C1721" s="2">
        <v>45345.429476492151</v>
      </c>
      <c r="D1721">
        <v>25</v>
      </c>
      <c r="E1721" t="s">
        <v>7</v>
      </c>
      <c r="F1721" t="s">
        <v>12</v>
      </c>
      <c r="G1721">
        <v>721</v>
      </c>
    </row>
    <row r="1722" spans="1:7" x14ac:dyDescent="0.25">
      <c r="A1722">
        <v>1326</v>
      </c>
      <c r="B1722">
        <v>51721</v>
      </c>
      <c r="C1722" s="2">
        <v>45345.672890963637</v>
      </c>
      <c r="D1722">
        <v>32</v>
      </c>
      <c r="E1722" t="s">
        <v>8</v>
      </c>
      <c r="F1722" t="s">
        <v>9</v>
      </c>
      <c r="G1722">
        <v>3555</v>
      </c>
    </row>
    <row r="1723" spans="1:7" x14ac:dyDescent="0.25">
      <c r="A1723">
        <v>1498</v>
      </c>
      <c r="B1723">
        <v>51722</v>
      </c>
      <c r="C1723" s="2">
        <v>45345.916305435137</v>
      </c>
      <c r="D1723">
        <v>44</v>
      </c>
      <c r="E1723" t="s">
        <v>7</v>
      </c>
      <c r="F1723" t="s">
        <v>12</v>
      </c>
      <c r="G1723">
        <v>1600</v>
      </c>
    </row>
    <row r="1724" spans="1:7" x14ac:dyDescent="0.25">
      <c r="A1724">
        <v>1364</v>
      </c>
      <c r="B1724">
        <v>51723</v>
      </c>
      <c r="C1724" s="2">
        <v>45346.159719906631</v>
      </c>
      <c r="D1724">
        <v>30</v>
      </c>
      <c r="E1724" t="s">
        <v>8</v>
      </c>
      <c r="F1724" t="s">
        <v>12</v>
      </c>
      <c r="G1724">
        <v>3938</v>
      </c>
    </row>
    <row r="1725" spans="1:7" x14ac:dyDescent="0.25">
      <c r="A1725">
        <v>1427</v>
      </c>
      <c r="B1725">
        <v>51724</v>
      </c>
      <c r="C1725" s="2">
        <v>45346.403134378117</v>
      </c>
      <c r="D1725">
        <v>48</v>
      </c>
      <c r="E1725" t="s">
        <v>7</v>
      </c>
      <c r="F1725" t="s">
        <v>9</v>
      </c>
      <c r="G1725">
        <v>4543</v>
      </c>
    </row>
    <row r="1726" spans="1:7" x14ac:dyDescent="0.25">
      <c r="A1726">
        <v>1021</v>
      </c>
      <c r="B1726">
        <v>51725</v>
      </c>
      <c r="C1726" s="2">
        <v>45346.646548849603</v>
      </c>
      <c r="D1726">
        <v>52</v>
      </c>
      <c r="E1726" t="s">
        <v>8</v>
      </c>
      <c r="F1726" t="s">
        <v>11</v>
      </c>
      <c r="G1726">
        <v>3923</v>
      </c>
    </row>
    <row r="1727" spans="1:7" x14ac:dyDescent="0.25">
      <c r="A1727">
        <v>1407</v>
      </c>
      <c r="B1727">
        <v>51726</v>
      </c>
      <c r="C1727" s="2">
        <v>45346.889963321097</v>
      </c>
      <c r="D1727">
        <v>23</v>
      </c>
      <c r="E1727" t="s">
        <v>8</v>
      </c>
      <c r="F1727" t="s">
        <v>10</v>
      </c>
      <c r="G1727">
        <v>3447</v>
      </c>
    </row>
    <row r="1728" spans="1:7" x14ac:dyDescent="0.25">
      <c r="A1728">
        <v>1336</v>
      </c>
      <c r="B1728">
        <v>51727</v>
      </c>
      <c r="C1728" s="2">
        <v>45347.13337779259</v>
      </c>
      <c r="D1728">
        <v>22</v>
      </c>
      <c r="E1728" t="s">
        <v>7</v>
      </c>
      <c r="F1728" t="s">
        <v>12</v>
      </c>
      <c r="G1728">
        <v>2058</v>
      </c>
    </row>
    <row r="1729" spans="1:7" x14ac:dyDescent="0.25">
      <c r="A1729">
        <v>1117</v>
      </c>
      <c r="B1729">
        <v>51728</v>
      </c>
      <c r="C1729" s="2">
        <v>45347.376792264084</v>
      </c>
      <c r="D1729">
        <v>39</v>
      </c>
      <c r="E1729" t="s">
        <v>7</v>
      </c>
      <c r="F1729" t="s">
        <v>10</v>
      </c>
      <c r="G1729">
        <v>4981</v>
      </c>
    </row>
    <row r="1730" spans="1:7" x14ac:dyDescent="0.25">
      <c r="A1730">
        <v>1124</v>
      </c>
      <c r="B1730">
        <v>51729</v>
      </c>
      <c r="C1730" s="2">
        <v>45347.62020673557</v>
      </c>
      <c r="D1730">
        <v>40</v>
      </c>
      <c r="E1730" t="s">
        <v>8</v>
      </c>
      <c r="F1730" t="s">
        <v>11</v>
      </c>
      <c r="G1730">
        <v>4264</v>
      </c>
    </row>
    <row r="1731" spans="1:7" x14ac:dyDescent="0.25">
      <c r="A1731">
        <v>1399</v>
      </c>
      <c r="B1731">
        <v>51730</v>
      </c>
      <c r="C1731" s="2">
        <v>45347.863621207063</v>
      </c>
      <c r="D1731">
        <v>42</v>
      </c>
      <c r="E1731" t="s">
        <v>7</v>
      </c>
      <c r="F1731" t="s">
        <v>11</v>
      </c>
      <c r="G1731">
        <v>4881</v>
      </c>
    </row>
    <row r="1732" spans="1:7" x14ac:dyDescent="0.25">
      <c r="A1732">
        <v>1051</v>
      </c>
      <c r="B1732">
        <v>51731</v>
      </c>
      <c r="C1732" s="2">
        <v>45348.107035678557</v>
      </c>
      <c r="D1732">
        <v>51</v>
      </c>
      <c r="E1732" t="s">
        <v>7</v>
      </c>
      <c r="F1732" t="s">
        <v>12</v>
      </c>
      <c r="G1732">
        <v>2598</v>
      </c>
    </row>
    <row r="1733" spans="1:7" x14ac:dyDescent="0.25">
      <c r="A1733">
        <v>1324</v>
      </c>
      <c r="B1733">
        <v>51732</v>
      </c>
      <c r="C1733" s="2">
        <v>45348.350450150043</v>
      </c>
      <c r="D1733">
        <v>43</v>
      </c>
      <c r="E1733" t="s">
        <v>8</v>
      </c>
      <c r="F1733" t="s">
        <v>9</v>
      </c>
      <c r="G1733">
        <v>342</v>
      </c>
    </row>
    <row r="1734" spans="1:7" x14ac:dyDescent="0.25">
      <c r="A1734">
        <v>1141</v>
      </c>
      <c r="B1734">
        <v>51733</v>
      </c>
      <c r="C1734" s="2">
        <v>45348.593864621544</v>
      </c>
      <c r="D1734">
        <v>64</v>
      </c>
      <c r="E1734" t="s">
        <v>7</v>
      </c>
      <c r="F1734" t="s">
        <v>11</v>
      </c>
      <c r="G1734">
        <v>3051</v>
      </c>
    </row>
    <row r="1735" spans="1:7" x14ac:dyDescent="0.25">
      <c r="A1735">
        <v>1470</v>
      </c>
      <c r="B1735">
        <v>51734</v>
      </c>
      <c r="C1735" s="2">
        <v>45348.837279093023</v>
      </c>
      <c r="D1735">
        <v>22</v>
      </c>
      <c r="E1735" t="s">
        <v>8</v>
      </c>
      <c r="F1735" t="s">
        <v>10</v>
      </c>
      <c r="G1735">
        <v>3669</v>
      </c>
    </row>
    <row r="1736" spans="1:7" x14ac:dyDescent="0.25">
      <c r="A1736">
        <v>1334</v>
      </c>
      <c r="B1736">
        <v>51735</v>
      </c>
      <c r="C1736" s="2">
        <v>45349.080693564523</v>
      </c>
      <c r="D1736">
        <v>43</v>
      </c>
      <c r="E1736" t="s">
        <v>8</v>
      </c>
      <c r="F1736" t="s">
        <v>10</v>
      </c>
      <c r="G1736">
        <v>3895</v>
      </c>
    </row>
    <row r="1737" spans="1:7" x14ac:dyDescent="0.25">
      <c r="A1737">
        <v>1373</v>
      </c>
      <c r="B1737">
        <v>51736</v>
      </c>
      <c r="C1737" s="2">
        <v>45349.324108036009</v>
      </c>
      <c r="D1737">
        <v>37</v>
      </c>
      <c r="E1737" t="s">
        <v>7</v>
      </c>
      <c r="F1737" t="s">
        <v>10</v>
      </c>
      <c r="G1737">
        <v>917</v>
      </c>
    </row>
    <row r="1738" spans="1:7" x14ac:dyDescent="0.25">
      <c r="A1738">
        <v>1564</v>
      </c>
      <c r="B1738">
        <v>51737</v>
      </c>
      <c r="C1738" s="2">
        <v>45349.567522507503</v>
      </c>
      <c r="D1738">
        <v>23</v>
      </c>
      <c r="E1738" t="s">
        <v>7</v>
      </c>
      <c r="F1738" t="s">
        <v>10</v>
      </c>
      <c r="G1738">
        <v>842</v>
      </c>
    </row>
    <row r="1739" spans="1:7" x14ac:dyDescent="0.25">
      <c r="A1739">
        <v>1494</v>
      </c>
      <c r="B1739">
        <v>51738</v>
      </c>
      <c r="C1739" s="2">
        <v>45349.810936978982</v>
      </c>
      <c r="D1739">
        <v>23</v>
      </c>
      <c r="E1739" t="s">
        <v>8</v>
      </c>
      <c r="F1739" t="s">
        <v>11</v>
      </c>
      <c r="G1739">
        <v>3640</v>
      </c>
    </row>
    <row r="1740" spans="1:7" x14ac:dyDescent="0.25">
      <c r="A1740">
        <v>1539</v>
      </c>
      <c r="B1740">
        <v>51739</v>
      </c>
      <c r="C1740" s="2">
        <v>45350.054351450482</v>
      </c>
      <c r="D1740">
        <v>35</v>
      </c>
      <c r="E1740" t="s">
        <v>8</v>
      </c>
      <c r="F1740" t="s">
        <v>12</v>
      </c>
      <c r="G1740">
        <v>2748</v>
      </c>
    </row>
    <row r="1741" spans="1:7" x14ac:dyDescent="0.25">
      <c r="A1741">
        <v>1156</v>
      </c>
      <c r="B1741">
        <v>51740</v>
      </c>
      <c r="C1741" s="2">
        <v>45350.297765921969</v>
      </c>
      <c r="D1741">
        <v>21</v>
      </c>
      <c r="E1741" t="s">
        <v>8</v>
      </c>
      <c r="F1741" t="s">
        <v>12</v>
      </c>
      <c r="G1741">
        <v>3893</v>
      </c>
    </row>
    <row r="1742" spans="1:7" x14ac:dyDescent="0.25">
      <c r="A1742">
        <v>1291</v>
      </c>
      <c r="B1742">
        <v>51741</v>
      </c>
      <c r="C1742" s="2">
        <v>45350.541180393462</v>
      </c>
      <c r="D1742">
        <v>34</v>
      </c>
      <c r="E1742" t="s">
        <v>8</v>
      </c>
      <c r="F1742" t="s">
        <v>10</v>
      </c>
      <c r="G1742">
        <v>569</v>
      </c>
    </row>
    <row r="1743" spans="1:7" x14ac:dyDescent="0.25">
      <c r="A1743">
        <v>1144</v>
      </c>
      <c r="B1743">
        <v>51742</v>
      </c>
      <c r="C1743" s="2">
        <v>45350.784594864963</v>
      </c>
      <c r="D1743">
        <v>31</v>
      </c>
      <c r="E1743" t="s">
        <v>8</v>
      </c>
      <c r="F1743" t="s">
        <v>12</v>
      </c>
      <c r="G1743">
        <v>3850</v>
      </c>
    </row>
    <row r="1744" spans="1:7" x14ac:dyDescent="0.25">
      <c r="A1744">
        <v>1106</v>
      </c>
      <c r="B1744">
        <v>51743</v>
      </c>
      <c r="C1744" s="2">
        <v>45351.028009336427</v>
      </c>
      <c r="D1744">
        <v>31</v>
      </c>
      <c r="E1744" t="s">
        <v>8</v>
      </c>
      <c r="F1744" t="s">
        <v>10</v>
      </c>
      <c r="G1744">
        <v>986</v>
      </c>
    </row>
    <row r="1745" spans="1:7" x14ac:dyDescent="0.25">
      <c r="A1745">
        <v>1420</v>
      </c>
      <c r="B1745">
        <v>51744</v>
      </c>
      <c r="C1745" s="2">
        <v>45351.271423807928</v>
      </c>
      <c r="D1745">
        <v>30</v>
      </c>
      <c r="E1745" t="s">
        <v>7</v>
      </c>
      <c r="F1745" t="s">
        <v>10</v>
      </c>
      <c r="G1745">
        <v>1149</v>
      </c>
    </row>
    <row r="1746" spans="1:7" x14ac:dyDescent="0.25">
      <c r="A1746">
        <v>1002</v>
      </c>
      <c r="B1746">
        <v>51745</v>
      </c>
      <c r="C1746" s="2">
        <v>45351.514838279421</v>
      </c>
      <c r="D1746">
        <v>24</v>
      </c>
      <c r="E1746" t="s">
        <v>7</v>
      </c>
      <c r="F1746" t="s">
        <v>9</v>
      </c>
      <c r="G1746">
        <v>721</v>
      </c>
    </row>
    <row r="1747" spans="1:7" x14ac:dyDescent="0.25">
      <c r="A1747">
        <v>1589</v>
      </c>
      <c r="B1747">
        <v>51746</v>
      </c>
      <c r="C1747" s="2">
        <v>45351.758252750908</v>
      </c>
      <c r="D1747">
        <v>61</v>
      </c>
      <c r="E1747" t="s">
        <v>7</v>
      </c>
      <c r="F1747" t="s">
        <v>11</v>
      </c>
      <c r="G1747">
        <v>3143</v>
      </c>
    </row>
    <row r="1748" spans="1:7" x14ac:dyDescent="0.25">
      <c r="A1748">
        <v>1090</v>
      </c>
      <c r="B1748">
        <v>51747</v>
      </c>
      <c r="C1748" s="2">
        <v>45352.001667222408</v>
      </c>
      <c r="D1748">
        <v>32</v>
      </c>
      <c r="E1748" t="s">
        <v>8</v>
      </c>
      <c r="F1748" t="s">
        <v>11</v>
      </c>
      <c r="G1748">
        <v>554</v>
      </c>
    </row>
    <row r="1749" spans="1:7" x14ac:dyDescent="0.25">
      <c r="A1749">
        <v>1345</v>
      </c>
      <c r="B1749">
        <v>51748</v>
      </c>
      <c r="C1749" s="2">
        <v>45352.245081693887</v>
      </c>
      <c r="D1749">
        <v>36</v>
      </c>
      <c r="E1749" t="s">
        <v>7</v>
      </c>
      <c r="F1749" t="s">
        <v>10</v>
      </c>
      <c r="G1749">
        <v>2535</v>
      </c>
    </row>
    <row r="1750" spans="1:7" x14ac:dyDescent="0.25">
      <c r="A1750">
        <v>1350</v>
      </c>
      <c r="B1750">
        <v>51749</v>
      </c>
      <c r="C1750" s="2">
        <v>45352.488496165381</v>
      </c>
      <c r="D1750">
        <v>60</v>
      </c>
      <c r="E1750" t="s">
        <v>8</v>
      </c>
      <c r="F1750" t="s">
        <v>11</v>
      </c>
      <c r="G1750">
        <v>1682</v>
      </c>
    </row>
    <row r="1751" spans="1:7" x14ac:dyDescent="0.25">
      <c r="A1751">
        <v>1459</v>
      </c>
      <c r="B1751">
        <v>51750</v>
      </c>
      <c r="C1751" s="2">
        <v>45352.731910636867</v>
      </c>
      <c r="D1751">
        <v>64</v>
      </c>
      <c r="E1751" t="s">
        <v>8</v>
      </c>
      <c r="F1751" t="s">
        <v>12</v>
      </c>
      <c r="G1751">
        <v>1847</v>
      </c>
    </row>
    <row r="1752" spans="1:7" x14ac:dyDescent="0.25">
      <c r="A1752">
        <v>1263</v>
      </c>
      <c r="B1752">
        <v>51751</v>
      </c>
      <c r="C1752" s="2">
        <v>45352.975325108368</v>
      </c>
      <c r="D1752">
        <v>61</v>
      </c>
      <c r="E1752" t="s">
        <v>7</v>
      </c>
      <c r="F1752" t="s">
        <v>10</v>
      </c>
      <c r="G1752">
        <v>3245</v>
      </c>
    </row>
    <row r="1753" spans="1:7" x14ac:dyDescent="0.25">
      <c r="A1753">
        <v>1351</v>
      </c>
      <c r="B1753">
        <v>51752</v>
      </c>
      <c r="C1753" s="2">
        <v>45353.218739579846</v>
      </c>
      <c r="D1753">
        <v>52</v>
      </c>
      <c r="E1753" t="s">
        <v>8</v>
      </c>
      <c r="F1753" t="s">
        <v>9</v>
      </c>
      <c r="G1753">
        <v>4831</v>
      </c>
    </row>
    <row r="1754" spans="1:7" x14ac:dyDescent="0.25">
      <c r="A1754">
        <v>1108</v>
      </c>
      <c r="B1754">
        <v>51753</v>
      </c>
      <c r="C1754" s="2">
        <v>45353.46215405134</v>
      </c>
      <c r="D1754">
        <v>34</v>
      </c>
      <c r="E1754" t="s">
        <v>8</v>
      </c>
      <c r="F1754" t="s">
        <v>12</v>
      </c>
      <c r="G1754">
        <v>2415</v>
      </c>
    </row>
    <row r="1755" spans="1:7" x14ac:dyDescent="0.25">
      <c r="A1755">
        <v>1586</v>
      </c>
      <c r="B1755">
        <v>51754</v>
      </c>
      <c r="C1755" s="2">
        <v>45353.705568522833</v>
      </c>
      <c r="D1755">
        <v>52</v>
      </c>
      <c r="E1755" t="s">
        <v>8</v>
      </c>
      <c r="F1755" t="s">
        <v>9</v>
      </c>
      <c r="G1755">
        <v>4916</v>
      </c>
    </row>
    <row r="1756" spans="1:7" x14ac:dyDescent="0.25">
      <c r="A1756">
        <v>1039</v>
      </c>
      <c r="B1756">
        <v>51755</v>
      </c>
      <c r="C1756" s="2">
        <v>45353.948982994327</v>
      </c>
      <c r="D1756">
        <v>36</v>
      </c>
      <c r="E1756" t="s">
        <v>8</v>
      </c>
      <c r="F1756" t="s">
        <v>9</v>
      </c>
      <c r="G1756">
        <v>627</v>
      </c>
    </row>
    <row r="1757" spans="1:7" x14ac:dyDescent="0.25">
      <c r="A1757">
        <v>1159</v>
      </c>
      <c r="B1757">
        <v>51756</v>
      </c>
      <c r="C1757" s="2">
        <v>45354.19239746582</v>
      </c>
      <c r="D1757">
        <v>37</v>
      </c>
      <c r="E1757" t="s">
        <v>8</v>
      </c>
      <c r="F1757" t="s">
        <v>11</v>
      </c>
      <c r="G1757">
        <v>2737</v>
      </c>
    </row>
    <row r="1758" spans="1:7" x14ac:dyDescent="0.25">
      <c r="A1758">
        <v>1583</v>
      </c>
      <c r="B1758">
        <v>51757</v>
      </c>
      <c r="C1758" s="2">
        <v>45354.435811937306</v>
      </c>
      <c r="D1758">
        <v>53</v>
      </c>
      <c r="E1758" t="s">
        <v>8</v>
      </c>
      <c r="F1758" t="s">
        <v>11</v>
      </c>
      <c r="G1758">
        <v>744</v>
      </c>
    </row>
    <row r="1759" spans="1:7" x14ac:dyDescent="0.25">
      <c r="A1759">
        <v>1312</v>
      </c>
      <c r="B1759">
        <v>51758</v>
      </c>
      <c r="C1759" s="2">
        <v>45354.6792264088</v>
      </c>
      <c r="D1759">
        <v>52</v>
      </c>
      <c r="E1759" t="s">
        <v>7</v>
      </c>
      <c r="F1759" t="s">
        <v>10</v>
      </c>
      <c r="G1759">
        <v>2964</v>
      </c>
    </row>
    <row r="1760" spans="1:7" x14ac:dyDescent="0.25">
      <c r="A1760">
        <v>1241</v>
      </c>
      <c r="B1760">
        <v>51759</v>
      </c>
      <c r="C1760" s="2">
        <v>45354.922640880293</v>
      </c>
      <c r="D1760">
        <v>49</v>
      </c>
      <c r="E1760" t="s">
        <v>8</v>
      </c>
      <c r="F1760" t="s">
        <v>11</v>
      </c>
      <c r="G1760">
        <v>3965</v>
      </c>
    </row>
    <row r="1761" spans="1:7" x14ac:dyDescent="0.25">
      <c r="A1761">
        <v>1445</v>
      </c>
      <c r="B1761">
        <v>51760</v>
      </c>
      <c r="C1761" s="2">
        <v>45355.16605535178</v>
      </c>
      <c r="D1761">
        <v>61</v>
      </c>
      <c r="E1761" t="s">
        <v>8</v>
      </c>
      <c r="F1761" t="s">
        <v>9</v>
      </c>
      <c r="G1761">
        <v>858</v>
      </c>
    </row>
    <row r="1762" spans="1:7" x14ac:dyDescent="0.25">
      <c r="A1762">
        <v>1298</v>
      </c>
      <c r="B1762">
        <v>51761</v>
      </c>
      <c r="C1762" s="2">
        <v>45355.409469823273</v>
      </c>
      <c r="D1762">
        <v>57</v>
      </c>
      <c r="E1762" t="s">
        <v>8</v>
      </c>
      <c r="F1762" t="s">
        <v>9</v>
      </c>
      <c r="G1762">
        <v>3027</v>
      </c>
    </row>
    <row r="1763" spans="1:7" x14ac:dyDescent="0.25">
      <c r="A1763">
        <v>1036</v>
      </c>
      <c r="B1763">
        <v>51762</v>
      </c>
      <c r="C1763" s="2">
        <v>45355.652884294759</v>
      </c>
      <c r="D1763">
        <v>41</v>
      </c>
      <c r="E1763" t="s">
        <v>8</v>
      </c>
      <c r="F1763" t="s">
        <v>12</v>
      </c>
      <c r="G1763">
        <v>2258</v>
      </c>
    </row>
    <row r="1764" spans="1:7" x14ac:dyDescent="0.25">
      <c r="A1764">
        <v>1084</v>
      </c>
      <c r="B1764">
        <v>51763</v>
      </c>
      <c r="C1764" s="2">
        <v>45355.896298766253</v>
      </c>
      <c r="D1764">
        <v>34</v>
      </c>
      <c r="E1764" t="s">
        <v>7</v>
      </c>
      <c r="F1764" t="s">
        <v>9</v>
      </c>
      <c r="G1764">
        <v>3527</v>
      </c>
    </row>
    <row r="1765" spans="1:7" x14ac:dyDescent="0.25">
      <c r="A1765">
        <v>1452</v>
      </c>
      <c r="B1765">
        <v>51764</v>
      </c>
      <c r="C1765" s="2">
        <v>45356.139713237753</v>
      </c>
      <c r="D1765">
        <v>24</v>
      </c>
      <c r="E1765" t="s">
        <v>7</v>
      </c>
      <c r="F1765" t="s">
        <v>10</v>
      </c>
      <c r="G1765">
        <v>930</v>
      </c>
    </row>
    <row r="1766" spans="1:7" x14ac:dyDescent="0.25">
      <c r="A1766">
        <v>1385</v>
      </c>
      <c r="B1766">
        <v>51765</v>
      </c>
      <c r="C1766" s="2">
        <v>45356.383127709239</v>
      </c>
      <c r="D1766">
        <v>60</v>
      </c>
      <c r="E1766" t="s">
        <v>8</v>
      </c>
      <c r="F1766" t="s">
        <v>10</v>
      </c>
      <c r="G1766">
        <v>2032</v>
      </c>
    </row>
    <row r="1767" spans="1:7" x14ac:dyDescent="0.25">
      <c r="A1767">
        <v>1172</v>
      </c>
      <c r="B1767">
        <v>51766</v>
      </c>
      <c r="C1767" s="2">
        <v>45356.626542180718</v>
      </c>
      <c r="D1767">
        <v>18</v>
      </c>
      <c r="E1767" t="s">
        <v>8</v>
      </c>
      <c r="F1767" t="s">
        <v>11</v>
      </c>
      <c r="G1767">
        <v>608</v>
      </c>
    </row>
    <row r="1768" spans="1:7" x14ac:dyDescent="0.25">
      <c r="A1768">
        <v>1376</v>
      </c>
      <c r="B1768">
        <v>51767</v>
      </c>
      <c r="C1768" s="2">
        <v>45356.869956652212</v>
      </c>
      <c r="D1768">
        <v>52</v>
      </c>
      <c r="E1768" t="s">
        <v>8</v>
      </c>
      <c r="F1768" t="s">
        <v>11</v>
      </c>
      <c r="G1768">
        <v>4379</v>
      </c>
    </row>
    <row r="1769" spans="1:7" x14ac:dyDescent="0.25">
      <c r="A1769">
        <v>1362</v>
      </c>
      <c r="B1769">
        <v>51768</v>
      </c>
      <c r="C1769" s="2">
        <v>45357.113371123713</v>
      </c>
      <c r="D1769">
        <v>49</v>
      </c>
      <c r="E1769" t="s">
        <v>7</v>
      </c>
      <c r="F1769" t="s">
        <v>11</v>
      </c>
      <c r="G1769">
        <v>3447</v>
      </c>
    </row>
    <row r="1770" spans="1:7" x14ac:dyDescent="0.25">
      <c r="A1770">
        <v>1559</v>
      </c>
      <c r="B1770">
        <v>51769</v>
      </c>
      <c r="C1770" s="2">
        <v>45357.356785595199</v>
      </c>
      <c r="D1770">
        <v>53</v>
      </c>
      <c r="E1770" t="s">
        <v>7</v>
      </c>
      <c r="F1770" t="s">
        <v>10</v>
      </c>
      <c r="G1770">
        <v>333</v>
      </c>
    </row>
    <row r="1771" spans="1:7" x14ac:dyDescent="0.25">
      <c r="A1771">
        <v>1141</v>
      </c>
      <c r="B1771">
        <v>51770</v>
      </c>
      <c r="C1771" s="2">
        <v>45357.600200066678</v>
      </c>
      <c r="D1771">
        <v>30</v>
      </c>
      <c r="E1771" t="s">
        <v>7</v>
      </c>
      <c r="F1771" t="s">
        <v>9</v>
      </c>
      <c r="G1771">
        <v>866</v>
      </c>
    </row>
    <row r="1772" spans="1:7" x14ac:dyDescent="0.25">
      <c r="A1772">
        <v>1118</v>
      </c>
      <c r="B1772">
        <v>51771</v>
      </c>
      <c r="C1772" s="2">
        <v>45357.843614538171</v>
      </c>
      <c r="D1772">
        <v>23</v>
      </c>
      <c r="E1772" t="s">
        <v>7</v>
      </c>
      <c r="F1772" t="s">
        <v>11</v>
      </c>
      <c r="G1772">
        <v>476</v>
      </c>
    </row>
    <row r="1773" spans="1:7" x14ac:dyDescent="0.25">
      <c r="A1773">
        <v>1277</v>
      </c>
      <c r="B1773">
        <v>51772</v>
      </c>
      <c r="C1773" s="2">
        <v>45358.087029009657</v>
      </c>
      <c r="D1773">
        <v>31</v>
      </c>
      <c r="E1773" t="s">
        <v>8</v>
      </c>
      <c r="F1773" t="s">
        <v>12</v>
      </c>
      <c r="G1773">
        <v>3507</v>
      </c>
    </row>
    <row r="1774" spans="1:7" x14ac:dyDescent="0.25">
      <c r="A1774">
        <v>1220</v>
      </c>
      <c r="B1774">
        <v>51773</v>
      </c>
      <c r="C1774" s="2">
        <v>45358.330443481158</v>
      </c>
      <c r="D1774">
        <v>54</v>
      </c>
      <c r="E1774" t="s">
        <v>7</v>
      </c>
      <c r="F1774" t="s">
        <v>11</v>
      </c>
      <c r="G1774">
        <v>1081</v>
      </c>
    </row>
    <row r="1775" spans="1:7" x14ac:dyDescent="0.25">
      <c r="A1775">
        <v>1026</v>
      </c>
      <c r="B1775">
        <v>51774</v>
      </c>
      <c r="C1775" s="2">
        <v>45358.573857952651</v>
      </c>
      <c r="D1775">
        <v>32</v>
      </c>
      <c r="E1775" t="s">
        <v>7</v>
      </c>
      <c r="F1775" t="s">
        <v>10</v>
      </c>
      <c r="G1775">
        <v>2260</v>
      </c>
    </row>
    <row r="1776" spans="1:7" x14ac:dyDescent="0.25">
      <c r="A1776">
        <v>1521</v>
      </c>
      <c r="B1776">
        <v>51775</v>
      </c>
      <c r="C1776" s="2">
        <v>45358.81727242413</v>
      </c>
      <c r="D1776">
        <v>64</v>
      </c>
      <c r="E1776" t="s">
        <v>8</v>
      </c>
      <c r="F1776" t="s">
        <v>11</v>
      </c>
      <c r="G1776">
        <v>2282</v>
      </c>
    </row>
    <row r="1777" spans="1:7" x14ac:dyDescent="0.25">
      <c r="A1777">
        <v>1010</v>
      </c>
      <c r="B1777">
        <v>51776</v>
      </c>
      <c r="C1777" s="2">
        <v>45359.060686895617</v>
      </c>
      <c r="D1777">
        <v>21</v>
      </c>
      <c r="E1777" t="s">
        <v>8</v>
      </c>
      <c r="F1777" t="s">
        <v>9</v>
      </c>
      <c r="G1777">
        <v>1437</v>
      </c>
    </row>
    <row r="1778" spans="1:7" x14ac:dyDescent="0.25">
      <c r="A1778">
        <v>1378</v>
      </c>
      <c r="B1778">
        <v>51777</v>
      </c>
      <c r="C1778" s="2">
        <v>45359.304101367117</v>
      </c>
      <c r="D1778">
        <v>57</v>
      </c>
      <c r="E1778" t="s">
        <v>7</v>
      </c>
      <c r="F1778" t="s">
        <v>11</v>
      </c>
      <c r="G1778">
        <v>2652</v>
      </c>
    </row>
    <row r="1779" spans="1:7" x14ac:dyDescent="0.25">
      <c r="A1779">
        <v>1584</v>
      </c>
      <c r="B1779">
        <v>51778</v>
      </c>
      <c r="C1779" s="2">
        <v>45359.547515838611</v>
      </c>
      <c r="D1779">
        <v>33</v>
      </c>
      <c r="E1779" t="s">
        <v>7</v>
      </c>
      <c r="F1779" t="s">
        <v>10</v>
      </c>
      <c r="G1779">
        <v>358</v>
      </c>
    </row>
    <row r="1780" spans="1:7" x14ac:dyDescent="0.25">
      <c r="A1780">
        <v>1152</v>
      </c>
      <c r="B1780">
        <v>51779</v>
      </c>
      <c r="C1780" s="2">
        <v>45359.79093031009</v>
      </c>
      <c r="D1780">
        <v>45</v>
      </c>
      <c r="E1780" t="s">
        <v>7</v>
      </c>
      <c r="F1780" t="s">
        <v>10</v>
      </c>
      <c r="G1780">
        <v>2796</v>
      </c>
    </row>
    <row r="1781" spans="1:7" x14ac:dyDescent="0.25">
      <c r="A1781">
        <v>1049</v>
      </c>
      <c r="B1781">
        <v>51780</v>
      </c>
      <c r="C1781" s="2">
        <v>45360.034344781583</v>
      </c>
      <c r="D1781">
        <v>33</v>
      </c>
      <c r="E1781" t="s">
        <v>7</v>
      </c>
      <c r="F1781" t="s">
        <v>12</v>
      </c>
      <c r="G1781">
        <v>4015</v>
      </c>
    </row>
    <row r="1782" spans="1:7" x14ac:dyDescent="0.25">
      <c r="A1782">
        <v>1154</v>
      </c>
      <c r="B1782">
        <v>51781</v>
      </c>
      <c r="C1782" s="2">
        <v>45360.277759253077</v>
      </c>
      <c r="D1782">
        <v>21</v>
      </c>
      <c r="E1782" t="s">
        <v>8</v>
      </c>
      <c r="F1782" t="s">
        <v>10</v>
      </c>
      <c r="G1782">
        <v>4574</v>
      </c>
    </row>
    <row r="1783" spans="1:7" x14ac:dyDescent="0.25">
      <c r="A1783">
        <v>1293</v>
      </c>
      <c r="B1783">
        <v>51782</v>
      </c>
      <c r="C1783" s="2">
        <v>45360.52117372457</v>
      </c>
      <c r="D1783">
        <v>62</v>
      </c>
      <c r="E1783" t="s">
        <v>8</v>
      </c>
      <c r="F1783" t="s">
        <v>12</v>
      </c>
      <c r="G1783">
        <v>2726</v>
      </c>
    </row>
    <row r="1784" spans="1:7" x14ac:dyDescent="0.25">
      <c r="A1784">
        <v>1580</v>
      </c>
      <c r="B1784">
        <v>51783</v>
      </c>
      <c r="C1784" s="2">
        <v>45360.764588196063</v>
      </c>
      <c r="D1784">
        <v>43</v>
      </c>
      <c r="E1784" t="s">
        <v>7</v>
      </c>
      <c r="F1784" t="s">
        <v>9</v>
      </c>
      <c r="G1784">
        <v>310</v>
      </c>
    </row>
    <row r="1785" spans="1:7" x14ac:dyDescent="0.25">
      <c r="A1785">
        <v>1050</v>
      </c>
      <c r="B1785">
        <v>51784</v>
      </c>
      <c r="C1785" s="2">
        <v>45361.00800266755</v>
      </c>
      <c r="D1785">
        <v>45</v>
      </c>
      <c r="E1785" t="s">
        <v>7</v>
      </c>
      <c r="F1785" t="s">
        <v>10</v>
      </c>
      <c r="G1785">
        <v>741</v>
      </c>
    </row>
    <row r="1786" spans="1:7" x14ac:dyDescent="0.25">
      <c r="A1786">
        <v>1531</v>
      </c>
      <c r="B1786">
        <v>51785</v>
      </c>
      <c r="C1786" s="2">
        <v>45361.251417139043</v>
      </c>
      <c r="D1786">
        <v>49</v>
      </c>
      <c r="E1786" t="s">
        <v>7</v>
      </c>
      <c r="F1786" t="s">
        <v>11</v>
      </c>
      <c r="G1786">
        <v>1338</v>
      </c>
    </row>
    <row r="1787" spans="1:7" x14ac:dyDescent="0.25">
      <c r="A1787">
        <v>1060</v>
      </c>
      <c r="B1787">
        <v>51786</v>
      </c>
      <c r="C1787" s="2">
        <v>45361.494831610529</v>
      </c>
      <c r="D1787">
        <v>62</v>
      </c>
      <c r="E1787" t="s">
        <v>7</v>
      </c>
      <c r="F1787" t="s">
        <v>9</v>
      </c>
      <c r="G1787">
        <v>3483</v>
      </c>
    </row>
    <row r="1788" spans="1:7" x14ac:dyDescent="0.25">
      <c r="A1788">
        <v>1167</v>
      </c>
      <c r="B1788">
        <v>51787</v>
      </c>
      <c r="C1788" s="2">
        <v>45361.738246082023</v>
      </c>
      <c r="D1788">
        <v>19</v>
      </c>
      <c r="E1788" t="s">
        <v>7</v>
      </c>
      <c r="F1788" t="s">
        <v>11</v>
      </c>
      <c r="G1788">
        <v>3810</v>
      </c>
    </row>
    <row r="1789" spans="1:7" x14ac:dyDescent="0.25">
      <c r="A1789">
        <v>1202</v>
      </c>
      <c r="B1789">
        <v>51788</v>
      </c>
      <c r="C1789" s="2">
        <v>45361.981660553509</v>
      </c>
      <c r="D1789">
        <v>48</v>
      </c>
      <c r="E1789" t="s">
        <v>8</v>
      </c>
      <c r="F1789" t="s">
        <v>11</v>
      </c>
      <c r="G1789">
        <v>4655</v>
      </c>
    </row>
    <row r="1790" spans="1:7" x14ac:dyDescent="0.25">
      <c r="A1790">
        <v>1146</v>
      </c>
      <c r="B1790">
        <v>51789</v>
      </c>
      <c r="C1790" s="2">
        <v>45362.225075025002</v>
      </c>
      <c r="D1790">
        <v>20</v>
      </c>
      <c r="E1790" t="s">
        <v>8</v>
      </c>
      <c r="F1790" t="s">
        <v>11</v>
      </c>
      <c r="G1790">
        <v>3757</v>
      </c>
    </row>
    <row r="1791" spans="1:7" x14ac:dyDescent="0.25">
      <c r="A1791">
        <v>1439</v>
      </c>
      <c r="B1791">
        <v>51790</v>
      </c>
      <c r="C1791" s="2">
        <v>45362.468489496503</v>
      </c>
      <c r="D1791">
        <v>25</v>
      </c>
      <c r="E1791" t="s">
        <v>8</v>
      </c>
      <c r="F1791" t="s">
        <v>9</v>
      </c>
      <c r="G1791">
        <v>2619</v>
      </c>
    </row>
    <row r="1792" spans="1:7" x14ac:dyDescent="0.25">
      <c r="A1792">
        <v>1242</v>
      </c>
      <c r="B1792">
        <v>51791</v>
      </c>
      <c r="C1792" s="2">
        <v>45362.711903967989</v>
      </c>
      <c r="D1792">
        <v>41</v>
      </c>
      <c r="E1792" t="s">
        <v>7</v>
      </c>
      <c r="F1792" t="s">
        <v>9</v>
      </c>
      <c r="G1792">
        <v>1956</v>
      </c>
    </row>
    <row r="1793" spans="1:7" x14ac:dyDescent="0.25">
      <c r="A1793">
        <v>1581</v>
      </c>
      <c r="B1793">
        <v>51792</v>
      </c>
      <c r="C1793" s="2">
        <v>45362.955318439483</v>
      </c>
      <c r="D1793">
        <v>32</v>
      </c>
      <c r="E1793" t="s">
        <v>7</v>
      </c>
      <c r="F1793" t="s">
        <v>10</v>
      </c>
      <c r="G1793">
        <v>3286</v>
      </c>
    </row>
    <row r="1794" spans="1:7" x14ac:dyDescent="0.25">
      <c r="A1794">
        <v>1561</v>
      </c>
      <c r="B1794">
        <v>51793</v>
      </c>
      <c r="C1794" s="2">
        <v>45363.198732910962</v>
      </c>
      <c r="D1794">
        <v>60</v>
      </c>
      <c r="E1794" t="s">
        <v>8</v>
      </c>
      <c r="F1794" t="s">
        <v>11</v>
      </c>
      <c r="G1794">
        <v>2506</v>
      </c>
    </row>
    <row r="1795" spans="1:7" x14ac:dyDescent="0.25">
      <c r="A1795">
        <v>1483</v>
      </c>
      <c r="B1795">
        <v>51794</v>
      </c>
      <c r="C1795" s="2">
        <v>45363.442147382462</v>
      </c>
      <c r="D1795">
        <v>48</v>
      </c>
      <c r="E1795" t="s">
        <v>8</v>
      </c>
      <c r="F1795" t="s">
        <v>12</v>
      </c>
      <c r="G1795">
        <v>1175</v>
      </c>
    </row>
    <row r="1796" spans="1:7" x14ac:dyDescent="0.25">
      <c r="A1796">
        <v>1108</v>
      </c>
      <c r="B1796">
        <v>51795</v>
      </c>
      <c r="C1796" s="2">
        <v>45363.685561853948</v>
      </c>
      <c r="D1796">
        <v>26</v>
      </c>
      <c r="E1796" t="s">
        <v>7</v>
      </c>
      <c r="F1796" t="s">
        <v>10</v>
      </c>
      <c r="G1796">
        <v>922</v>
      </c>
    </row>
    <row r="1797" spans="1:7" x14ac:dyDescent="0.25">
      <c r="A1797">
        <v>1226</v>
      </c>
      <c r="B1797">
        <v>51796</v>
      </c>
      <c r="C1797" s="2">
        <v>45363.928976325442</v>
      </c>
      <c r="D1797">
        <v>56</v>
      </c>
      <c r="E1797" t="s">
        <v>8</v>
      </c>
      <c r="F1797" t="s">
        <v>9</v>
      </c>
      <c r="G1797">
        <v>2770</v>
      </c>
    </row>
    <row r="1798" spans="1:7" x14ac:dyDescent="0.25">
      <c r="A1798">
        <v>1432</v>
      </c>
      <c r="B1798">
        <v>51797</v>
      </c>
      <c r="C1798" s="2">
        <v>45364.172390796921</v>
      </c>
      <c r="D1798">
        <v>62</v>
      </c>
      <c r="E1798" t="s">
        <v>7</v>
      </c>
      <c r="F1798" t="s">
        <v>12</v>
      </c>
      <c r="G1798">
        <v>524</v>
      </c>
    </row>
    <row r="1799" spans="1:7" x14ac:dyDescent="0.25">
      <c r="A1799">
        <v>1419</v>
      </c>
      <c r="B1799">
        <v>51798</v>
      </c>
      <c r="C1799" s="2">
        <v>45364.415805268407</v>
      </c>
      <c r="D1799">
        <v>19</v>
      </c>
      <c r="E1799" t="s">
        <v>7</v>
      </c>
      <c r="F1799" t="s">
        <v>9</v>
      </c>
      <c r="G1799">
        <v>1729</v>
      </c>
    </row>
    <row r="1800" spans="1:7" x14ac:dyDescent="0.25">
      <c r="A1800">
        <v>1455</v>
      </c>
      <c r="B1800">
        <v>51799</v>
      </c>
      <c r="C1800" s="2">
        <v>45364.659219739908</v>
      </c>
      <c r="D1800">
        <v>25</v>
      </c>
      <c r="E1800" t="s">
        <v>8</v>
      </c>
      <c r="F1800" t="s">
        <v>12</v>
      </c>
      <c r="G1800">
        <v>2145</v>
      </c>
    </row>
    <row r="1801" spans="1:7" x14ac:dyDescent="0.25">
      <c r="A1801">
        <v>1160</v>
      </c>
      <c r="B1801">
        <v>51800</v>
      </c>
      <c r="C1801" s="2">
        <v>45364.902634211401</v>
      </c>
      <c r="D1801">
        <v>24</v>
      </c>
      <c r="E1801" t="s">
        <v>8</v>
      </c>
      <c r="F1801" t="s">
        <v>10</v>
      </c>
      <c r="G1801">
        <v>4686</v>
      </c>
    </row>
    <row r="1802" spans="1:7" x14ac:dyDescent="0.25">
      <c r="A1802">
        <v>1523</v>
      </c>
      <c r="B1802">
        <v>51801</v>
      </c>
      <c r="C1802" s="2">
        <v>45365.146048682887</v>
      </c>
      <c r="D1802">
        <v>61</v>
      </c>
      <c r="E1802" t="s">
        <v>8</v>
      </c>
      <c r="F1802" t="s">
        <v>12</v>
      </c>
      <c r="G1802">
        <v>2630</v>
      </c>
    </row>
    <row r="1803" spans="1:7" x14ac:dyDescent="0.25">
      <c r="A1803">
        <v>1590</v>
      </c>
      <c r="B1803">
        <v>51802</v>
      </c>
      <c r="C1803" s="2">
        <v>45365.389463154374</v>
      </c>
      <c r="D1803">
        <v>56</v>
      </c>
      <c r="E1803" t="s">
        <v>7</v>
      </c>
      <c r="F1803" t="s">
        <v>10</v>
      </c>
      <c r="G1803">
        <v>4311</v>
      </c>
    </row>
    <row r="1804" spans="1:7" x14ac:dyDescent="0.25">
      <c r="A1804">
        <v>1077</v>
      </c>
      <c r="B1804">
        <v>51803</v>
      </c>
      <c r="C1804" s="2">
        <v>45365.632877625867</v>
      </c>
      <c r="D1804">
        <v>59</v>
      </c>
      <c r="E1804" t="s">
        <v>7</v>
      </c>
      <c r="F1804" t="s">
        <v>9</v>
      </c>
      <c r="G1804">
        <v>3710</v>
      </c>
    </row>
    <row r="1805" spans="1:7" x14ac:dyDescent="0.25">
      <c r="A1805">
        <v>1509</v>
      </c>
      <c r="B1805">
        <v>51804</v>
      </c>
      <c r="C1805" s="2">
        <v>45365.87629209736</v>
      </c>
      <c r="D1805">
        <v>33</v>
      </c>
      <c r="E1805" t="s">
        <v>8</v>
      </c>
      <c r="F1805" t="s">
        <v>12</v>
      </c>
      <c r="G1805">
        <v>1045</v>
      </c>
    </row>
    <row r="1806" spans="1:7" x14ac:dyDescent="0.25">
      <c r="A1806">
        <v>1441</v>
      </c>
      <c r="B1806">
        <v>51805</v>
      </c>
      <c r="C1806" s="2">
        <v>45366.119706568847</v>
      </c>
      <c r="D1806">
        <v>52</v>
      </c>
      <c r="E1806" t="s">
        <v>7</v>
      </c>
      <c r="F1806" t="s">
        <v>11</v>
      </c>
      <c r="G1806">
        <v>767</v>
      </c>
    </row>
    <row r="1807" spans="1:7" x14ac:dyDescent="0.25">
      <c r="A1807">
        <v>1254</v>
      </c>
      <c r="B1807">
        <v>51806</v>
      </c>
      <c r="C1807" s="2">
        <v>45366.363121040333</v>
      </c>
      <c r="D1807">
        <v>47</v>
      </c>
      <c r="E1807" t="s">
        <v>7</v>
      </c>
      <c r="F1807" t="s">
        <v>11</v>
      </c>
      <c r="G1807">
        <v>3888</v>
      </c>
    </row>
    <row r="1808" spans="1:7" x14ac:dyDescent="0.25">
      <c r="A1808">
        <v>1320</v>
      </c>
      <c r="B1808">
        <v>51807</v>
      </c>
      <c r="C1808" s="2">
        <v>45366.606535511833</v>
      </c>
      <c r="D1808">
        <v>27</v>
      </c>
      <c r="E1808" t="s">
        <v>7</v>
      </c>
      <c r="F1808" t="s">
        <v>9</v>
      </c>
      <c r="G1808">
        <v>2379</v>
      </c>
    </row>
    <row r="1809" spans="1:7" x14ac:dyDescent="0.25">
      <c r="A1809">
        <v>1263</v>
      </c>
      <c r="B1809">
        <v>51808</v>
      </c>
      <c r="C1809" s="2">
        <v>45366.84994998332</v>
      </c>
      <c r="D1809">
        <v>55</v>
      </c>
      <c r="E1809" t="s">
        <v>8</v>
      </c>
      <c r="F1809" t="s">
        <v>12</v>
      </c>
      <c r="G1809">
        <v>2219</v>
      </c>
    </row>
    <row r="1810" spans="1:7" x14ac:dyDescent="0.25">
      <c r="A1810">
        <v>1597</v>
      </c>
      <c r="B1810">
        <v>51809</v>
      </c>
      <c r="C1810" s="2">
        <v>45367.093364454813</v>
      </c>
      <c r="D1810">
        <v>35</v>
      </c>
      <c r="E1810" t="s">
        <v>7</v>
      </c>
      <c r="F1810" t="s">
        <v>11</v>
      </c>
      <c r="G1810">
        <v>3519</v>
      </c>
    </row>
    <row r="1811" spans="1:7" x14ac:dyDescent="0.25">
      <c r="A1811">
        <v>1554</v>
      </c>
      <c r="B1811">
        <v>51810</v>
      </c>
      <c r="C1811" s="2">
        <v>45367.336778926307</v>
      </c>
      <c r="D1811">
        <v>22</v>
      </c>
      <c r="E1811" t="s">
        <v>8</v>
      </c>
      <c r="F1811" t="s">
        <v>10</v>
      </c>
      <c r="G1811">
        <v>2520</v>
      </c>
    </row>
    <row r="1812" spans="1:7" x14ac:dyDescent="0.25">
      <c r="A1812">
        <v>1374</v>
      </c>
      <c r="B1812">
        <v>51811</v>
      </c>
      <c r="C1812" s="2">
        <v>45367.580193397793</v>
      </c>
      <c r="D1812">
        <v>46</v>
      </c>
      <c r="E1812" t="s">
        <v>8</v>
      </c>
      <c r="F1812" t="s">
        <v>12</v>
      </c>
      <c r="G1812">
        <v>1846</v>
      </c>
    </row>
    <row r="1813" spans="1:7" x14ac:dyDescent="0.25">
      <c r="A1813">
        <v>1167</v>
      </c>
      <c r="B1813">
        <v>51812</v>
      </c>
      <c r="C1813" s="2">
        <v>45367.823607869279</v>
      </c>
      <c r="D1813">
        <v>56</v>
      </c>
      <c r="E1813" t="s">
        <v>7</v>
      </c>
      <c r="F1813" t="s">
        <v>12</v>
      </c>
      <c r="G1813">
        <v>4203</v>
      </c>
    </row>
    <row r="1814" spans="1:7" x14ac:dyDescent="0.25">
      <c r="A1814">
        <v>1459</v>
      </c>
      <c r="B1814">
        <v>51813</v>
      </c>
      <c r="C1814" s="2">
        <v>45368.067022340772</v>
      </c>
      <c r="D1814">
        <v>51</v>
      </c>
      <c r="E1814" t="s">
        <v>8</v>
      </c>
      <c r="F1814" t="s">
        <v>11</v>
      </c>
      <c r="G1814">
        <v>4109</v>
      </c>
    </row>
    <row r="1815" spans="1:7" x14ac:dyDescent="0.25">
      <c r="A1815">
        <v>1280</v>
      </c>
      <c r="B1815">
        <v>51814</v>
      </c>
      <c r="C1815" s="2">
        <v>45368.310436812273</v>
      </c>
      <c r="D1815">
        <v>60</v>
      </c>
      <c r="E1815" t="s">
        <v>7</v>
      </c>
      <c r="F1815" t="s">
        <v>10</v>
      </c>
      <c r="G1815">
        <v>3620</v>
      </c>
    </row>
    <row r="1816" spans="1:7" x14ac:dyDescent="0.25">
      <c r="A1816">
        <v>1302</v>
      </c>
      <c r="B1816">
        <v>51815</v>
      </c>
      <c r="C1816" s="2">
        <v>45368.553851283752</v>
      </c>
      <c r="D1816">
        <v>62</v>
      </c>
      <c r="E1816" t="s">
        <v>8</v>
      </c>
      <c r="F1816" t="s">
        <v>10</v>
      </c>
      <c r="G1816">
        <v>2731</v>
      </c>
    </row>
    <row r="1817" spans="1:7" x14ac:dyDescent="0.25">
      <c r="A1817">
        <v>1531</v>
      </c>
      <c r="B1817">
        <v>51816</v>
      </c>
      <c r="C1817" s="2">
        <v>45368.797265755253</v>
      </c>
      <c r="D1817">
        <v>40</v>
      </c>
      <c r="E1817" t="s">
        <v>8</v>
      </c>
      <c r="F1817" t="s">
        <v>10</v>
      </c>
      <c r="G1817">
        <v>556</v>
      </c>
    </row>
    <row r="1818" spans="1:7" x14ac:dyDescent="0.25">
      <c r="A1818">
        <v>1580</v>
      </c>
      <c r="B1818">
        <v>51817</v>
      </c>
      <c r="C1818" s="2">
        <v>45369.040680226739</v>
      </c>
      <c r="D1818">
        <v>22</v>
      </c>
      <c r="E1818" t="s">
        <v>7</v>
      </c>
      <c r="F1818" t="s">
        <v>12</v>
      </c>
      <c r="G1818">
        <v>3281</v>
      </c>
    </row>
    <row r="1819" spans="1:7" x14ac:dyDescent="0.25">
      <c r="A1819">
        <v>1218</v>
      </c>
      <c r="B1819">
        <v>51818</v>
      </c>
      <c r="C1819" s="2">
        <v>45369.284094698232</v>
      </c>
      <c r="D1819">
        <v>47</v>
      </c>
      <c r="E1819" t="s">
        <v>8</v>
      </c>
      <c r="F1819" t="s">
        <v>9</v>
      </c>
      <c r="G1819">
        <v>2480</v>
      </c>
    </row>
    <row r="1820" spans="1:7" x14ac:dyDescent="0.25">
      <c r="A1820">
        <v>1102</v>
      </c>
      <c r="B1820">
        <v>51819</v>
      </c>
      <c r="C1820" s="2">
        <v>45369.527509169733</v>
      </c>
      <c r="D1820">
        <v>23</v>
      </c>
      <c r="E1820" t="s">
        <v>8</v>
      </c>
      <c r="F1820" t="s">
        <v>12</v>
      </c>
      <c r="G1820">
        <v>4331</v>
      </c>
    </row>
    <row r="1821" spans="1:7" x14ac:dyDescent="0.25">
      <c r="A1821">
        <v>1554</v>
      </c>
      <c r="B1821">
        <v>51820</v>
      </c>
      <c r="C1821" s="2">
        <v>45369.770923641197</v>
      </c>
      <c r="D1821">
        <v>63</v>
      </c>
      <c r="E1821" t="s">
        <v>8</v>
      </c>
      <c r="F1821" t="s">
        <v>12</v>
      </c>
      <c r="G1821">
        <v>2660</v>
      </c>
    </row>
    <row r="1822" spans="1:7" x14ac:dyDescent="0.25">
      <c r="A1822">
        <v>1288</v>
      </c>
      <c r="B1822">
        <v>51821</v>
      </c>
      <c r="C1822" s="2">
        <v>45370.014338112698</v>
      </c>
      <c r="D1822">
        <v>61</v>
      </c>
      <c r="E1822" t="s">
        <v>7</v>
      </c>
      <c r="F1822" t="s">
        <v>11</v>
      </c>
      <c r="G1822">
        <v>2987</v>
      </c>
    </row>
    <row r="1823" spans="1:7" x14ac:dyDescent="0.25">
      <c r="A1823">
        <v>1167</v>
      </c>
      <c r="B1823">
        <v>51822</v>
      </c>
      <c r="C1823" s="2">
        <v>45370.257752584192</v>
      </c>
      <c r="D1823">
        <v>21</v>
      </c>
      <c r="E1823" t="s">
        <v>7</v>
      </c>
      <c r="F1823" t="s">
        <v>9</v>
      </c>
      <c r="G1823">
        <v>4409</v>
      </c>
    </row>
    <row r="1824" spans="1:7" x14ac:dyDescent="0.25">
      <c r="A1824">
        <v>1036</v>
      </c>
      <c r="B1824">
        <v>51823</v>
      </c>
      <c r="C1824" s="2">
        <v>45370.501167055692</v>
      </c>
      <c r="D1824">
        <v>46</v>
      </c>
      <c r="E1824" t="s">
        <v>8</v>
      </c>
      <c r="F1824" t="s">
        <v>10</v>
      </c>
      <c r="G1824">
        <v>1397</v>
      </c>
    </row>
    <row r="1825" spans="1:7" x14ac:dyDescent="0.25">
      <c r="A1825">
        <v>1353</v>
      </c>
      <c r="B1825">
        <v>51824</v>
      </c>
      <c r="C1825" s="2">
        <v>45370.744581527157</v>
      </c>
      <c r="D1825">
        <v>40</v>
      </c>
      <c r="E1825" t="s">
        <v>8</v>
      </c>
      <c r="F1825" t="s">
        <v>11</v>
      </c>
      <c r="G1825">
        <v>1478</v>
      </c>
    </row>
    <row r="1826" spans="1:7" x14ac:dyDescent="0.25">
      <c r="A1826">
        <v>1073</v>
      </c>
      <c r="B1826">
        <v>51825</v>
      </c>
      <c r="C1826" s="2">
        <v>45370.987995998657</v>
      </c>
      <c r="D1826">
        <v>23</v>
      </c>
      <c r="E1826" t="s">
        <v>8</v>
      </c>
      <c r="F1826" t="s">
        <v>12</v>
      </c>
      <c r="G1826">
        <v>665</v>
      </c>
    </row>
    <row r="1827" spans="1:7" x14ac:dyDescent="0.25">
      <c r="A1827">
        <v>1353</v>
      </c>
      <c r="B1827">
        <v>51826</v>
      </c>
      <c r="C1827" s="2">
        <v>45371.231410470151</v>
      </c>
      <c r="D1827">
        <v>49</v>
      </c>
      <c r="E1827" t="s">
        <v>7</v>
      </c>
      <c r="F1827" t="s">
        <v>9</v>
      </c>
      <c r="G1827">
        <v>4200</v>
      </c>
    </row>
    <row r="1828" spans="1:7" x14ac:dyDescent="0.25">
      <c r="A1828">
        <v>1070</v>
      </c>
      <c r="B1828">
        <v>51827</v>
      </c>
      <c r="C1828" s="2">
        <v>45371.474824941637</v>
      </c>
      <c r="D1828">
        <v>59</v>
      </c>
      <c r="E1828" t="s">
        <v>7</v>
      </c>
      <c r="F1828" t="s">
        <v>10</v>
      </c>
      <c r="G1828">
        <v>3548</v>
      </c>
    </row>
    <row r="1829" spans="1:7" x14ac:dyDescent="0.25">
      <c r="A1829">
        <v>1425</v>
      </c>
      <c r="B1829">
        <v>51828</v>
      </c>
      <c r="C1829" s="2">
        <v>45371.718239413138</v>
      </c>
      <c r="D1829">
        <v>35</v>
      </c>
      <c r="E1829" t="s">
        <v>8</v>
      </c>
      <c r="F1829" t="s">
        <v>10</v>
      </c>
      <c r="G1829">
        <v>1687</v>
      </c>
    </row>
    <row r="1830" spans="1:7" x14ac:dyDescent="0.25">
      <c r="A1830">
        <v>1561</v>
      </c>
      <c r="B1830">
        <v>51829</v>
      </c>
      <c r="C1830" s="2">
        <v>45371.961653884617</v>
      </c>
      <c r="D1830">
        <v>32</v>
      </c>
      <c r="E1830" t="s">
        <v>7</v>
      </c>
      <c r="F1830" t="s">
        <v>12</v>
      </c>
      <c r="G1830">
        <v>4797</v>
      </c>
    </row>
    <row r="1831" spans="1:7" x14ac:dyDescent="0.25">
      <c r="A1831">
        <v>1517</v>
      </c>
      <c r="B1831">
        <v>51830</v>
      </c>
      <c r="C1831" s="2">
        <v>45372.20506835611</v>
      </c>
      <c r="D1831">
        <v>57</v>
      </c>
      <c r="E1831" t="s">
        <v>7</v>
      </c>
      <c r="F1831" t="s">
        <v>10</v>
      </c>
      <c r="G1831">
        <v>4736</v>
      </c>
    </row>
    <row r="1832" spans="1:7" x14ac:dyDescent="0.25">
      <c r="A1832">
        <v>1428</v>
      </c>
      <c r="B1832">
        <v>51831</v>
      </c>
      <c r="C1832" s="2">
        <v>45372.448482827604</v>
      </c>
      <c r="D1832">
        <v>49</v>
      </c>
      <c r="E1832" t="s">
        <v>7</v>
      </c>
      <c r="F1832" t="s">
        <v>10</v>
      </c>
      <c r="G1832">
        <v>525</v>
      </c>
    </row>
    <row r="1833" spans="1:7" x14ac:dyDescent="0.25">
      <c r="A1833">
        <v>1539</v>
      </c>
      <c r="B1833">
        <v>51832</v>
      </c>
      <c r="C1833" s="2">
        <v>45372.691897299097</v>
      </c>
      <c r="D1833">
        <v>26</v>
      </c>
      <c r="E1833" t="s">
        <v>7</v>
      </c>
      <c r="F1833" t="s">
        <v>9</v>
      </c>
      <c r="G1833">
        <v>1965</v>
      </c>
    </row>
    <row r="1834" spans="1:7" x14ac:dyDescent="0.25">
      <c r="A1834">
        <v>1160</v>
      </c>
      <c r="B1834">
        <v>51833</v>
      </c>
      <c r="C1834" s="2">
        <v>45372.935311770583</v>
      </c>
      <c r="D1834">
        <v>54</v>
      </c>
      <c r="E1834" t="s">
        <v>8</v>
      </c>
      <c r="F1834" t="s">
        <v>11</v>
      </c>
      <c r="G1834">
        <v>4362</v>
      </c>
    </row>
    <row r="1835" spans="1:7" x14ac:dyDescent="0.25">
      <c r="A1835">
        <v>1149</v>
      </c>
      <c r="B1835">
        <v>51834</v>
      </c>
      <c r="C1835" s="2">
        <v>45373.178726242069</v>
      </c>
      <c r="D1835">
        <v>27</v>
      </c>
      <c r="E1835" t="s">
        <v>7</v>
      </c>
      <c r="F1835" t="s">
        <v>9</v>
      </c>
      <c r="G1835">
        <v>503</v>
      </c>
    </row>
    <row r="1836" spans="1:7" x14ac:dyDescent="0.25">
      <c r="A1836">
        <v>1230</v>
      </c>
      <c r="B1836">
        <v>51835</v>
      </c>
      <c r="C1836" s="2">
        <v>45373.422140713563</v>
      </c>
      <c r="D1836">
        <v>37</v>
      </c>
      <c r="E1836" t="s">
        <v>7</v>
      </c>
      <c r="F1836" t="s">
        <v>11</v>
      </c>
      <c r="G1836">
        <v>4779</v>
      </c>
    </row>
    <row r="1837" spans="1:7" x14ac:dyDescent="0.25">
      <c r="A1837">
        <v>1562</v>
      </c>
      <c r="B1837">
        <v>51836</v>
      </c>
      <c r="C1837" s="2">
        <v>45373.665555185064</v>
      </c>
      <c r="D1837">
        <v>23</v>
      </c>
      <c r="E1837" t="s">
        <v>8</v>
      </c>
      <c r="F1837" t="s">
        <v>11</v>
      </c>
      <c r="G1837">
        <v>1640</v>
      </c>
    </row>
    <row r="1838" spans="1:7" x14ac:dyDescent="0.25">
      <c r="A1838">
        <v>1067</v>
      </c>
      <c r="B1838">
        <v>51837</v>
      </c>
      <c r="C1838" s="2">
        <v>45373.90896965655</v>
      </c>
      <c r="D1838">
        <v>20</v>
      </c>
      <c r="E1838" t="s">
        <v>8</v>
      </c>
      <c r="F1838" t="s">
        <v>11</v>
      </c>
      <c r="G1838">
        <v>348</v>
      </c>
    </row>
    <row r="1839" spans="1:7" x14ac:dyDescent="0.25">
      <c r="A1839">
        <v>1381</v>
      </c>
      <c r="B1839">
        <v>51838</v>
      </c>
      <c r="C1839" s="2">
        <v>45374.152384128043</v>
      </c>
      <c r="D1839">
        <v>59</v>
      </c>
      <c r="E1839" t="s">
        <v>7</v>
      </c>
      <c r="F1839" t="s">
        <v>10</v>
      </c>
      <c r="G1839">
        <v>3234</v>
      </c>
    </row>
    <row r="1840" spans="1:7" x14ac:dyDescent="0.25">
      <c r="A1840">
        <v>1058</v>
      </c>
      <c r="B1840">
        <v>51839</v>
      </c>
      <c r="C1840" s="2">
        <v>45374.395798599522</v>
      </c>
      <c r="D1840">
        <v>28</v>
      </c>
      <c r="E1840" t="s">
        <v>7</v>
      </c>
      <c r="F1840" t="s">
        <v>9</v>
      </c>
      <c r="G1840">
        <v>2831</v>
      </c>
    </row>
    <row r="1841" spans="1:7" x14ac:dyDescent="0.25">
      <c r="A1841">
        <v>1259</v>
      </c>
      <c r="B1841">
        <v>51840</v>
      </c>
      <c r="C1841" s="2">
        <v>45374.639213071023</v>
      </c>
      <c r="D1841">
        <v>60</v>
      </c>
      <c r="E1841" t="s">
        <v>8</v>
      </c>
      <c r="F1841" t="s">
        <v>10</v>
      </c>
      <c r="G1841">
        <v>295</v>
      </c>
    </row>
    <row r="1842" spans="1:7" x14ac:dyDescent="0.25">
      <c r="A1842">
        <v>1342</v>
      </c>
      <c r="B1842">
        <v>51841</v>
      </c>
      <c r="C1842" s="2">
        <v>45374.882627542509</v>
      </c>
      <c r="D1842">
        <v>34</v>
      </c>
      <c r="E1842" t="s">
        <v>8</v>
      </c>
      <c r="F1842" t="s">
        <v>12</v>
      </c>
      <c r="G1842">
        <v>3655</v>
      </c>
    </row>
    <row r="1843" spans="1:7" x14ac:dyDescent="0.25">
      <c r="A1843">
        <v>1130</v>
      </c>
      <c r="B1843">
        <v>51842</v>
      </c>
      <c r="C1843" s="2">
        <v>45375.126042014002</v>
      </c>
      <c r="D1843">
        <v>49</v>
      </c>
      <c r="E1843" t="s">
        <v>8</v>
      </c>
      <c r="F1843" t="s">
        <v>9</v>
      </c>
      <c r="G1843">
        <v>4577</v>
      </c>
    </row>
    <row r="1844" spans="1:7" x14ac:dyDescent="0.25">
      <c r="A1844">
        <v>1172</v>
      </c>
      <c r="B1844">
        <v>51843</v>
      </c>
      <c r="C1844" s="2">
        <v>45375.369456485489</v>
      </c>
      <c r="D1844">
        <v>21</v>
      </c>
      <c r="E1844" t="s">
        <v>7</v>
      </c>
      <c r="F1844" t="s">
        <v>11</v>
      </c>
      <c r="G1844">
        <v>2569</v>
      </c>
    </row>
    <row r="1845" spans="1:7" x14ac:dyDescent="0.25">
      <c r="A1845">
        <v>1209</v>
      </c>
      <c r="B1845">
        <v>51844</v>
      </c>
      <c r="C1845" s="2">
        <v>45375.612870956982</v>
      </c>
      <c r="D1845">
        <v>21</v>
      </c>
      <c r="E1845" t="s">
        <v>7</v>
      </c>
      <c r="F1845" t="s">
        <v>10</v>
      </c>
      <c r="G1845">
        <v>3667</v>
      </c>
    </row>
    <row r="1846" spans="1:7" x14ac:dyDescent="0.25">
      <c r="A1846">
        <v>1354</v>
      </c>
      <c r="B1846">
        <v>51845</v>
      </c>
      <c r="C1846" s="2">
        <v>45375.856285428483</v>
      </c>
      <c r="D1846">
        <v>34</v>
      </c>
      <c r="E1846" t="s">
        <v>8</v>
      </c>
      <c r="F1846" t="s">
        <v>10</v>
      </c>
      <c r="G1846">
        <v>728</v>
      </c>
    </row>
    <row r="1847" spans="1:7" x14ac:dyDescent="0.25">
      <c r="A1847">
        <v>1471</v>
      </c>
      <c r="B1847">
        <v>51846</v>
      </c>
      <c r="C1847" s="2">
        <v>45376.099699899962</v>
      </c>
      <c r="D1847">
        <v>58</v>
      </c>
      <c r="E1847" t="s">
        <v>7</v>
      </c>
      <c r="F1847" t="s">
        <v>9</v>
      </c>
      <c r="G1847">
        <v>2510</v>
      </c>
    </row>
    <row r="1848" spans="1:7" x14ac:dyDescent="0.25">
      <c r="A1848">
        <v>1116</v>
      </c>
      <c r="B1848">
        <v>51847</v>
      </c>
      <c r="C1848" s="2">
        <v>45376.343114371448</v>
      </c>
      <c r="D1848">
        <v>36</v>
      </c>
      <c r="E1848" t="s">
        <v>8</v>
      </c>
      <c r="F1848" t="s">
        <v>9</v>
      </c>
      <c r="G1848">
        <v>4875</v>
      </c>
    </row>
    <row r="1849" spans="1:7" x14ac:dyDescent="0.25">
      <c r="A1849">
        <v>1264</v>
      </c>
      <c r="B1849">
        <v>51848</v>
      </c>
      <c r="C1849" s="2">
        <v>45376.586528842941</v>
      </c>
      <c r="D1849">
        <v>22</v>
      </c>
      <c r="E1849" t="s">
        <v>7</v>
      </c>
      <c r="F1849" t="s">
        <v>11</v>
      </c>
      <c r="G1849">
        <v>1863</v>
      </c>
    </row>
    <row r="1850" spans="1:7" x14ac:dyDescent="0.25">
      <c r="A1850">
        <v>1442</v>
      </c>
      <c r="B1850">
        <v>51849</v>
      </c>
      <c r="C1850" s="2">
        <v>45376.829943314428</v>
      </c>
      <c r="D1850">
        <v>49</v>
      </c>
      <c r="E1850" t="s">
        <v>8</v>
      </c>
      <c r="F1850" t="s">
        <v>11</v>
      </c>
      <c r="G1850">
        <v>3564</v>
      </c>
    </row>
    <row r="1851" spans="1:7" x14ac:dyDescent="0.25">
      <c r="A1851">
        <v>1548</v>
      </c>
      <c r="B1851">
        <v>51850</v>
      </c>
      <c r="C1851" s="2">
        <v>45377.073357785928</v>
      </c>
      <c r="D1851">
        <v>39</v>
      </c>
      <c r="E1851" t="s">
        <v>8</v>
      </c>
      <c r="F1851" t="s">
        <v>12</v>
      </c>
      <c r="G1851">
        <v>2541</v>
      </c>
    </row>
    <row r="1852" spans="1:7" x14ac:dyDescent="0.25">
      <c r="A1852">
        <v>1453</v>
      </c>
      <c r="B1852">
        <v>51851</v>
      </c>
      <c r="C1852" s="2">
        <v>45377.316772257422</v>
      </c>
      <c r="D1852">
        <v>23</v>
      </c>
      <c r="E1852" t="s">
        <v>7</v>
      </c>
      <c r="F1852" t="s">
        <v>11</v>
      </c>
      <c r="G1852">
        <v>892</v>
      </c>
    </row>
    <row r="1853" spans="1:7" x14ac:dyDescent="0.25">
      <c r="A1853">
        <v>1477</v>
      </c>
      <c r="B1853">
        <v>51852</v>
      </c>
      <c r="C1853" s="2">
        <v>45377.560186728901</v>
      </c>
      <c r="D1853">
        <v>52</v>
      </c>
      <c r="E1853" t="s">
        <v>7</v>
      </c>
      <c r="F1853" t="s">
        <v>10</v>
      </c>
      <c r="G1853">
        <v>4530</v>
      </c>
    </row>
    <row r="1854" spans="1:7" x14ac:dyDescent="0.25">
      <c r="A1854">
        <v>1287</v>
      </c>
      <c r="B1854">
        <v>51853</v>
      </c>
      <c r="C1854" s="2">
        <v>45377.803601200387</v>
      </c>
      <c r="D1854">
        <v>39</v>
      </c>
      <c r="E1854" t="s">
        <v>7</v>
      </c>
      <c r="F1854" t="s">
        <v>12</v>
      </c>
      <c r="G1854">
        <v>1151</v>
      </c>
    </row>
    <row r="1855" spans="1:7" x14ac:dyDescent="0.25">
      <c r="A1855">
        <v>1303</v>
      </c>
      <c r="B1855">
        <v>51854</v>
      </c>
      <c r="C1855" s="2">
        <v>45378.047015671887</v>
      </c>
      <c r="D1855">
        <v>18</v>
      </c>
      <c r="E1855" t="s">
        <v>7</v>
      </c>
      <c r="F1855" t="s">
        <v>12</v>
      </c>
      <c r="G1855">
        <v>1560</v>
      </c>
    </row>
    <row r="1856" spans="1:7" x14ac:dyDescent="0.25">
      <c r="A1856">
        <v>1311</v>
      </c>
      <c r="B1856">
        <v>51855</v>
      </c>
      <c r="C1856" s="2">
        <v>45378.290430143381</v>
      </c>
      <c r="D1856">
        <v>37</v>
      </c>
      <c r="E1856" t="s">
        <v>7</v>
      </c>
      <c r="F1856" t="s">
        <v>12</v>
      </c>
      <c r="G1856">
        <v>738</v>
      </c>
    </row>
    <row r="1857" spans="1:7" x14ac:dyDescent="0.25">
      <c r="A1857">
        <v>1208</v>
      </c>
      <c r="B1857">
        <v>51856</v>
      </c>
      <c r="C1857" s="2">
        <v>45378.53384461486</v>
      </c>
      <c r="D1857">
        <v>39</v>
      </c>
      <c r="E1857" t="s">
        <v>7</v>
      </c>
      <c r="F1857" t="s">
        <v>9</v>
      </c>
      <c r="G1857">
        <v>1019</v>
      </c>
    </row>
    <row r="1858" spans="1:7" x14ac:dyDescent="0.25">
      <c r="A1858">
        <v>1446</v>
      </c>
      <c r="B1858">
        <v>51857</v>
      </c>
      <c r="C1858" s="2">
        <v>45378.777259086353</v>
      </c>
      <c r="D1858">
        <v>28</v>
      </c>
      <c r="E1858" t="s">
        <v>8</v>
      </c>
      <c r="F1858" t="s">
        <v>11</v>
      </c>
      <c r="G1858">
        <v>3362</v>
      </c>
    </row>
    <row r="1859" spans="1:7" x14ac:dyDescent="0.25">
      <c r="A1859">
        <v>1055</v>
      </c>
      <c r="B1859">
        <v>51858</v>
      </c>
      <c r="C1859" s="2">
        <v>45379.020673557847</v>
      </c>
      <c r="D1859">
        <v>30</v>
      </c>
      <c r="E1859" t="s">
        <v>7</v>
      </c>
      <c r="F1859" t="s">
        <v>12</v>
      </c>
      <c r="G1859">
        <v>4125</v>
      </c>
    </row>
    <row r="1860" spans="1:7" x14ac:dyDescent="0.25">
      <c r="A1860">
        <v>1012</v>
      </c>
      <c r="B1860">
        <v>51859</v>
      </c>
      <c r="C1860" s="2">
        <v>45379.26408802934</v>
      </c>
      <c r="D1860">
        <v>59</v>
      </c>
      <c r="E1860" t="s">
        <v>8</v>
      </c>
      <c r="F1860" t="s">
        <v>9</v>
      </c>
      <c r="G1860">
        <v>471</v>
      </c>
    </row>
    <row r="1861" spans="1:7" x14ac:dyDescent="0.25">
      <c r="A1861">
        <v>1400</v>
      </c>
      <c r="B1861">
        <v>51860</v>
      </c>
      <c r="C1861" s="2">
        <v>45379.507502500826</v>
      </c>
      <c r="D1861">
        <v>20</v>
      </c>
      <c r="E1861" t="s">
        <v>8</v>
      </c>
      <c r="F1861" t="s">
        <v>9</v>
      </c>
      <c r="G1861">
        <v>1228</v>
      </c>
    </row>
    <row r="1862" spans="1:7" x14ac:dyDescent="0.25">
      <c r="A1862">
        <v>1515</v>
      </c>
      <c r="B1862">
        <v>51861</v>
      </c>
      <c r="C1862" s="2">
        <v>45379.750916972313</v>
      </c>
      <c r="D1862">
        <v>26</v>
      </c>
      <c r="E1862" t="s">
        <v>7</v>
      </c>
      <c r="F1862" t="s">
        <v>12</v>
      </c>
      <c r="G1862">
        <v>3865</v>
      </c>
    </row>
    <row r="1863" spans="1:7" x14ac:dyDescent="0.25">
      <c r="A1863">
        <v>1542</v>
      </c>
      <c r="B1863">
        <v>51862</v>
      </c>
      <c r="C1863" s="2">
        <v>45379.994331443813</v>
      </c>
      <c r="D1863">
        <v>29</v>
      </c>
      <c r="E1863" t="s">
        <v>8</v>
      </c>
      <c r="F1863" t="s">
        <v>12</v>
      </c>
      <c r="G1863">
        <v>1442</v>
      </c>
    </row>
    <row r="1864" spans="1:7" x14ac:dyDescent="0.25">
      <c r="A1864">
        <v>1237</v>
      </c>
      <c r="B1864">
        <v>51863</v>
      </c>
      <c r="C1864" s="2">
        <v>45380.237745915299</v>
      </c>
      <c r="D1864">
        <v>40</v>
      </c>
      <c r="E1864" t="s">
        <v>8</v>
      </c>
      <c r="F1864" t="s">
        <v>10</v>
      </c>
      <c r="G1864">
        <v>1341</v>
      </c>
    </row>
    <row r="1865" spans="1:7" x14ac:dyDescent="0.25">
      <c r="A1865">
        <v>1279</v>
      </c>
      <c r="B1865">
        <v>51864</v>
      </c>
      <c r="C1865" s="2">
        <v>45380.481160386793</v>
      </c>
      <c r="D1865">
        <v>31</v>
      </c>
      <c r="E1865" t="s">
        <v>7</v>
      </c>
      <c r="F1865" t="s">
        <v>12</v>
      </c>
      <c r="G1865">
        <v>792</v>
      </c>
    </row>
    <row r="1866" spans="1:7" x14ac:dyDescent="0.25">
      <c r="A1866">
        <v>1348</v>
      </c>
      <c r="B1866">
        <v>51865</v>
      </c>
      <c r="C1866" s="2">
        <v>45380.724574858279</v>
      </c>
      <c r="D1866">
        <v>50</v>
      </c>
      <c r="E1866" t="s">
        <v>7</v>
      </c>
      <c r="F1866" t="s">
        <v>10</v>
      </c>
      <c r="G1866">
        <v>1805</v>
      </c>
    </row>
    <row r="1867" spans="1:7" x14ac:dyDescent="0.25">
      <c r="A1867">
        <v>1104</v>
      </c>
      <c r="B1867">
        <v>51866</v>
      </c>
      <c r="C1867" s="2">
        <v>45380.967989329773</v>
      </c>
      <c r="D1867">
        <v>35</v>
      </c>
      <c r="E1867" t="s">
        <v>7</v>
      </c>
      <c r="F1867" t="s">
        <v>12</v>
      </c>
      <c r="G1867">
        <v>4410</v>
      </c>
    </row>
    <row r="1868" spans="1:7" x14ac:dyDescent="0.25">
      <c r="A1868">
        <v>1517</v>
      </c>
      <c r="B1868">
        <v>51867</v>
      </c>
      <c r="C1868" s="2">
        <v>45381.211403801259</v>
      </c>
      <c r="D1868">
        <v>58</v>
      </c>
      <c r="E1868" t="s">
        <v>8</v>
      </c>
      <c r="F1868" t="s">
        <v>12</v>
      </c>
      <c r="G1868">
        <v>3577</v>
      </c>
    </row>
    <row r="1869" spans="1:7" x14ac:dyDescent="0.25">
      <c r="A1869">
        <v>1248</v>
      </c>
      <c r="B1869">
        <v>51868</v>
      </c>
      <c r="C1869" s="2">
        <v>45381.454818272752</v>
      </c>
      <c r="D1869">
        <v>26</v>
      </c>
      <c r="E1869" t="s">
        <v>7</v>
      </c>
      <c r="F1869" t="s">
        <v>11</v>
      </c>
      <c r="G1869">
        <v>4271</v>
      </c>
    </row>
    <row r="1870" spans="1:7" x14ac:dyDescent="0.25">
      <c r="A1870">
        <v>1364</v>
      </c>
      <c r="B1870">
        <v>51869</v>
      </c>
      <c r="C1870" s="2">
        <v>45381.698232744253</v>
      </c>
      <c r="D1870">
        <v>40</v>
      </c>
      <c r="E1870" t="s">
        <v>7</v>
      </c>
      <c r="F1870" t="s">
        <v>12</v>
      </c>
      <c r="G1870">
        <v>4502</v>
      </c>
    </row>
    <row r="1871" spans="1:7" x14ac:dyDescent="0.25">
      <c r="A1871">
        <v>1321</v>
      </c>
      <c r="B1871">
        <v>51870</v>
      </c>
      <c r="C1871" s="2">
        <v>45381.941647215732</v>
      </c>
      <c r="D1871">
        <v>27</v>
      </c>
      <c r="E1871" t="s">
        <v>7</v>
      </c>
      <c r="F1871" t="s">
        <v>12</v>
      </c>
      <c r="G1871">
        <v>3894</v>
      </c>
    </row>
    <row r="1872" spans="1:7" x14ac:dyDescent="0.25">
      <c r="A1872">
        <v>1286</v>
      </c>
      <c r="B1872">
        <v>51871</v>
      </c>
      <c r="C1872" s="2">
        <v>45382.185061687233</v>
      </c>
      <c r="D1872">
        <v>36</v>
      </c>
      <c r="E1872" t="s">
        <v>7</v>
      </c>
      <c r="F1872" t="s">
        <v>10</v>
      </c>
      <c r="G1872">
        <v>2550</v>
      </c>
    </row>
    <row r="1873" spans="1:7" x14ac:dyDescent="0.25">
      <c r="A1873">
        <v>1149</v>
      </c>
      <c r="B1873">
        <v>51872</v>
      </c>
      <c r="C1873" s="2">
        <v>45382.428476158719</v>
      </c>
      <c r="D1873">
        <v>64</v>
      </c>
      <c r="E1873" t="s">
        <v>8</v>
      </c>
      <c r="F1873" t="s">
        <v>10</v>
      </c>
      <c r="G1873">
        <v>4407</v>
      </c>
    </row>
    <row r="1874" spans="1:7" x14ac:dyDescent="0.25">
      <c r="A1874">
        <v>1084</v>
      </c>
      <c r="B1874">
        <v>51873</v>
      </c>
      <c r="C1874" s="2">
        <v>45382.671890630198</v>
      </c>
      <c r="D1874">
        <v>22</v>
      </c>
      <c r="E1874" t="s">
        <v>7</v>
      </c>
      <c r="F1874" t="s">
        <v>11</v>
      </c>
      <c r="G1874">
        <v>1640</v>
      </c>
    </row>
    <row r="1875" spans="1:7" x14ac:dyDescent="0.25">
      <c r="A1875">
        <v>1406</v>
      </c>
      <c r="B1875">
        <v>51874</v>
      </c>
      <c r="C1875" s="2">
        <v>45382.915305101691</v>
      </c>
      <c r="D1875">
        <v>64</v>
      </c>
      <c r="E1875" t="s">
        <v>8</v>
      </c>
      <c r="F1875" t="s">
        <v>12</v>
      </c>
      <c r="G1875">
        <v>3826</v>
      </c>
    </row>
    <row r="1876" spans="1:7" x14ac:dyDescent="0.25">
      <c r="A1876">
        <v>1456</v>
      </c>
      <c r="B1876">
        <v>51875</v>
      </c>
      <c r="C1876" s="2">
        <v>45383.158719573177</v>
      </c>
      <c r="D1876">
        <v>40</v>
      </c>
      <c r="E1876" t="s">
        <v>7</v>
      </c>
      <c r="F1876" t="s">
        <v>12</v>
      </c>
      <c r="G1876">
        <v>2082</v>
      </c>
    </row>
    <row r="1877" spans="1:7" x14ac:dyDescent="0.25">
      <c r="A1877">
        <v>1161</v>
      </c>
      <c r="B1877">
        <v>51876</v>
      </c>
      <c r="C1877" s="2">
        <v>45383.402134044678</v>
      </c>
      <c r="D1877">
        <v>47</v>
      </c>
      <c r="E1877" t="s">
        <v>8</v>
      </c>
      <c r="F1877" t="s">
        <v>10</v>
      </c>
      <c r="G1877">
        <v>3911</v>
      </c>
    </row>
    <row r="1878" spans="1:7" x14ac:dyDescent="0.25">
      <c r="A1878">
        <v>1460</v>
      </c>
      <c r="B1878">
        <v>51877</v>
      </c>
      <c r="C1878" s="2">
        <v>45383.645548516171</v>
      </c>
      <c r="D1878">
        <v>42</v>
      </c>
      <c r="E1878" t="s">
        <v>8</v>
      </c>
      <c r="F1878" t="s">
        <v>9</v>
      </c>
      <c r="G1878">
        <v>384</v>
      </c>
    </row>
    <row r="1879" spans="1:7" x14ac:dyDescent="0.25">
      <c r="A1879">
        <v>1550</v>
      </c>
      <c r="B1879">
        <v>51878</v>
      </c>
      <c r="C1879" s="2">
        <v>45383.888962987658</v>
      </c>
      <c r="D1879">
        <v>45</v>
      </c>
      <c r="E1879" t="s">
        <v>8</v>
      </c>
      <c r="F1879" t="s">
        <v>9</v>
      </c>
      <c r="G1879">
        <v>420</v>
      </c>
    </row>
    <row r="1880" spans="1:7" x14ac:dyDescent="0.25">
      <c r="A1880">
        <v>1500</v>
      </c>
      <c r="B1880">
        <v>51879</v>
      </c>
      <c r="C1880" s="2">
        <v>45384.132377459136</v>
      </c>
      <c r="D1880">
        <v>51</v>
      </c>
      <c r="E1880" t="s">
        <v>7</v>
      </c>
      <c r="F1880" t="s">
        <v>9</v>
      </c>
      <c r="G1880">
        <v>3388</v>
      </c>
    </row>
    <row r="1881" spans="1:7" x14ac:dyDescent="0.25">
      <c r="A1881">
        <v>1509</v>
      </c>
      <c r="B1881">
        <v>51880</v>
      </c>
      <c r="C1881" s="2">
        <v>45384.375791930637</v>
      </c>
      <c r="D1881">
        <v>62</v>
      </c>
      <c r="E1881" t="s">
        <v>8</v>
      </c>
      <c r="F1881" t="s">
        <v>10</v>
      </c>
      <c r="G1881">
        <v>1293</v>
      </c>
    </row>
    <row r="1882" spans="1:7" x14ac:dyDescent="0.25">
      <c r="A1882">
        <v>1481</v>
      </c>
      <c r="B1882">
        <v>51881</v>
      </c>
      <c r="C1882" s="2">
        <v>45384.619206402131</v>
      </c>
      <c r="D1882">
        <v>64</v>
      </c>
      <c r="E1882" t="s">
        <v>7</v>
      </c>
      <c r="F1882" t="s">
        <v>10</v>
      </c>
      <c r="G1882">
        <v>3145</v>
      </c>
    </row>
    <row r="1883" spans="1:7" x14ac:dyDescent="0.25">
      <c r="A1883">
        <v>1114</v>
      </c>
      <c r="B1883">
        <v>51882</v>
      </c>
      <c r="C1883" s="2">
        <v>45384.862620873617</v>
      </c>
      <c r="D1883">
        <v>42</v>
      </c>
      <c r="E1883" t="s">
        <v>7</v>
      </c>
      <c r="F1883" t="s">
        <v>9</v>
      </c>
      <c r="G1883">
        <v>2674</v>
      </c>
    </row>
    <row r="1884" spans="1:7" x14ac:dyDescent="0.25">
      <c r="A1884">
        <v>1578</v>
      </c>
      <c r="B1884">
        <v>51883</v>
      </c>
      <c r="C1884" s="2">
        <v>45385.106035345103</v>
      </c>
      <c r="D1884">
        <v>27</v>
      </c>
      <c r="E1884" t="s">
        <v>7</v>
      </c>
      <c r="F1884" t="s">
        <v>9</v>
      </c>
      <c r="G1884">
        <v>2815</v>
      </c>
    </row>
    <row r="1885" spans="1:7" x14ac:dyDescent="0.25">
      <c r="A1885">
        <v>1361</v>
      </c>
      <c r="B1885">
        <v>51884</v>
      </c>
      <c r="C1885" s="2">
        <v>45385.349449816596</v>
      </c>
      <c r="D1885">
        <v>31</v>
      </c>
      <c r="E1885" t="s">
        <v>7</v>
      </c>
      <c r="F1885" t="s">
        <v>12</v>
      </c>
      <c r="G1885">
        <v>2212</v>
      </c>
    </row>
    <row r="1886" spans="1:7" x14ac:dyDescent="0.25">
      <c r="A1886">
        <v>1341</v>
      </c>
      <c r="B1886">
        <v>51885</v>
      </c>
      <c r="C1886" s="2">
        <v>45385.59286428809</v>
      </c>
      <c r="D1886">
        <v>59</v>
      </c>
      <c r="E1886" t="s">
        <v>7</v>
      </c>
      <c r="F1886" t="s">
        <v>10</v>
      </c>
      <c r="G1886">
        <v>2690</v>
      </c>
    </row>
    <row r="1887" spans="1:7" x14ac:dyDescent="0.25">
      <c r="A1887">
        <v>1449</v>
      </c>
      <c r="B1887">
        <v>51886</v>
      </c>
      <c r="C1887" s="2">
        <v>45385.836278759583</v>
      </c>
      <c r="D1887">
        <v>63</v>
      </c>
      <c r="E1887" t="s">
        <v>8</v>
      </c>
      <c r="F1887" t="s">
        <v>10</v>
      </c>
      <c r="G1887">
        <v>800</v>
      </c>
    </row>
    <row r="1888" spans="1:7" x14ac:dyDescent="0.25">
      <c r="A1888">
        <v>1180</v>
      </c>
      <c r="B1888">
        <v>51887</v>
      </c>
      <c r="C1888" s="2">
        <v>45386.079693231077</v>
      </c>
      <c r="D1888">
        <v>47</v>
      </c>
      <c r="E1888" t="s">
        <v>7</v>
      </c>
      <c r="F1888" t="s">
        <v>9</v>
      </c>
      <c r="G1888">
        <v>1360</v>
      </c>
    </row>
    <row r="1889" spans="1:7" x14ac:dyDescent="0.25">
      <c r="A1889">
        <v>1407</v>
      </c>
      <c r="B1889">
        <v>51888</v>
      </c>
      <c r="C1889" s="2">
        <v>45386.323107702563</v>
      </c>
      <c r="D1889">
        <v>58</v>
      </c>
      <c r="E1889" t="s">
        <v>8</v>
      </c>
      <c r="F1889" t="s">
        <v>9</v>
      </c>
      <c r="G1889">
        <v>4799</v>
      </c>
    </row>
    <row r="1890" spans="1:7" x14ac:dyDescent="0.25">
      <c r="A1890">
        <v>1196</v>
      </c>
      <c r="B1890">
        <v>51889</v>
      </c>
      <c r="C1890" s="2">
        <v>45386.566522174049</v>
      </c>
      <c r="D1890">
        <v>42</v>
      </c>
      <c r="E1890" t="s">
        <v>8</v>
      </c>
      <c r="F1890" t="s">
        <v>11</v>
      </c>
      <c r="G1890">
        <v>4513</v>
      </c>
    </row>
    <row r="1891" spans="1:7" x14ac:dyDescent="0.25">
      <c r="A1891">
        <v>1466</v>
      </c>
      <c r="B1891">
        <v>51890</v>
      </c>
      <c r="C1891" s="2">
        <v>45386.809936645543</v>
      </c>
      <c r="D1891">
        <v>31</v>
      </c>
      <c r="E1891" t="s">
        <v>8</v>
      </c>
      <c r="F1891" t="s">
        <v>10</v>
      </c>
      <c r="G1891">
        <v>2935</v>
      </c>
    </row>
    <row r="1892" spans="1:7" x14ac:dyDescent="0.25">
      <c r="A1892">
        <v>1311</v>
      </c>
      <c r="B1892">
        <v>51891</v>
      </c>
      <c r="C1892" s="2">
        <v>45387.053351117043</v>
      </c>
      <c r="D1892">
        <v>52</v>
      </c>
      <c r="E1892" t="s">
        <v>8</v>
      </c>
      <c r="F1892" t="s">
        <v>11</v>
      </c>
      <c r="G1892">
        <v>2418</v>
      </c>
    </row>
    <row r="1893" spans="1:7" x14ac:dyDescent="0.25">
      <c r="A1893">
        <v>1262</v>
      </c>
      <c r="B1893">
        <v>51892</v>
      </c>
      <c r="C1893" s="2">
        <v>45387.296765588508</v>
      </c>
      <c r="D1893">
        <v>51</v>
      </c>
      <c r="E1893" t="s">
        <v>8</v>
      </c>
      <c r="F1893" t="s">
        <v>12</v>
      </c>
      <c r="G1893">
        <v>4907</v>
      </c>
    </row>
    <row r="1894" spans="1:7" x14ac:dyDescent="0.25">
      <c r="A1894">
        <v>1419</v>
      </c>
      <c r="B1894">
        <v>51893</v>
      </c>
      <c r="C1894" s="2">
        <v>45387.540180060008</v>
      </c>
      <c r="D1894">
        <v>27</v>
      </c>
      <c r="E1894" t="s">
        <v>8</v>
      </c>
      <c r="F1894" t="s">
        <v>11</v>
      </c>
      <c r="G1894">
        <v>1352</v>
      </c>
    </row>
    <row r="1895" spans="1:7" x14ac:dyDescent="0.25">
      <c r="A1895">
        <v>1406</v>
      </c>
      <c r="B1895">
        <v>51894</v>
      </c>
      <c r="C1895" s="2">
        <v>45387.783594531502</v>
      </c>
      <c r="D1895">
        <v>52</v>
      </c>
      <c r="E1895" t="s">
        <v>8</v>
      </c>
      <c r="F1895" t="s">
        <v>9</v>
      </c>
      <c r="G1895">
        <v>256</v>
      </c>
    </row>
    <row r="1896" spans="1:7" x14ac:dyDescent="0.25">
      <c r="A1896">
        <v>1143</v>
      </c>
      <c r="B1896">
        <v>51895</v>
      </c>
      <c r="C1896" s="2">
        <v>45388.027009003003</v>
      </c>
      <c r="D1896">
        <v>28</v>
      </c>
      <c r="E1896" t="s">
        <v>7</v>
      </c>
      <c r="F1896" t="s">
        <v>10</v>
      </c>
      <c r="G1896">
        <v>1404</v>
      </c>
    </row>
    <row r="1897" spans="1:7" x14ac:dyDescent="0.25">
      <c r="A1897">
        <v>1342</v>
      </c>
      <c r="B1897">
        <v>51896</v>
      </c>
      <c r="C1897" s="2">
        <v>45388.270423474489</v>
      </c>
      <c r="D1897">
        <v>28</v>
      </c>
      <c r="E1897" t="s">
        <v>8</v>
      </c>
      <c r="F1897" t="s">
        <v>10</v>
      </c>
      <c r="G1897">
        <v>4541</v>
      </c>
    </row>
    <row r="1898" spans="1:7" x14ac:dyDescent="0.25">
      <c r="A1898">
        <v>1316</v>
      </c>
      <c r="B1898">
        <v>51897</v>
      </c>
      <c r="C1898" s="2">
        <v>45388.513837945968</v>
      </c>
      <c r="D1898">
        <v>38</v>
      </c>
      <c r="E1898" t="s">
        <v>7</v>
      </c>
      <c r="F1898" t="s">
        <v>11</v>
      </c>
      <c r="G1898">
        <v>343</v>
      </c>
    </row>
    <row r="1899" spans="1:7" x14ac:dyDescent="0.25">
      <c r="A1899">
        <v>1101</v>
      </c>
      <c r="B1899">
        <v>51898</v>
      </c>
      <c r="C1899" s="2">
        <v>45388.757252417468</v>
      </c>
      <c r="D1899">
        <v>38</v>
      </c>
      <c r="E1899" t="s">
        <v>8</v>
      </c>
      <c r="F1899" t="s">
        <v>11</v>
      </c>
      <c r="G1899">
        <v>567</v>
      </c>
    </row>
    <row r="1900" spans="1:7" x14ac:dyDescent="0.25">
      <c r="A1900">
        <v>1244</v>
      </c>
      <c r="B1900">
        <v>51899</v>
      </c>
      <c r="C1900" s="2">
        <v>45389.000666888962</v>
      </c>
      <c r="D1900">
        <v>39</v>
      </c>
      <c r="E1900" t="s">
        <v>8</v>
      </c>
      <c r="F1900" t="s">
        <v>12</v>
      </c>
      <c r="G1900">
        <v>1682</v>
      </c>
    </row>
    <row r="1901" spans="1:7" x14ac:dyDescent="0.25">
      <c r="A1901">
        <v>1490</v>
      </c>
      <c r="B1901">
        <v>51900</v>
      </c>
      <c r="C1901" s="2">
        <v>45389.244081360448</v>
      </c>
      <c r="D1901">
        <v>62</v>
      </c>
      <c r="E1901" t="s">
        <v>8</v>
      </c>
      <c r="F1901" t="s">
        <v>12</v>
      </c>
      <c r="G1901">
        <v>815</v>
      </c>
    </row>
    <row r="1902" spans="1:7" x14ac:dyDescent="0.25">
      <c r="A1902">
        <v>1012</v>
      </c>
      <c r="B1902">
        <v>51901</v>
      </c>
      <c r="C1902" s="2">
        <v>45389.487495831927</v>
      </c>
      <c r="D1902">
        <v>24</v>
      </c>
      <c r="E1902" t="s">
        <v>8</v>
      </c>
      <c r="F1902" t="s">
        <v>9</v>
      </c>
      <c r="G1902">
        <v>3838</v>
      </c>
    </row>
    <row r="1903" spans="1:7" x14ac:dyDescent="0.25">
      <c r="A1903">
        <v>1239</v>
      </c>
      <c r="B1903">
        <v>51902</v>
      </c>
      <c r="C1903" s="2">
        <v>45389.730910303428</v>
      </c>
      <c r="D1903">
        <v>34</v>
      </c>
      <c r="E1903" t="s">
        <v>7</v>
      </c>
      <c r="F1903" t="s">
        <v>9</v>
      </c>
      <c r="G1903">
        <v>3528</v>
      </c>
    </row>
    <row r="1904" spans="1:7" x14ac:dyDescent="0.25">
      <c r="A1904">
        <v>1561</v>
      </c>
      <c r="B1904">
        <v>51903</v>
      </c>
      <c r="C1904" s="2">
        <v>45389.974324774921</v>
      </c>
      <c r="D1904">
        <v>19</v>
      </c>
      <c r="E1904" t="s">
        <v>7</v>
      </c>
      <c r="F1904" t="s">
        <v>9</v>
      </c>
      <c r="G1904">
        <v>3427</v>
      </c>
    </row>
    <row r="1905" spans="1:7" x14ac:dyDescent="0.25">
      <c r="A1905">
        <v>1042</v>
      </c>
      <c r="B1905">
        <v>51904</v>
      </c>
      <c r="C1905" s="2">
        <v>45390.217739246407</v>
      </c>
      <c r="D1905">
        <v>29</v>
      </c>
      <c r="E1905" t="s">
        <v>7</v>
      </c>
      <c r="F1905" t="s">
        <v>11</v>
      </c>
      <c r="G1905">
        <v>1788</v>
      </c>
    </row>
    <row r="1906" spans="1:7" x14ac:dyDescent="0.25">
      <c r="A1906">
        <v>1594</v>
      </c>
      <c r="B1906">
        <v>51905</v>
      </c>
      <c r="C1906" s="2">
        <v>45390.461153717908</v>
      </c>
      <c r="D1906">
        <v>59</v>
      </c>
      <c r="E1906" t="s">
        <v>8</v>
      </c>
      <c r="F1906" t="s">
        <v>11</v>
      </c>
      <c r="G1906">
        <v>2689</v>
      </c>
    </row>
    <row r="1907" spans="1:7" x14ac:dyDescent="0.25">
      <c r="A1907">
        <v>1429</v>
      </c>
      <c r="B1907">
        <v>51906</v>
      </c>
      <c r="C1907" s="2">
        <v>45390.704568189387</v>
      </c>
      <c r="D1907">
        <v>35</v>
      </c>
      <c r="E1907" t="s">
        <v>8</v>
      </c>
      <c r="F1907" t="s">
        <v>10</v>
      </c>
      <c r="G1907">
        <v>3203</v>
      </c>
    </row>
    <row r="1908" spans="1:7" x14ac:dyDescent="0.25">
      <c r="A1908">
        <v>1158</v>
      </c>
      <c r="B1908">
        <v>51907</v>
      </c>
      <c r="C1908" s="2">
        <v>45390.94798266088</v>
      </c>
      <c r="D1908">
        <v>28</v>
      </c>
      <c r="E1908" t="s">
        <v>8</v>
      </c>
      <c r="F1908" t="s">
        <v>9</v>
      </c>
      <c r="G1908">
        <v>898</v>
      </c>
    </row>
    <row r="1909" spans="1:7" x14ac:dyDescent="0.25">
      <c r="A1909">
        <v>1216</v>
      </c>
      <c r="B1909">
        <v>51908</v>
      </c>
      <c r="C1909" s="2">
        <v>45391.191397132367</v>
      </c>
      <c r="D1909">
        <v>33</v>
      </c>
      <c r="E1909" t="s">
        <v>7</v>
      </c>
      <c r="F1909" t="s">
        <v>11</v>
      </c>
      <c r="G1909">
        <v>3023</v>
      </c>
    </row>
    <row r="1910" spans="1:7" x14ac:dyDescent="0.25">
      <c r="A1910">
        <v>1462</v>
      </c>
      <c r="B1910">
        <v>51909</v>
      </c>
      <c r="C1910" s="2">
        <v>45391.434811603867</v>
      </c>
      <c r="D1910">
        <v>35</v>
      </c>
      <c r="E1910" t="s">
        <v>8</v>
      </c>
      <c r="F1910" t="s">
        <v>10</v>
      </c>
      <c r="G1910">
        <v>1144</v>
      </c>
    </row>
    <row r="1911" spans="1:7" x14ac:dyDescent="0.25">
      <c r="A1911">
        <v>1134</v>
      </c>
      <c r="B1911">
        <v>51910</v>
      </c>
      <c r="C1911" s="2">
        <v>45391.678226075353</v>
      </c>
      <c r="D1911">
        <v>52</v>
      </c>
      <c r="E1911" t="s">
        <v>7</v>
      </c>
      <c r="F1911" t="s">
        <v>9</v>
      </c>
      <c r="G1911">
        <v>4081</v>
      </c>
    </row>
    <row r="1912" spans="1:7" x14ac:dyDescent="0.25">
      <c r="A1912">
        <v>1067</v>
      </c>
      <c r="B1912">
        <v>51911</v>
      </c>
      <c r="C1912" s="2">
        <v>45391.92164054684</v>
      </c>
      <c r="D1912">
        <v>43</v>
      </c>
      <c r="E1912" t="s">
        <v>7</v>
      </c>
      <c r="F1912" t="s">
        <v>12</v>
      </c>
      <c r="G1912">
        <v>1122</v>
      </c>
    </row>
    <row r="1913" spans="1:7" x14ac:dyDescent="0.25">
      <c r="A1913">
        <v>1007</v>
      </c>
      <c r="B1913">
        <v>51912</v>
      </c>
      <c r="C1913" s="2">
        <v>45392.165055018333</v>
      </c>
      <c r="D1913">
        <v>33</v>
      </c>
      <c r="E1913" t="s">
        <v>8</v>
      </c>
      <c r="F1913" t="s">
        <v>12</v>
      </c>
      <c r="G1913">
        <v>1946</v>
      </c>
    </row>
    <row r="1914" spans="1:7" x14ac:dyDescent="0.25">
      <c r="A1914">
        <v>1526</v>
      </c>
      <c r="B1914">
        <v>51913</v>
      </c>
      <c r="C1914" s="2">
        <v>45392.408469489827</v>
      </c>
      <c r="D1914">
        <v>23</v>
      </c>
      <c r="E1914" t="s">
        <v>8</v>
      </c>
      <c r="F1914" t="s">
        <v>11</v>
      </c>
      <c r="G1914">
        <v>4320</v>
      </c>
    </row>
    <row r="1915" spans="1:7" x14ac:dyDescent="0.25">
      <c r="A1915">
        <v>1073</v>
      </c>
      <c r="B1915">
        <v>51914</v>
      </c>
      <c r="C1915" s="2">
        <v>45392.65188396132</v>
      </c>
      <c r="D1915">
        <v>61</v>
      </c>
      <c r="E1915" t="s">
        <v>7</v>
      </c>
      <c r="F1915" t="s">
        <v>10</v>
      </c>
      <c r="G1915">
        <v>3053</v>
      </c>
    </row>
    <row r="1916" spans="1:7" x14ac:dyDescent="0.25">
      <c r="A1916">
        <v>1399</v>
      </c>
      <c r="B1916">
        <v>51915</v>
      </c>
      <c r="C1916" s="2">
        <v>45392.895298432799</v>
      </c>
      <c r="D1916">
        <v>60</v>
      </c>
      <c r="E1916" t="s">
        <v>7</v>
      </c>
      <c r="F1916" t="s">
        <v>12</v>
      </c>
      <c r="G1916">
        <v>1759</v>
      </c>
    </row>
    <row r="1917" spans="1:7" x14ac:dyDescent="0.25">
      <c r="A1917">
        <v>1405</v>
      </c>
      <c r="B1917">
        <v>51916</v>
      </c>
      <c r="C1917" s="2">
        <v>45393.138712904292</v>
      </c>
      <c r="D1917">
        <v>64</v>
      </c>
      <c r="E1917" t="s">
        <v>7</v>
      </c>
      <c r="F1917" t="s">
        <v>10</v>
      </c>
      <c r="G1917">
        <v>1283</v>
      </c>
    </row>
    <row r="1918" spans="1:7" x14ac:dyDescent="0.25">
      <c r="A1918">
        <v>1578</v>
      </c>
      <c r="B1918">
        <v>51917</v>
      </c>
      <c r="C1918" s="2">
        <v>45393.382127375793</v>
      </c>
      <c r="D1918">
        <v>64</v>
      </c>
      <c r="E1918" t="s">
        <v>8</v>
      </c>
      <c r="F1918" t="s">
        <v>10</v>
      </c>
      <c r="G1918">
        <v>3738</v>
      </c>
    </row>
    <row r="1919" spans="1:7" x14ac:dyDescent="0.25">
      <c r="A1919">
        <v>1130</v>
      </c>
      <c r="B1919">
        <v>51918</v>
      </c>
      <c r="C1919" s="2">
        <v>45393.625541847279</v>
      </c>
      <c r="D1919">
        <v>59</v>
      </c>
      <c r="E1919" t="s">
        <v>8</v>
      </c>
      <c r="F1919" t="s">
        <v>12</v>
      </c>
      <c r="G1919">
        <v>633</v>
      </c>
    </row>
    <row r="1920" spans="1:7" x14ac:dyDescent="0.25">
      <c r="A1920">
        <v>1466</v>
      </c>
      <c r="B1920">
        <v>51919</v>
      </c>
      <c r="C1920" s="2">
        <v>45393.868956318758</v>
      </c>
      <c r="D1920">
        <v>29</v>
      </c>
      <c r="E1920" t="s">
        <v>8</v>
      </c>
      <c r="F1920" t="s">
        <v>10</v>
      </c>
      <c r="G1920">
        <v>3126</v>
      </c>
    </row>
    <row r="1921" spans="1:7" x14ac:dyDescent="0.25">
      <c r="A1921">
        <v>1206</v>
      </c>
      <c r="B1921">
        <v>51920</v>
      </c>
      <c r="C1921" s="2">
        <v>45394.112370790252</v>
      </c>
      <c r="D1921">
        <v>30</v>
      </c>
      <c r="E1921" t="s">
        <v>8</v>
      </c>
      <c r="F1921" t="s">
        <v>12</v>
      </c>
      <c r="G1921">
        <v>1289</v>
      </c>
    </row>
    <row r="1922" spans="1:7" x14ac:dyDescent="0.25">
      <c r="A1922">
        <v>1266</v>
      </c>
      <c r="B1922">
        <v>51921</v>
      </c>
      <c r="C1922" s="2">
        <v>45394.355785261752</v>
      </c>
      <c r="D1922">
        <v>21</v>
      </c>
      <c r="E1922" t="s">
        <v>8</v>
      </c>
      <c r="F1922" t="s">
        <v>11</v>
      </c>
      <c r="G1922">
        <v>3157</v>
      </c>
    </row>
    <row r="1923" spans="1:7" x14ac:dyDescent="0.25">
      <c r="A1923">
        <v>1537</v>
      </c>
      <c r="B1923">
        <v>51922</v>
      </c>
      <c r="C1923" s="2">
        <v>45394.599199733238</v>
      </c>
      <c r="D1923">
        <v>56</v>
      </c>
      <c r="E1923" t="s">
        <v>8</v>
      </c>
      <c r="F1923" t="s">
        <v>9</v>
      </c>
      <c r="G1923">
        <v>2812</v>
      </c>
    </row>
    <row r="1924" spans="1:7" x14ac:dyDescent="0.25">
      <c r="A1924">
        <v>1253</v>
      </c>
      <c r="B1924">
        <v>51923</v>
      </c>
      <c r="C1924" s="2">
        <v>45394.842614204732</v>
      </c>
      <c r="D1924">
        <v>19</v>
      </c>
      <c r="E1924" t="s">
        <v>7</v>
      </c>
      <c r="F1924" t="s">
        <v>9</v>
      </c>
      <c r="G1924">
        <v>4391</v>
      </c>
    </row>
    <row r="1925" spans="1:7" x14ac:dyDescent="0.25">
      <c r="A1925">
        <v>1289</v>
      </c>
      <c r="B1925">
        <v>51924</v>
      </c>
      <c r="C1925" s="2">
        <v>45395.086028676218</v>
      </c>
      <c r="D1925">
        <v>43</v>
      </c>
      <c r="E1925" t="s">
        <v>7</v>
      </c>
      <c r="F1925" t="s">
        <v>11</v>
      </c>
      <c r="G1925">
        <v>3959</v>
      </c>
    </row>
    <row r="1926" spans="1:7" x14ac:dyDescent="0.25">
      <c r="A1926">
        <v>1164</v>
      </c>
      <c r="B1926">
        <v>51925</v>
      </c>
      <c r="C1926" s="2">
        <v>45395.329443147712</v>
      </c>
      <c r="D1926">
        <v>44</v>
      </c>
      <c r="E1926" t="s">
        <v>7</v>
      </c>
      <c r="F1926" t="s">
        <v>12</v>
      </c>
      <c r="G1926">
        <v>4463</v>
      </c>
    </row>
    <row r="1927" spans="1:7" x14ac:dyDescent="0.25">
      <c r="A1927">
        <v>1095</v>
      </c>
      <c r="B1927">
        <v>51926</v>
      </c>
      <c r="C1927" s="2">
        <v>45395.572857619212</v>
      </c>
      <c r="D1927">
        <v>44</v>
      </c>
      <c r="E1927" t="s">
        <v>8</v>
      </c>
      <c r="F1927" t="s">
        <v>12</v>
      </c>
      <c r="G1927">
        <v>2289</v>
      </c>
    </row>
    <row r="1928" spans="1:7" x14ac:dyDescent="0.25">
      <c r="A1928">
        <v>1110</v>
      </c>
      <c r="B1928">
        <v>51927</v>
      </c>
      <c r="C1928" s="2">
        <v>45395.816272090691</v>
      </c>
      <c r="D1928">
        <v>32</v>
      </c>
      <c r="E1928" t="s">
        <v>7</v>
      </c>
      <c r="F1928" t="s">
        <v>12</v>
      </c>
      <c r="G1928">
        <v>2102</v>
      </c>
    </row>
    <row r="1929" spans="1:7" x14ac:dyDescent="0.25">
      <c r="A1929">
        <v>1336</v>
      </c>
      <c r="B1929">
        <v>51928</v>
      </c>
      <c r="C1929" s="2">
        <v>45396.059686562177</v>
      </c>
      <c r="D1929">
        <v>25</v>
      </c>
      <c r="E1929" t="s">
        <v>8</v>
      </c>
      <c r="F1929" t="s">
        <v>12</v>
      </c>
      <c r="G1929">
        <v>2767</v>
      </c>
    </row>
    <row r="1930" spans="1:7" x14ac:dyDescent="0.25">
      <c r="A1930">
        <v>1238</v>
      </c>
      <c r="B1930">
        <v>51929</v>
      </c>
      <c r="C1930" s="2">
        <v>45396.303101033671</v>
      </c>
      <c r="D1930">
        <v>24</v>
      </c>
      <c r="E1930" t="s">
        <v>8</v>
      </c>
      <c r="F1930" t="s">
        <v>11</v>
      </c>
      <c r="G1930">
        <v>2198</v>
      </c>
    </row>
    <row r="1931" spans="1:7" x14ac:dyDescent="0.25">
      <c r="A1931">
        <v>1381</v>
      </c>
      <c r="B1931">
        <v>51930</v>
      </c>
      <c r="C1931" s="2">
        <v>45396.546515505157</v>
      </c>
      <c r="D1931">
        <v>64</v>
      </c>
      <c r="E1931" t="s">
        <v>7</v>
      </c>
      <c r="F1931" t="s">
        <v>9</v>
      </c>
      <c r="G1931">
        <v>3314</v>
      </c>
    </row>
    <row r="1932" spans="1:7" x14ac:dyDescent="0.25">
      <c r="A1932">
        <v>1436</v>
      </c>
      <c r="B1932">
        <v>51931</v>
      </c>
      <c r="C1932" s="2">
        <v>45396.789929976658</v>
      </c>
      <c r="D1932">
        <v>63</v>
      </c>
      <c r="E1932" t="s">
        <v>8</v>
      </c>
      <c r="F1932" t="s">
        <v>10</v>
      </c>
      <c r="G1932">
        <v>3194</v>
      </c>
    </row>
    <row r="1933" spans="1:7" x14ac:dyDescent="0.25">
      <c r="A1933">
        <v>1483</v>
      </c>
      <c r="B1933">
        <v>51932</v>
      </c>
      <c r="C1933" s="2">
        <v>45397.033344448151</v>
      </c>
      <c r="D1933">
        <v>57</v>
      </c>
      <c r="E1933" t="s">
        <v>7</v>
      </c>
      <c r="F1933" t="s">
        <v>10</v>
      </c>
      <c r="G1933">
        <v>2210</v>
      </c>
    </row>
    <row r="1934" spans="1:7" x14ac:dyDescent="0.25">
      <c r="A1934">
        <v>1025</v>
      </c>
      <c r="B1934">
        <v>51933</v>
      </c>
      <c r="C1934" s="2">
        <v>45397.27675891963</v>
      </c>
      <c r="D1934">
        <v>29</v>
      </c>
      <c r="E1934" t="s">
        <v>7</v>
      </c>
      <c r="F1934" t="s">
        <v>9</v>
      </c>
      <c r="G1934">
        <v>2091</v>
      </c>
    </row>
    <row r="1935" spans="1:7" x14ac:dyDescent="0.25">
      <c r="A1935">
        <v>1117</v>
      </c>
      <c r="B1935">
        <v>51934</v>
      </c>
      <c r="C1935" s="2">
        <v>45397.520173391124</v>
      </c>
      <c r="D1935">
        <v>30</v>
      </c>
      <c r="E1935" t="s">
        <v>8</v>
      </c>
      <c r="F1935" t="s">
        <v>11</v>
      </c>
      <c r="G1935">
        <v>1030</v>
      </c>
    </row>
    <row r="1936" spans="1:7" x14ac:dyDescent="0.25">
      <c r="A1936">
        <v>1482</v>
      </c>
      <c r="B1936">
        <v>51935</v>
      </c>
      <c r="C1936" s="2">
        <v>45397.763587862617</v>
      </c>
      <c r="D1936">
        <v>60</v>
      </c>
      <c r="E1936" t="s">
        <v>7</v>
      </c>
      <c r="F1936" t="s">
        <v>10</v>
      </c>
      <c r="G1936">
        <v>248</v>
      </c>
    </row>
    <row r="1937" spans="1:7" x14ac:dyDescent="0.25">
      <c r="A1937">
        <v>1392</v>
      </c>
      <c r="B1937">
        <v>51936</v>
      </c>
      <c r="C1937" s="2">
        <v>45398.00700233411</v>
      </c>
      <c r="D1937">
        <v>34</v>
      </c>
      <c r="E1937" t="s">
        <v>7</v>
      </c>
      <c r="F1937" t="s">
        <v>9</v>
      </c>
      <c r="G1937">
        <v>4410</v>
      </c>
    </row>
    <row r="1938" spans="1:7" x14ac:dyDescent="0.25">
      <c r="A1938">
        <v>1537</v>
      </c>
      <c r="B1938">
        <v>51937</v>
      </c>
      <c r="C1938" s="2">
        <v>45398.250416805597</v>
      </c>
      <c r="D1938">
        <v>34</v>
      </c>
      <c r="E1938" t="s">
        <v>7</v>
      </c>
      <c r="F1938" t="s">
        <v>11</v>
      </c>
      <c r="G1938">
        <v>1378</v>
      </c>
    </row>
    <row r="1939" spans="1:7" x14ac:dyDescent="0.25">
      <c r="A1939">
        <v>1079</v>
      </c>
      <c r="B1939">
        <v>51938</v>
      </c>
      <c r="C1939" s="2">
        <v>45398.493831277083</v>
      </c>
      <c r="D1939">
        <v>53</v>
      </c>
      <c r="E1939" t="s">
        <v>7</v>
      </c>
      <c r="F1939" t="s">
        <v>10</v>
      </c>
      <c r="G1939">
        <v>3233</v>
      </c>
    </row>
    <row r="1940" spans="1:7" x14ac:dyDescent="0.25">
      <c r="A1940">
        <v>1580</v>
      </c>
      <c r="B1940">
        <v>51939</v>
      </c>
      <c r="C1940" s="2">
        <v>45398.737245748584</v>
      </c>
      <c r="D1940">
        <v>38</v>
      </c>
      <c r="E1940" t="s">
        <v>8</v>
      </c>
      <c r="F1940" t="s">
        <v>12</v>
      </c>
      <c r="G1940">
        <v>270</v>
      </c>
    </row>
    <row r="1941" spans="1:7" x14ac:dyDescent="0.25">
      <c r="A1941">
        <v>1173</v>
      </c>
      <c r="B1941">
        <v>51940</v>
      </c>
      <c r="C1941" s="2">
        <v>45398.98066022007</v>
      </c>
      <c r="D1941">
        <v>25</v>
      </c>
      <c r="E1941" t="s">
        <v>7</v>
      </c>
      <c r="F1941" t="s">
        <v>12</v>
      </c>
      <c r="G1941">
        <v>266</v>
      </c>
    </row>
    <row r="1942" spans="1:7" x14ac:dyDescent="0.25">
      <c r="A1942">
        <v>1012</v>
      </c>
      <c r="B1942">
        <v>51941</v>
      </c>
      <c r="C1942" s="2">
        <v>45399.224074691563</v>
      </c>
      <c r="D1942">
        <v>22</v>
      </c>
      <c r="E1942" t="s">
        <v>7</v>
      </c>
      <c r="F1942" t="s">
        <v>11</v>
      </c>
      <c r="G1942">
        <v>1977</v>
      </c>
    </row>
    <row r="1943" spans="1:7" x14ac:dyDescent="0.25">
      <c r="A1943">
        <v>1128</v>
      </c>
      <c r="B1943">
        <v>51942</v>
      </c>
      <c r="C1943" s="2">
        <v>45399.467489163042</v>
      </c>
      <c r="D1943">
        <v>43</v>
      </c>
      <c r="E1943" t="s">
        <v>7</v>
      </c>
      <c r="F1943" t="s">
        <v>12</v>
      </c>
      <c r="G1943">
        <v>2428</v>
      </c>
    </row>
    <row r="1944" spans="1:7" x14ac:dyDescent="0.25">
      <c r="A1944">
        <v>1092</v>
      </c>
      <c r="B1944">
        <v>51943</v>
      </c>
      <c r="C1944" s="2">
        <v>45399.710903634543</v>
      </c>
      <c r="D1944">
        <v>33</v>
      </c>
      <c r="E1944" t="s">
        <v>8</v>
      </c>
      <c r="F1944" t="s">
        <v>11</v>
      </c>
      <c r="G1944">
        <v>1989</v>
      </c>
    </row>
    <row r="1945" spans="1:7" x14ac:dyDescent="0.25">
      <c r="A1945">
        <v>1543</v>
      </c>
      <c r="B1945">
        <v>51944</v>
      </c>
      <c r="C1945" s="2">
        <v>45399.954318106029</v>
      </c>
      <c r="D1945">
        <v>53</v>
      </c>
      <c r="E1945" t="s">
        <v>7</v>
      </c>
      <c r="F1945" t="s">
        <v>9</v>
      </c>
      <c r="G1945">
        <v>812</v>
      </c>
    </row>
    <row r="1946" spans="1:7" x14ac:dyDescent="0.25">
      <c r="A1946">
        <v>1532</v>
      </c>
      <c r="B1946">
        <v>51945</v>
      </c>
      <c r="C1946" s="2">
        <v>45400.197732577522</v>
      </c>
      <c r="D1946">
        <v>45</v>
      </c>
      <c r="E1946" t="s">
        <v>8</v>
      </c>
      <c r="F1946" t="s">
        <v>9</v>
      </c>
      <c r="G1946">
        <v>2086</v>
      </c>
    </row>
    <row r="1947" spans="1:7" x14ac:dyDescent="0.25">
      <c r="A1947">
        <v>1447</v>
      </c>
      <c r="B1947">
        <v>51946</v>
      </c>
      <c r="C1947" s="2">
        <v>45400.441147049023</v>
      </c>
      <c r="D1947">
        <v>46</v>
      </c>
      <c r="E1947" t="s">
        <v>7</v>
      </c>
      <c r="F1947" t="s">
        <v>10</v>
      </c>
      <c r="G1947">
        <v>1822</v>
      </c>
    </row>
    <row r="1948" spans="1:7" x14ac:dyDescent="0.25">
      <c r="A1948">
        <v>1390</v>
      </c>
      <c r="B1948">
        <v>51947</v>
      </c>
      <c r="C1948" s="2">
        <v>45400.684561520487</v>
      </c>
      <c r="D1948">
        <v>64</v>
      </c>
      <c r="E1948" t="s">
        <v>7</v>
      </c>
      <c r="F1948" t="s">
        <v>11</v>
      </c>
      <c r="G1948">
        <v>896</v>
      </c>
    </row>
    <row r="1949" spans="1:7" x14ac:dyDescent="0.25">
      <c r="A1949">
        <v>1043</v>
      </c>
      <c r="B1949">
        <v>51948</v>
      </c>
      <c r="C1949" s="2">
        <v>45400.927975991988</v>
      </c>
      <c r="D1949">
        <v>29</v>
      </c>
      <c r="E1949" t="s">
        <v>7</v>
      </c>
      <c r="F1949" t="s">
        <v>10</v>
      </c>
      <c r="G1949">
        <v>1437</v>
      </c>
    </row>
    <row r="1950" spans="1:7" x14ac:dyDescent="0.25">
      <c r="A1950">
        <v>1254</v>
      </c>
      <c r="B1950">
        <v>51949</v>
      </c>
      <c r="C1950" s="2">
        <v>45401.171390463482</v>
      </c>
      <c r="D1950">
        <v>54</v>
      </c>
      <c r="E1950" t="s">
        <v>8</v>
      </c>
      <c r="F1950" t="s">
        <v>10</v>
      </c>
      <c r="G1950">
        <v>2606</v>
      </c>
    </row>
    <row r="1951" spans="1:7" x14ac:dyDescent="0.25">
      <c r="A1951">
        <v>1130</v>
      </c>
      <c r="B1951">
        <v>51950</v>
      </c>
      <c r="C1951" s="2">
        <v>45401.414804934982</v>
      </c>
      <c r="D1951">
        <v>47</v>
      </c>
      <c r="E1951" t="s">
        <v>8</v>
      </c>
      <c r="F1951" t="s">
        <v>9</v>
      </c>
      <c r="G1951">
        <v>448</v>
      </c>
    </row>
    <row r="1952" spans="1:7" x14ac:dyDescent="0.25">
      <c r="A1952">
        <v>1060</v>
      </c>
      <c r="B1952">
        <v>51951</v>
      </c>
      <c r="C1952" s="2">
        <v>45401.658219406461</v>
      </c>
      <c r="D1952">
        <v>40</v>
      </c>
      <c r="E1952" t="s">
        <v>8</v>
      </c>
      <c r="F1952" t="s">
        <v>10</v>
      </c>
      <c r="G1952">
        <v>837</v>
      </c>
    </row>
    <row r="1953" spans="1:7" x14ac:dyDescent="0.25">
      <c r="A1953">
        <v>1467</v>
      </c>
      <c r="B1953">
        <v>51952</v>
      </c>
      <c r="C1953" s="2">
        <v>45401.901633877947</v>
      </c>
      <c r="D1953">
        <v>33</v>
      </c>
      <c r="E1953" t="s">
        <v>8</v>
      </c>
      <c r="F1953" t="s">
        <v>12</v>
      </c>
      <c r="G1953">
        <v>1149</v>
      </c>
    </row>
    <row r="1954" spans="1:7" x14ac:dyDescent="0.25">
      <c r="A1954">
        <v>1287</v>
      </c>
      <c r="B1954">
        <v>51953</v>
      </c>
      <c r="C1954" s="2">
        <v>45402.145048349441</v>
      </c>
      <c r="D1954">
        <v>31</v>
      </c>
      <c r="E1954" t="s">
        <v>8</v>
      </c>
      <c r="F1954" t="s">
        <v>10</v>
      </c>
      <c r="G1954">
        <v>2104</v>
      </c>
    </row>
    <row r="1955" spans="1:7" x14ac:dyDescent="0.25">
      <c r="A1955">
        <v>1517</v>
      </c>
      <c r="B1955">
        <v>51954</v>
      </c>
      <c r="C1955" s="2">
        <v>45402.388462820927</v>
      </c>
      <c r="D1955">
        <v>27</v>
      </c>
      <c r="E1955" t="s">
        <v>8</v>
      </c>
      <c r="F1955" t="s">
        <v>11</v>
      </c>
      <c r="G1955">
        <v>3787</v>
      </c>
    </row>
    <row r="1956" spans="1:7" x14ac:dyDescent="0.25">
      <c r="A1956">
        <v>1467</v>
      </c>
      <c r="B1956">
        <v>51955</v>
      </c>
      <c r="C1956" s="2">
        <v>45402.631877292428</v>
      </c>
      <c r="D1956">
        <v>24</v>
      </c>
      <c r="E1956" t="s">
        <v>7</v>
      </c>
      <c r="F1956" t="s">
        <v>12</v>
      </c>
      <c r="G1956">
        <v>1311</v>
      </c>
    </row>
    <row r="1957" spans="1:7" x14ac:dyDescent="0.25">
      <c r="A1957">
        <v>1345</v>
      </c>
      <c r="B1957">
        <v>51956</v>
      </c>
      <c r="C1957" s="2">
        <v>45402.875291763907</v>
      </c>
      <c r="D1957">
        <v>62</v>
      </c>
      <c r="E1957" t="s">
        <v>8</v>
      </c>
      <c r="F1957" t="s">
        <v>9</v>
      </c>
      <c r="G1957">
        <v>375</v>
      </c>
    </row>
    <row r="1958" spans="1:7" x14ac:dyDescent="0.25">
      <c r="A1958">
        <v>1382</v>
      </c>
      <c r="B1958">
        <v>51957</v>
      </c>
      <c r="C1958" s="2">
        <v>45403.118706235407</v>
      </c>
      <c r="D1958">
        <v>54</v>
      </c>
      <c r="E1958" t="s">
        <v>7</v>
      </c>
      <c r="F1958" t="s">
        <v>11</v>
      </c>
      <c r="G1958">
        <v>922</v>
      </c>
    </row>
    <row r="1959" spans="1:7" x14ac:dyDescent="0.25">
      <c r="A1959">
        <v>1253</v>
      </c>
      <c r="B1959">
        <v>51958</v>
      </c>
      <c r="C1959" s="2">
        <v>45403.362120706901</v>
      </c>
      <c r="D1959">
        <v>46</v>
      </c>
      <c r="E1959" t="s">
        <v>8</v>
      </c>
      <c r="F1959" t="s">
        <v>12</v>
      </c>
      <c r="G1959">
        <v>4042</v>
      </c>
    </row>
    <row r="1960" spans="1:7" x14ac:dyDescent="0.25">
      <c r="A1960">
        <v>1056</v>
      </c>
      <c r="B1960">
        <v>51959</v>
      </c>
      <c r="C1960" s="2">
        <v>45403.605535178387</v>
      </c>
      <c r="D1960">
        <v>20</v>
      </c>
      <c r="E1960" t="s">
        <v>8</v>
      </c>
      <c r="F1960" t="s">
        <v>11</v>
      </c>
      <c r="G1960">
        <v>3874</v>
      </c>
    </row>
    <row r="1961" spans="1:7" x14ac:dyDescent="0.25">
      <c r="A1961">
        <v>1463</v>
      </c>
      <c r="B1961">
        <v>51960</v>
      </c>
      <c r="C1961" s="2">
        <v>45403.848949649873</v>
      </c>
      <c r="D1961">
        <v>32</v>
      </c>
      <c r="E1961" t="s">
        <v>8</v>
      </c>
      <c r="F1961" t="s">
        <v>12</v>
      </c>
      <c r="G1961">
        <v>2147</v>
      </c>
    </row>
    <row r="1962" spans="1:7" x14ac:dyDescent="0.25">
      <c r="A1962">
        <v>1457</v>
      </c>
      <c r="B1962">
        <v>51961</v>
      </c>
      <c r="C1962" s="2">
        <v>45404.092364121367</v>
      </c>
      <c r="D1962">
        <v>53</v>
      </c>
      <c r="E1962" t="s">
        <v>7</v>
      </c>
      <c r="F1962" t="s">
        <v>11</v>
      </c>
      <c r="G1962">
        <v>902</v>
      </c>
    </row>
    <row r="1963" spans="1:7" x14ac:dyDescent="0.25">
      <c r="A1963">
        <v>1083</v>
      </c>
      <c r="B1963">
        <v>51962</v>
      </c>
      <c r="C1963" s="2">
        <v>45404.33577859286</v>
      </c>
      <c r="D1963">
        <v>64</v>
      </c>
      <c r="E1963" t="s">
        <v>8</v>
      </c>
      <c r="F1963" t="s">
        <v>11</v>
      </c>
      <c r="G1963">
        <v>2328</v>
      </c>
    </row>
    <row r="1964" spans="1:7" x14ac:dyDescent="0.25">
      <c r="A1964">
        <v>1099</v>
      </c>
      <c r="B1964">
        <v>51963</v>
      </c>
      <c r="C1964" s="2">
        <v>45404.579193064354</v>
      </c>
      <c r="D1964">
        <v>63</v>
      </c>
      <c r="E1964" t="s">
        <v>8</v>
      </c>
      <c r="F1964" t="s">
        <v>12</v>
      </c>
      <c r="G1964">
        <v>1126</v>
      </c>
    </row>
    <row r="1965" spans="1:7" x14ac:dyDescent="0.25">
      <c r="A1965">
        <v>1149</v>
      </c>
      <c r="B1965">
        <v>51964</v>
      </c>
      <c r="C1965" s="2">
        <v>45404.822607535847</v>
      </c>
      <c r="D1965">
        <v>36</v>
      </c>
      <c r="E1965" t="s">
        <v>7</v>
      </c>
      <c r="F1965" t="s">
        <v>9</v>
      </c>
      <c r="G1965">
        <v>4433</v>
      </c>
    </row>
    <row r="1966" spans="1:7" x14ac:dyDescent="0.25">
      <c r="A1966">
        <v>1329</v>
      </c>
      <c r="B1966">
        <v>51965</v>
      </c>
      <c r="C1966" s="2">
        <v>45405.066022007333</v>
      </c>
      <c r="D1966">
        <v>30</v>
      </c>
      <c r="E1966" t="s">
        <v>7</v>
      </c>
      <c r="F1966" t="s">
        <v>9</v>
      </c>
      <c r="G1966">
        <v>3704</v>
      </c>
    </row>
    <row r="1967" spans="1:7" x14ac:dyDescent="0.25">
      <c r="A1967">
        <v>1156</v>
      </c>
      <c r="B1967">
        <v>51966</v>
      </c>
      <c r="C1967" s="2">
        <v>45405.309436478819</v>
      </c>
      <c r="D1967">
        <v>59</v>
      </c>
      <c r="E1967" t="s">
        <v>7</v>
      </c>
      <c r="F1967" t="s">
        <v>11</v>
      </c>
      <c r="G1967">
        <v>2717</v>
      </c>
    </row>
    <row r="1968" spans="1:7" x14ac:dyDescent="0.25">
      <c r="A1968">
        <v>1190</v>
      </c>
      <c r="B1968">
        <v>51967</v>
      </c>
      <c r="C1968" s="2">
        <v>45405.552850950313</v>
      </c>
      <c r="D1968">
        <v>38</v>
      </c>
      <c r="E1968" t="s">
        <v>7</v>
      </c>
      <c r="F1968" t="s">
        <v>11</v>
      </c>
      <c r="G1968">
        <v>2597</v>
      </c>
    </row>
    <row r="1969" spans="1:7" x14ac:dyDescent="0.25">
      <c r="A1969">
        <v>1494</v>
      </c>
      <c r="B1969">
        <v>51968</v>
      </c>
      <c r="C1969" s="2">
        <v>45405.796265421814</v>
      </c>
      <c r="D1969">
        <v>54</v>
      </c>
      <c r="E1969" t="s">
        <v>8</v>
      </c>
      <c r="F1969" t="s">
        <v>9</v>
      </c>
      <c r="G1969">
        <v>1349</v>
      </c>
    </row>
    <row r="1970" spans="1:7" x14ac:dyDescent="0.25">
      <c r="A1970">
        <v>1263</v>
      </c>
      <c r="B1970">
        <v>51969</v>
      </c>
      <c r="C1970" s="2">
        <v>45406.039679893292</v>
      </c>
      <c r="D1970">
        <v>44</v>
      </c>
      <c r="E1970" t="s">
        <v>7</v>
      </c>
      <c r="F1970" t="s">
        <v>9</v>
      </c>
      <c r="G1970">
        <v>3580</v>
      </c>
    </row>
    <row r="1971" spans="1:7" x14ac:dyDescent="0.25">
      <c r="A1971">
        <v>1080</v>
      </c>
      <c r="B1971">
        <v>51970</v>
      </c>
      <c r="C1971" s="2">
        <v>45406.283094364779</v>
      </c>
      <c r="D1971">
        <v>46</v>
      </c>
      <c r="E1971" t="s">
        <v>8</v>
      </c>
      <c r="F1971" t="s">
        <v>10</v>
      </c>
      <c r="G1971">
        <v>2078</v>
      </c>
    </row>
    <row r="1972" spans="1:7" x14ac:dyDescent="0.25">
      <c r="A1972">
        <v>1400</v>
      </c>
      <c r="B1972">
        <v>51971</v>
      </c>
      <c r="C1972" s="2">
        <v>45406.526508836272</v>
      </c>
      <c r="D1972">
        <v>37</v>
      </c>
      <c r="E1972" t="s">
        <v>8</v>
      </c>
      <c r="F1972" t="s">
        <v>9</v>
      </c>
      <c r="G1972">
        <v>1453</v>
      </c>
    </row>
    <row r="1973" spans="1:7" x14ac:dyDescent="0.25">
      <c r="A1973">
        <v>1260</v>
      </c>
      <c r="B1973">
        <v>51972</v>
      </c>
      <c r="C1973" s="2">
        <v>45406.769923307773</v>
      </c>
      <c r="D1973">
        <v>42</v>
      </c>
      <c r="E1973" t="s">
        <v>7</v>
      </c>
      <c r="F1973" t="s">
        <v>11</v>
      </c>
      <c r="G1973">
        <v>1683</v>
      </c>
    </row>
    <row r="1974" spans="1:7" x14ac:dyDescent="0.25">
      <c r="A1974">
        <v>1552</v>
      </c>
      <c r="B1974">
        <v>51973</v>
      </c>
      <c r="C1974" s="2">
        <v>45407.013337779259</v>
      </c>
      <c r="D1974">
        <v>23</v>
      </c>
      <c r="E1974" t="s">
        <v>8</v>
      </c>
      <c r="F1974" t="s">
        <v>12</v>
      </c>
      <c r="G1974">
        <v>509</v>
      </c>
    </row>
    <row r="1975" spans="1:7" x14ac:dyDescent="0.25">
      <c r="A1975">
        <v>1101</v>
      </c>
      <c r="B1975">
        <v>51974</v>
      </c>
      <c r="C1975" s="2">
        <v>45407.256752250738</v>
      </c>
      <c r="D1975">
        <v>53</v>
      </c>
      <c r="E1975" t="s">
        <v>7</v>
      </c>
      <c r="F1975" t="s">
        <v>9</v>
      </c>
      <c r="G1975">
        <v>4152</v>
      </c>
    </row>
    <row r="1976" spans="1:7" x14ac:dyDescent="0.25">
      <c r="A1976">
        <v>1359</v>
      </c>
      <c r="B1976">
        <v>51975</v>
      </c>
      <c r="C1976" s="2">
        <v>45407.500166722231</v>
      </c>
      <c r="D1976">
        <v>19</v>
      </c>
      <c r="E1976" t="s">
        <v>8</v>
      </c>
      <c r="F1976" t="s">
        <v>10</v>
      </c>
      <c r="G1976">
        <v>3249</v>
      </c>
    </row>
    <row r="1977" spans="1:7" x14ac:dyDescent="0.25">
      <c r="A1977">
        <v>1380</v>
      </c>
      <c r="B1977">
        <v>51976</v>
      </c>
      <c r="C1977" s="2">
        <v>45407.743581193718</v>
      </c>
      <c r="D1977">
        <v>39</v>
      </c>
      <c r="E1977" t="s">
        <v>7</v>
      </c>
      <c r="F1977" t="s">
        <v>10</v>
      </c>
      <c r="G1977">
        <v>1764</v>
      </c>
    </row>
    <row r="1978" spans="1:7" x14ac:dyDescent="0.25">
      <c r="A1978">
        <v>1221</v>
      </c>
      <c r="B1978">
        <v>51977</v>
      </c>
      <c r="C1978" s="2">
        <v>45407.986995665218</v>
      </c>
      <c r="D1978">
        <v>49</v>
      </c>
      <c r="E1978" t="s">
        <v>7</v>
      </c>
      <c r="F1978" t="s">
        <v>10</v>
      </c>
      <c r="G1978">
        <v>1700</v>
      </c>
    </row>
    <row r="1979" spans="1:7" x14ac:dyDescent="0.25">
      <c r="A1979">
        <v>1420</v>
      </c>
      <c r="B1979">
        <v>51978</v>
      </c>
      <c r="C1979" s="2">
        <v>45408.230410136697</v>
      </c>
      <c r="D1979">
        <v>33</v>
      </c>
      <c r="E1979" t="s">
        <v>7</v>
      </c>
      <c r="F1979" t="s">
        <v>12</v>
      </c>
      <c r="G1979">
        <v>215</v>
      </c>
    </row>
    <row r="1980" spans="1:7" x14ac:dyDescent="0.25">
      <c r="A1980">
        <v>1124</v>
      </c>
      <c r="B1980">
        <v>51979</v>
      </c>
      <c r="C1980" s="2">
        <v>45408.473824608198</v>
      </c>
      <c r="D1980">
        <v>35</v>
      </c>
      <c r="E1980" t="s">
        <v>7</v>
      </c>
      <c r="F1980" t="s">
        <v>9</v>
      </c>
      <c r="G1980">
        <v>805</v>
      </c>
    </row>
    <row r="1981" spans="1:7" x14ac:dyDescent="0.25">
      <c r="A1981">
        <v>1422</v>
      </c>
      <c r="B1981">
        <v>51980</v>
      </c>
      <c r="C1981" s="2">
        <v>45408.717239079677</v>
      </c>
      <c r="D1981">
        <v>22</v>
      </c>
      <c r="E1981" t="s">
        <v>7</v>
      </c>
      <c r="F1981" t="s">
        <v>9</v>
      </c>
      <c r="G1981">
        <v>1581</v>
      </c>
    </row>
    <row r="1982" spans="1:7" x14ac:dyDescent="0.25">
      <c r="A1982">
        <v>1231</v>
      </c>
      <c r="B1982">
        <v>51981</v>
      </c>
      <c r="C1982" s="2">
        <v>45408.960653551178</v>
      </c>
      <c r="D1982">
        <v>53</v>
      </c>
      <c r="E1982" t="s">
        <v>7</v>
      </c>
      <c r="F1982" t="s">
        <v>9</v>
      </c>
      <c r="G1982">
        <v>3583</v>
      </c>
    </row>
    <row r="1983" spans="1:7" x14ac:dyDescent="0.25">
      <c r="A1983">
        <v>1063</v>
      </c>
      <c r="B1983">
        <v>51982</v>
      </c>
      <c r="C1983" s="2">
        <v>45409.204068022671</v>
      </c>
      <c r="D1983">
        <v>47</v>
      </c>
      <c r="E1983" t="s">
        <v>8</v>
      </c>
      <c r="F1983" t="s">
        <v>12</v>
      </c>
      <c r="G1983">
        <v>1094</v>
      </c>
    </row>
    <row r="1984" spans="1:7" x14ac:dyDescent="0.25">
      <c r="A1984">
        <v>1485</v>
      </c>
      <c r="B1984">
        <v>51983</v>
      </c>
      <c r="C1984" s="2">
        <v>45409.447482494157</v>
      </c>
      <c r="D1984">
        <v>62</v>
      </c>
      <c r="E1984" t="s">
        <v>8</v>
      </c>
      <c r="F1984" t="s">
        <v>12</v>
      </c>
      <c r="G1984">
        <v>1767</v>
      </c>
    </row>
    <row r="1985" spans="1:7" x14ac:dyDescent="0.25">
      <c r="A1985">
        <v>1574</v>
      </c>
      <c r="B1985">
        <v>51984</v>
      </c>
      <c r="C1985" s="2">
        <v>45409.690896965651</v>
      </c>
      <c r="D1985">
        <v>36</v>
      </c>
      <c r="E1985" t="s">
        <v>8</v>
      </c>
      <c r="F1985" t="s">
        <v>11</v>
      </c>
      <c r="G1985">
        <v>613</v>
      </c>
    </row>
    <row r="1986" spans="1:7" x14ac:dyDescent="0.25">
      <c r="A1986">
        <v>1483</v>
      </c>
      <c r="B1986">
        <v>51985</v>
      </c>
      <c r="C1986" s="2">
        <v>45409.934311437137</v>
      </c>
      <c r="D1986">
        <v>40</v>
      </c>
      <c r="E1986" t="s">
        <v>7</v>
      </c>
      <c r="F1986" t="s">
        <v>10</v>
      </c>
      <c r="G1986">
        <v>4320</v>
      </c>
    </row>
    <row r="1987" spans="1:7" x14ac:dyDescent="0.25">
      <c r="A1987">
        <v>1519</v>
      </c>
      <c r="B1987">
        <v>51986</v>
      </c>
      <c r="C1987" s="2">
        <v>45410.177725908638</v>
      </c>
      <c r="D1987">
        <v>51</v>
      </c>
      <c r="E1987" t="s">
        <v>8</v>
      </c>
      <c r="F1987" t="s">
        <v>10</v>
      </c>
      <c r="G1987">
        <v>2204</v>
      </c>
    </row>
    <row r="1988" spans="1:7" x14ac:dyDescent="0.25">
      <c r="A1988">
        <v>1155</v>
      </c>
      <c r="B1988">
        <v>51987</v>
      </c>
      <c r="C1988" s="2">
        <v>45410.421140380116</v>
      </c>
      <c r="D1988">
        <v>30</v>
      </c>
      <c r="E1988" t="s">
        <v>7</v>
      </c>
      <c r="F1988" t="s">
        <v>9</v>
      </c>
      <c r="G1988">
        <v>515</v>
      </c>
    </row>
    <row r="1989" spans="1:7" x14ac:dyDescent="0.25">
      <c r="A1989">
        <v>1092</v>
      </c>
      <c r="B1989">
        <v>51988</v>
      </c>
      <c r="C1989" s="2">
        <v>45410.66455485161</v>
      </c>
      <c r="D1989">
        <v>60</v>
      </c>
      <c r="E1989" t="s">
        <v>8</v>
      </c>
      <c r="F1989" t="s">
        <v>12</v>
      </c>
      <c r="G1989">
        <v>4866</v>
      </c>
    </row>
    <row r="1990" spans="1:7" x14ac:dyDescent="0.25">
      <c r="A1990">
        <v>1526</v>
      </c>
      <c r="B1990">
        <v>51989</v>
      </c>
      <c r="C1990" s="2">
        <v>45410.907969323103</v>
      </c>
      <c r="D1990">
        <v>46</v>
      </c>
      <c r="E1990" t="s">
        <v>8</v>
      </c>
      <c r="F1990" t="s">
        <v>12</v>
      </c>
      <c r="G1990">
        <v>3255</v>
      </c>
    </row>
    <row r="1991" spans="1:7" x14ac:dyDescent="0.25">
      <c r="A1991">
        <v>1455</v>
      </c>
      <c r="B1991">
        <v>51990</v>
      </c>
      <c r="C1991" s="2">
        <v>45411.151383794597</v>
      </c>
      <c r="D1991">
        <v>53</v>
      </c>
      <c r="E1991" t="s">
        <v>7</v>
      </c>
      <c r="F1991" t="s">
        <v>9</v>
      </c>
      <c r="G1991">
        <v>2049</v>
      </c>
    </row>
    <row r="1992" spans="1:7" x14ac:dyDescent="0.25">
      <c r="A1992">
        <v>1598</v>
      </c>
      <c r="B1992">
        <v>51991</v>
      </c>
      <c r="C1992" s="2">
        <v>45411.39479826609</v>
      </c>
      <c r="D1992">
        <v>39</v>
      </c>
      <c r="E1992" t="s">
        <v>8</v>
      </c>
      <c r="F1992" t="s">
        <v>9</v>
      </c>
      <c r="G1992">
        <v>2153</v>
      </c>
    </row>
    <row r="1993" spans="1:7" x14ac:dyDescent="0.25">
      <c r="A1993">
        <v>1510</v>
      </c>
      <c r="B1993">
        <v>51992</v>
      </c>
      <c r="C1993" s="2">
        <v>45411.638212737569</v>
      </c>
      <c r="D1993">
        <v>64</v>
      </c>
      <c r="E1993" t="s">
        <v>8</v>
      </c>
      <c r="F1993" t="s">
        <v>11</v>
      </c>
      <c r="G1993">
        <v>588</v>
      </c>
    </row>
    <row r="1994" spans="1:7" x14ac:dyDescent="0.25">
      <c r="A1994">
        <v>1183</v>
      </c>
      <c r="B1994">
        <v>51993</v>
      </c>
      <c r="C1994" s="2">
        <v>45411.881627209063</v>
      </c>
      <c r="D1994">
        <v>53</v>
      </c>
      <c r="E1994" t="s">
        <v>8</v>
      </c>
      <c r="F1994" t="s">
        <v>10</v>
      </c>
      <c r="G1994">
        <v>2969</v>
      </c>
    </row>
    <row r="1995" spans="1:7" x14ac:dyDescent="0.25">
      <c r="A1995">
        <v>1386</v>
      </c>
      <c r="B1995">
        <v>51994</v>
      </c>
      <c r="C1995" s="2">
        <v>45412.125041680563</v>
      </c>
      <c r="D1995">
        <v>26</v>
      </c>
      <c r="E1995" t="s">
        <v>7</v>
      </c>
      <c r="F1995" t="s">
        <v>10</v>
      </c>
      <c r="G1995">
        <v>4739</v>
      </c>
    </row>
    <row r="1996" spans="1:7" x14ac:dyDescent="0.25">
      <c r="A1996">
        <v>1574</v>
      </c>
      <c r="B1996">
        <v>51995</v>
      </c>
      <c r="C1996" s="2">
        <v>45412.368456152049</v>
      </c>
      <c r="D1996">
        <v>56</v>
      </c>
      <c r="E1996" t="s">
        <v>8</v>
      </c>
      <c r="F1996" t="s">
        <v>10</v>
      </c>
      <c r="G1996">
        <v>3246</v>
      </c>
    </row>
    <row r="1997" spans="1:7" x14ac:dyDescent="0.25">
      <c r="A1997">
        <v>1405</v>
      </c>
      <c r="B1997">
        <v>51996</v>
      </c>
      <c r="C1997" s="2">
        <v>45412.611870623528</v>
      </c>
      <c r="D1997">
        <v>36</v>
      </c>
      <c r="E1997" t="s">
        <v>7</v>
      </c>
      <c r="F1997" t="s">
        <v>11</v>
      </c>
      <c r="G1997">
        <v>2615</v>
      </c>
    </row>
    <row r="1998" spans="1:7" x14ac:dyDescent="0.25">
      <c r="A1998">
        <v>1246</v>
      </c>
      <c r="B1998">
        <v>51997</v>
      </c>
      <c r="C1998" s="2">
        <v>45412.855285095022</v>
      </c>
      <c r="D1998">
        <v>55</v>
      </c>
      <c r="E1998" t="s">
        <v>8</v>
      </c>
      <c r="F1998" t="s">
        <v>9</v>
      </c>
      <c r="G1998">
        <v>2589</v>
      </c>
    </row>
    <row r="1999" spans="1:7" x14ac:dyDescent="0.25">
      <c r="A1999">
        <v>1591</v>
      </c>
      <c r="B1999">
        <v>51998</v>
      </c>
      <c r="C1999" s="2">
        <v>45413.098699566523</v>
      </c>
      <c r="D1999">
        <v>23</v>
      </c>
      <c r="E1999" t="s">
        <v>8</v>
      </c>
      <c r="F1999" t="s">
        <v>9</v>
      </c>
      <c r="G1999">
        <v>503</v>
      </c>
    </row>
    <row r="2000" spans="1:7" x14ac:dyDescent="0.25">
      <c r="A2000">
        <v>1471</v>
      </c>
      <c r="B2000">
        <v>51999</v>
      </c>
      <c r="C2000" s="2">
        <v>45413.342114038009</v>
      </c>
      <c r="D2000">
        <v>64</v>
      </c>
      <c r="E2000" t="s">
        <v>8</v>
      </c>
      <c r="F2000" t="s">
        <v>10</v>
      </c>
      <c r="G2000">
        <v>963</v>
      </c>
    </row>
    <row r="2001" spans="1:7" x14ac:dyDescent="0.25">
      <c r="A2001">
        <v>1423</v>
      </c>
      <c r="B2001">
        <v>52000</v>
      </c>
      <c r="C2001" s="2">
        <v>45413.585528509502</v>
      </c>
      <c r="D2001">
        <v>32</v>
      </c>
      <c r="E2001" t="s">
        <v>8</v>
      </c>
      <c r="F2001" t="s">
        <v>10</v>
      </c>
      <c r="G2001">
        <v>2173</v>
      </c>
    </row>
    <row r="2002" spans="1:7" x14ac:dyDescent="0.25">
      <c r="A2002">
        <v>1065</v>
      </c>
      <c r="B2002">
        <v>52001</v>
      </c>
      <c r="C2002" s="2">
        <v>45413.828942980981</v>
      </c>
      <c r="D2002">
        <v>37</v>
      </c>
      <c r="E2002" t="s">
        <v>7</v>
      </c>
      <c r="F2002" t="s">
        <v>11</v>
      </c>
      <c r="G2002">
        <v>1015</v>
      </c>
    </row>
    <row r="2003" spans="1:7" x14ac:dyDescent="0.25">
      <c r="A2003">
        <v>1013</v>
      </c>
      <c r="B2003">
        <v>52002</v>
      </c>
      <c r="C2003" s="2">
        <v>45414.072357452467</v>
      </c>
      <c r="D2003">
        <v>26</v>
      </c>
      <c r="E2003" t="s">
        <v>8</v>
      </c>
      <c r="F2003" t="s">
        <v>12</v>
      </c>
      <c r="G2003">
        <v>1077</v>
      </c>
    </row>
    <row r="2004" spans="1:7" x14ac:dyDescent="0.25">
      <c r="A2004">
        <v>1213</v>
      </c>
      <c r="B2004">
        <v>52003</v>
      </c>
      <c r="C2004" s="2">
        <v>45414.315771923968</v>
      </c>
      <c r="D2004">
        <v>49</v>
      </c>
      <c r="E2004" t="s">
        <v>7</v>
      </c>
      <c r="F2004" t="s">
        <v>12</v>
      </c>
      <c r="G2004">
        <v>4998</v>
      </c>
    </row>
    <row r="2005" spans="1:7" x14ac:dyDescent="0.25">
      <c r="A2005">
        <v>1242</v>
      </c>
      <c r="B2005">
        <v>52004</v>
      </c>
      <c r="C2005" s="2">
        <v>45414.559186395461</v>
      </c>
      <c r="D2005">
        <v>21</v>
      </c>
      <c r="E2005" t="s">
        <v>7</v>
      </c>
      <c r="F2005" t="s">
        <v>10</v>
      </c>
      <c r="G2005">
        <v>2526</v>
      </c>
    </row>
    <row r="2006" spans="1:7" x14ac:dyDescent="0.25">
      <c r="A2006">
        <v>1493</v>
      </c>
      <c r="B2006">
        <v>52005</v>
      </c>
      <c r="C2006" s="2">
        <v>45414.802600866948</v>
      </c>
      <c r="D2006">
        <v>35</v>
      </c>
      <c r="E2006" t="s">
        <v>8</v>
      </c>
      <c r="F2006" t="s">
        <v>11</v>
      </c>
      <c r="G2006">
        <v>2629</v>
      </c>
    </row>
    <row r="2007" spans="1:7" x14ac:dyDescent="0.25">
      <c r="A2007">
        <v>1213</v>
      </c>
      <c r="B2007">
        <v>52006</v>
      </c>
      <c r="C2007" s="2">
        <v>45415.046015338441</v>
      </c>
      <c r="D2007">
        <v>22</v>
      </c>
      <c r="E2007" t="s">
        <v>8</v>
      </c>
      <c r="F2007" t="s">
        <v>10</v>
      </c>
      <c r="G2007">
        <v>2260</v>
      </c>
    </row>
    <row r="2008" spans="1:7" x14ac:dyDescent="0.25">
      <c r="A2008">
        <v>1338</v>
      </c>
      <c r="B2008">
        <v>52007</v>
      </c>
      <c r="C2008" s="2">
        <v>45415.289429809927</v>
      </c>
      <c r="D2008">
        <v>37</v>
      </c>
      <c r="E2008" t="s">
        <v>7</v>
      </c>
      <c r="F2008" t="s">
        <v>12</v>
      </c>
      <c r="G2008">
        <v>4598</v>
      </c>
    </row>
    <row r="2009" spans="1:7" x14ac:dyDescent="0.25">
      <c r="A2009">
        <v>1173</v>
      </c>
      <c r="B2009">
        <v>52008</v>
      </c>
      <c r="C2009" s="2">
        <v>45415.532844281421</v>
      </c>
      <c r="D2009">
        <v>40</v>
      </c>
      <c r="E2009" t="s">
        <v>7</v>
      </c>
      <c r="F2009" t="s">
        <v>10</v>
      </c>
      <c r="G2009">
        <v>1779</v>
      </c>
    </row>
    <row r="2010" spans="1:7" x14ac:dyDescent="0.25">
      <c r="A2010">
        <v>1164</v>
      </c>
      <c r="B2010">
        <v>52009</v>
      </c>
      <c r="C2010" s="2">
        <v>45415.776258752907</v>
      </c>
      <c r="D2010">
        <v>28</v>
      </c>
      <c r="E2010" t="s">
        <v>8</v>
      </c>
      <c r="F2010" t="s">
        <v>12</v>
      </c>
      <c r="G2010">
        <v>4455</v>
      </c>
    </row>
    <row r="2011" spans="1:7" x14ac:dyDescent="0.25">
      <c r="A2011">
        <v>1465</v>
      </c>
      <c r="B2011">
        <v>52010</v>
      </c>
      <c r="C2011" s="2">
        <v>45416.0196732244</v>
      </c>
      <c r="D2011">
        <v>54</v>
      </c>
      <c r="E2011" t="s">
        <v>8</v>
      </c>
      <c r="F2011" t="s">
        <v>12</v>
      </c>
      <c r="G2011">
        <v>2401</v>
      </c>
    </row>
    <row r="2012" spans="1:7" x14ac:dyDescent="0.25">
      <c r="A2012">
        <v>1497</v>
      </c>
      <c r="B2012">
        <v>52011</v>
      </c>
      <c r="C2012" s="2">
        <v>45416.263087695886</v>
      </c>
      <c r="D2012">
        <v>39</v>
      </c>
      <c r="E2012" t="s">
        <v>8</v>
      </c>
      <c r="F2012" t="s">
        <v>12</v>
      </c>
      <c r="G2012">
        <v>3797</v>
      </c>
    </row>
    <row r="2013" spans="1:7" x14ac:dyDescent="0.25">
      <c r="A2013">
        <v>1395</v>
      </c>
      <c r="B2013">
        <v>52012</v>
      </c>
      <c r="C2013" s="2">
        <v>45416.506502167387</v>
      </c>
      <c r="D2013">
        <v>21</v>
      </c>
      <c r="E2013" t="s">
        <v>8</v>
      </c>
      <c r="F2013" t="s">
        <v>9</v>
      </c>
      <c r="G2013">
        <v>1403</v>
      </c>
    </row>
    <row r="2014" spans="1:7" x14ac:dyDescent="0.25">
      <c r="A2014">
        <v>1308</v>
      </c>
      <c r="B2014">
        <v>52013</v>
      </c>
      <c r="C2014" s="2">
        <v>45416.749916638881</v>
      </c>
      <c r="D2014">
        <v>46</v>
      </c>
      <c r="E2014" t="s">
        <v>8</v>
      </c>
      <c r="F2014" t="s">
        <v>9</v>
      </c>
      <c r="G2014">
        <v>2624</v>
      </c>
    </row>
    <row r="2015" spans="1:7" x14ac:dyDescent="0.25">
      <c r="A2015">
        <v>1183</v>
      </c>
      <c r="B2015">
        <v>52014</v>
      </c>
      <c r="C2015" s="2">
        <v>45416.99333111036</v>
      </c>
      <c r="D2015">
        <v>61</v>
      </c>
      <c r="E2015" t="s">
        <v>7</v>
      </c>
      <c r="F2015" t="s">
        <v>10</v>
      </c>
      <c r="G2015">
        <v>4075</v>
      </c>
    </row>
    <row r="2016" spans="1:7" x14ac:dyDescent="0.25">
      <c r="A2016">
        <v>1510</v>
      </c>
      <c r="B2016">
        <v>52015</v>
      </c>
      <c r="C2016" s="2">
        <v>45417.236745581853</v>
      </c>
      <c r="D2016">
        <v>51</v>
      </c>
      <c r="E2016" t="s">
        <v>8</v>
      </c>
      <c r="F2016" t="s">
        <v>12</v>
      </c>
      <c r="G2016">
        <v>3023</v>
      </c>
    </row>
    <row r="2017" spans="1:7" x14ac:dyDescent="0.25">
      <c r="A2017">
        <v>1546</v>
      </c>
      <c r="B2017">
        <v>52016</v>
      </c>
      <c r="C2017" s="2">
        <v>45417.480160053346</v>
      </c>
      <c r="D2017">
        <v>30</v>
      </c>
      <c r="E2017" t="s">
        <v>8</v>
      </c>
      <c r="F2017" t="s">
        <v>9</v>
      </c>
      <c r="G2017">
        <v>3485</v>
      </c>
    </row>
    <row r="2018" spans="1:7" x14ac:dyDescent="0.25">
      <c r="A2018">
        <v>1564</v>
      </c>
      <c r="B2018">
        <v>52017</v>
      </c>
      <c r="C2018" s="2">
        <v>45417.72357452484</v>
      </c>
      <c r="D2018">
        <v>59</v>
      </c>
      <c r="E2018" t="s">
        <v>7</v>
      </c>
      <c r="F2018" t="s">
        <v>10</v>
      </c>
      <c r="G2018">
        <v>2263</v>
      </c>
    </row>
    <row r="2019" spans="1:7" x14ac:dyDescent="0.25">
      <c r="A2019">
        <v>1594</v>
      </c>
      <c r="B2019">
        <v>52018</v>
      </c>
      <c r="C2019" s="2">
        <v>45417.966988996333</v>
      </c>
      <c r="D2019">
        <v>26</v>
      </c>
      <c r="E2019" t="s">
        <v>8</v>
      </c>
      <c r="F2019" t="s">
        <v>10</v>
      </c>
      <c r="G2019">
        <v>2179</v>
      </c>
    </row>
    <row r="2020" spans="1:7" x14ac:dyDescent="0.25">
      <c r="A2020">
        <v>1227</v>
      </c>
      <c r="B2020">
        <v>52019</v>
      </c>
      <c r="C2020" s="2">
        <v>45418.210403467812</v>
      </c>
      <c r="D2020">
        <v>59</v>
      </c>
      <c r="E2020" t="s">
        <v>8</v>
      </c>
      <c r="F2020" t="s">
        <v>10</v>
      </c>
      <c r="G2020">
        <v>4548</v>
      </c>
    </row>
    <row r="2021" spans="1:7" x14ac:dyDescent="0.25">
      <c r="A2021">
        <v>1436</v>
      </c>
      <c r="B2021">
        <v>52020</v>
      </c>
      <c r="C2021" s="2">
        <v>45418.453817939313</v>
      </c>
      <c r="D2021">
        <v>48</v>
      </c>
      <c r="E2021" t="s">
        <v>7</v>
      </c>
      <c r="F2021" t="s">
        <v>10</v>
      </c>
      <c r="G2021">
        <v>3331</v>
      </c>
    </row>
    <row r="2022" spans="1:7" x14ac:dyDescent="0.25">
      <c r="A2022">
        <v>1422</v>
      </c>
      <c r="B2022">
        <v>52021</v>
      </c>
      <c r="C2022" s="2">
        <v>45418.697232410799</v>
      </c>
      <c r="D2022">
        <v>24</v>
      </c>
      <c r="E2022" t="s">
        <v>8</v>
      </c>
      <c r="F2022" t="s">
        <v>10</v>
      </c>
      <c r="G2022">
        <v>3292</v>
      </c>
    </row>
    <row r="2023" spans="1:7" x14ac:dyDescent="0.25">
      <c r="A2023">
        <v>1554</v>
      </c>
      <c r="B2023">
        <v>52022</v>
      </c>
      <c r="C2023" s="2">
        <v>45418.940646882293</v>
      </c>
      <c r="D2023">
        <v>21</v>
      </c>
      <c r="E2023" t="s">
        <v>7</v>
      </c>
      <c r="F2023" t="s">
        <v>11</v>
      </c>
      <c r="G2023">
        <v>3864</v>
      </c>
    </row>
    <row r="2024" spans="1:7" x14ac:dyDescent="0.25">
      <c r="A2024">
        <v>1021</v>
      </c>
      <c r="B2024">
        <v>52023</v>
      </c>
      <c r="C2024" s="2">
        <v>45419.184061353772</v>
      </c>
      <c r="D2024">
        <v>36</v>
      </c>
      <c r="E2024" t="s">
        <v>8</v>
      </c>
      <c r="F2024" t="s">
        <v>12</v>
      </c>
      <c r="G2024">
        <v>2536</v>
      </c>
    </row>
    <row r="2025" spans="1:7" x14ac:dyDescent="0.25">
      <c r="A2025">
        <v>1554</v>
      </c>
      <c r="B2025">
        <v>52024</v>
      </c>
      <c r="C2025" s="2">
        <v>45419.427475825258</v>
      </c>
      <c r="D2025">
        <v>59</v>
      </c>
      <c r="E2025" t="s">
        <v>8</v>
      </c>
      <c r="F2025" t="s">
        <v>10</v>
      </c>
      <c r="G2025">
        <v>3814</v>
      </c>
    </row>
    <row r="2026" spans="1:7" x14ac:dyDescent="0.25">
      <c r="A2026">
        <v>1397</v>
      </c>
      <c r="B2026">
        <v>52025</v>
      </c>
      <c r="C2026" s="2">
        <v>45419.670890296758</v>
      </c>
      <c r="D2026">
        <v>47</v>
      </c>
      <c r="E2026" t="s">
        <v>8</v>
      </c>
      <c r="F2026" t="s">
        <v>11</v>
      </c>
      <c r="G2026">
        <v>697</v>
      </c>
    </row>
    <row r="2027" spans="1:7" x14ac:dyDescent="0.25">
      <c r="A2027">
        <v>1105</v>
      </c>
      <c r="B2027">
        <v>52026</v>
      </c>
      <c r="C2027" s="2">
        <v>45419.914304768252</v>
      </c>
      <c r="D2027">
        <v>48</v>
      </c>
      <c r="E2027" t="s">
        <v>7</v>
      </c>
      <c r="F2027" t="s">
        <v>12</v>
      </c>
      <c r="G2027">
        <v>4017</v>
      </c>
    </row>
    <row r="2028" spans="1:7" x14ac:dyDescent="0.25">
      <c r="A2028">
        <v>1192</v>
      </c>
      <c r="B2028">
        <v>52027</v>
      </c>
      <c r="C2028" s="2">
        <v>45420.157719239753</v>
      </c>
      <c r="D2028">
        <v>52</v>
      </c>
      <c r="E2028" t="s">
        <v>7</v>
      </c>
      <c r="F2028" t="s">
        <v>9</v>
      </c>
      <c r="G2028">
        <v>4843</v>
      </c>
    </row>
    <row r="2029" spans="1:7" x14ac:dyDescent="0.25">
      <c r="A2029">
        <v>1017</v>
      </c>
      <c r="B2029">
        <v>52028</v>
      </c>
      <c r="C2029" s="2">
        <v>45420.401133711217</v>
      </c>
      <c r="D2029">
        <v>38</v>
      </c>
      <c r="E2029" t="s">
        <v>7</v>
      </c>
      <c r="F2029" t="s">
        <v>10</v>
      </c>
      <c r="G2029">
        <v>331</v>
      </c>
    </row>
    <row r="2030" spans="1:7" x14ac:dyDescent="0.25">
      <c r="A2030">
        <v>1120</v>
      </c>
      <c r="B2030">
        <v>52029</v>
      </c>
      <c r="C2030" s="2">
        <v>45420.644548182718</v>
      </c>
      <c r="D2030">
        <v>48</v>
      </c>
      <c r="E2030" t="s">
        <v>7</v>
      </c>
      <c r="F2030" t="s">
        <v>11</v>
      </c>
      <c r="G2030">
        <v>1057</v>
      </c>
    </row>
    <row r="2031" spans="1:7" x14ac:dyDescent="0.25">
      <c r="A2031">
        <v>1393</v>
      </c>
      <c r="B2031">
        <v>52030</v>
      </c>
      <c r="C2031" s="2">
        <v>45420.887962654211</v>
      </c>
      <c r="D2031">
        <v>36</v>
      </c>
      <c r="E2031" t="s">
        <v>8</v>
      </c>
      <c r="F2031" t="s">
        <v>9</v>
      </c>
      <c r="G2031">
        <v>720</v>
      </c>
    </row>
    <row r="2032" spans="1:7" x14ac:dyDescent="0.25">
      <c r="A2032">
        <v>1425</v>
      </c>
      <c r="B2032">
        <v>52031</v>
      </c>
      <c r="C2032" s="2">
        <v>45421.131377125697</v>
      </c>
      <c r="D2032">
        <v>48</v>
      </c>
      <c r="E2032" t="s">
        <v>7</v>
      </c>
      <c r="F2032" t="s">
        <v>11</v>
      </c>
      <c r="G2032">
        <v>229</v>
      </c>
    </row>
    <row r="2033" spans="1:7" x14ac:dyDescent="0.25">
      <c r="A2033">
        <v>1129</v>
      </c>
      <c r="B2033">
        <v>52032</v>
      </c>
      <c r="C2033" s="2">
        <v>45421.374791597198</v>
      </c>
      <c r="D2033">
        <v>49</v>
      </c>
      <c r="E2033" t="s">
        <v>7</v>
      </c>
      <c r="F2033" t="s">
        <v>12</v>
      </c>
      <c r="G2033">
        <v>3596</v>
      </c>
    </row>
    <row r="2034" spans="1:7" x14ac:dyDescent="0.25">
      <c r="A2034">
        <v>1130</v>
      </c>
      <c r="B2034">
        <v>52033</v>
      </c>
      <c r="C2034" s="2">
        <v>45421.618206068677</v>
      </c>
      <c r="D2034">
        <v>19</v>
      </c>
      <c r="E2034" t="s">
        <v>7</v>
      </c>
      <c r="F2034" t="s">
        <v>12</v>
      </c>
      <c r="G2034">
        <v>4804</v>
      </c>
    </row>
    <row r="2035" spans="1:7" x14ac:dyDescent="0.25">
      <c r="A2035">
        <v>1572</v>
      </c>
      <c r="B2035">
        <v>52034</v>
      </c>
      <c r="C2035" s="2">
        <v>45421.86162054017</v>
      </c>
      <c r="D2035">
        <v>27</v>
      </c>
      <c r="E2035" t="s">
        <v>8</v>
      </c>
      <c r="F2035" t="s">
        <v>9</v>
      </c>
      <c r="G2035">
        <v>1460</v>
      </c>
    </row>
    <row r="2036" spans="1:7" x14ac:dyDescent="0.25">
      <c r="A2036">
        <v>1560</v>
      </c>
      <c r="B2036">
        <v>52035</v>
      </c>
      <c r="C2036" s="2">
        <v>45422.105035011657</v>
      </c>
      <c r="D2036">
        <v>19</v>
      </c>
      <c r="E2036" t="s">
        <v>8</v>
      </c>
      <c r="F2036" t="s">
        <v>11</v>
      </c>
      <c r="G2036">
        <v>1758</v>
      </c>
    </row>
    <row r="2037" spans="1:7" x14ac:dyDescent="0.25">
      <c r="A2037">
        <v>1029</v>
      </c>
      <c r="B2037">
        <v>52036</v>
      </c>
      <c r="C2037" s="2">
        <v>45422.348449483157</v>
      </c>
      <c r="D2037">
        <v>19</v>
      </c>
      <c r="E2037" t="s">
        <v>7</v>
      </c>
      <c r="F2037" t="s">
        <v>10</v>
      </c>
      <c r="G2037">
        <v>215</v>
      </c>
    </row>
    <row r="2038" spans="1:7" x14ac:dyDescent="0.25">
      <c r="A2038">
        <v>1097</v>
      </c>
      <c r="B2038">
        <v>52037</v>
      </c>
      <c r="C2038" s="2">
        <v>45422.591863954643</v>
      </c>
      <c r="D2038">
        <v>41</v>
      </c>
      <c r="E2038" t="s">
        <v>7</v>
      </c>
      <c r="F2038" t="s">
        <v>10</v>
      </c>
      <c r="G2038">
        <v>3805</v>
      </c>
    </row>
    <row r="2039" spans="1:7" x14ac:dyDescent="0.25">
      <c r="A2039">
        <v>1010</v>
      </c>
      <c r="B2039">
        <v>52038</v>
      </c>
      <c r="C2039" s="2">
        <v>45422.835278426137</v>
      </c>
      <c r="D2039">
        <v>34</v>
      </c>
      <c r="E2039" t="s">
        <v>8</v>
      </c>
      <c r="F2039" t="s">
        <v>9</v>
      </c>
      <c r="G2039">
        <v>1807</v>
      </c>
    </row>
    <row r="2040" spans="1:7" x14ac:dyDescent="0.25">
      <c r="A2040">
        <v>1242</v>
      </c>
      <c r="B2040">
        <v>52039</v>
      </c>
      <c r="C2040" s="2">
        <v>45423.07869289763</v>
      </c>
      <c r="D2040">
        <v>49</v>
      </c>
      <c r="E2040" t="s">
        <v>7</v>
      </c>
      <c r="F2040" t="s">
        <v>9</v>
      </c>
      <c r="G2040">
        <v>3717</v>
      </c>
    </row>
    <row r="2041" spans="1:7" x14ac:dyDescent="0.25">
      <c r="A2041">
        <v>1232</v>
      </c>
      <c r="B2041">
        <v>52040</v>
      </c>
      <c r="C2041" s="2">
        <v>45423.322107369117</v>
      </c>
      <c r="D2041">
        <v>33</v>
      </c>
      <c r="E2041" t="s">
        <v>7</v>
      </c>
      <c r="F2041" t="s">
        <v>9</v>
      </c>
      <c r="G2041">
        <v>2216</v>
      </c>
    </row>
    <row r="2042" spans="1:7" x14ac:dyDescent="0.25">
      <c r="A2042">
        <v>1284</v>
      </c>
      <c r="B2042">
        <v>52041</v>
      </c>
      <c r="C2042" s="2">
        <v>45423.56552184061</v>
      </c>
      <c r="D2042">
        <v>33</v>
      </c>
      <c r="E2042" t="s">
        <v>7</v>
      </c>
      <c r="F2042" t="s">
        <v>11</v>
      </c>
      <c r="G2042">
        <v>3774</v>
      </c>
    </row>
    <row r="2043" spans="1:7" x14ac:dyDescent="0.25">
      <c r="A2043">
        <v>1200</v>
      </c>
      <c r="B2043">
        <v>52042</v>
      </c>
      <c r="C2043" s="2">
        <v>45423.808936312103</v>
      </c>
      <c r="D2043">
        <v>63</v>
      </c>
      <c r="E2043" t="s">
        <v>7</v>
      </c>
      <c r="F2043" t="s">
        <v>10</v>
      </c>
      <c r="G2043">
        <v>1943</v>
      </c>
    </row>
    <row r="2044" spans="1:7" x14ac:dyDescent="0.25">
      <c r="A2044">
        <v>1079</v>
      </c>
      <c r="B2044">
        <v>52043</v>
      </c>
      <c r="C2044" s="2">
        <v>45424.05235078359</v>
      </c>
      <c r="D2044">
        <v>56</v>
      </c>
      <c r="E2044" t="s">
        <v>8</v>
      </c>
      <c r="F2044" t="s">
        <v>10</v>
      </c>
      <c r="G2044">
        <v>3991</v>
      </c>
    </row>
    <row r="2045" spans="1:7" x14ac:dyDescent="0.25">
      <c r="A2045">
        <v>1173</v>
      </c>
      <c r="B2045">
        <v>52044</v>
      </c>
      <c r="C2045" s="2">
        <v>45424.295765255083</v>
      </c>
      <c r="D2045">
        <v>48</v>
      </c>
      <c r="E2045" t="s">
        <v>8</v>
      </c>
      <c r="F2045" t="s">
        <v>10</v>
      </c>
      <c r="G2045">
        <v>3834</v>
      </c>
    </row>
    <row r="2046" spans="1:7" x14ac:dyDescent="0.25">
      <c r="A2046">
        <v>1467</v>
      </c>
      <c r="B2046">
        <v>52045</v>
      </c>
      <c r="C2046" s="2">
        <v>45424.539179726577</v>
      </c>
      <c r="D2046">
        <v>60</v>
      </c>
      <c r="E2046" t="s">
        <v>8</v>
      </c>
      <c r="F2046" t="s">
        <v>9</v>
      </c>
      <c r="G2046">
        <v>1288</v>
      </c>
    </row>
    <row r="2047" spans="1:7" x14ac:dyDescent="0.25">
      <c r="A2047">
        <v>1581</v>
      </c>
      <c r="B2047">
        <v>52046</v>
      </c>
      <c r="C2047" s="2">
        <v>45424.782594198063</v>
      </c>
      <c r="D2047">
        <v>41</v>
      </c>
      <c r="E2047" t="s">
        <v>7</v>
      </c>
      <c r="F2047" t="s">
        <v>10</v>
      </c>
      <c r="G2047">
        <v>1561</v>
      </c>
    </row>
    <row r="2048" spans="1:7" x14ac:dyDescent="0.25">
      <c r="A2048">
        <v>1416</v>
      </c>
      <c r="B2048">
        <v>52047</v>
      </c>
      <c r="C2048" s="2">
        <v>45425.026008669549</v>
      </c>
      <c r="D2048">
        <v>18</v>
      </c>
      <c r="E2048" t="s">
        <v>7</v>
      </c>
      <c r="F2048" t="s">
        <v>12</v>
      </c>
      <c r="G2048">
        <v>3572</v>
      </c>
    </row>
    <row r="2049" spans="1:7" x14ac:dyDescent="0.25">
      <c r="A2049">
        <v>1449</v>
      </c>
      <c r="B2049">
        <v>52048</v>
      </c>
      <c r="C2049" s="2">
        <v>45425.269423141042</v>
      </c>
      <c r="D2049">
        <v>28</v>
      </c>
      <c r="E2049" t="s">
        <v>8</v>
      </c>
      <c r="F2049" t="s">
        <v>9</v>
      </c>
      <c r="G2049">
        <v>4673</v>
      </c>
    </row>
    <row r="2050" spans="1:7" x14ac:dyDescent="0.25">
      <c r="A2050">
        <v>1087</v>
      </c>
      <c r="B2050">
        <v>52049</v>
      </c>
      <c r="C2050" s="2">
        <v>45425.512837612543</v>
      </c>
      <c r="D2050">
        <v>38</v>
      </c>
      <c r="E2050" t="s">
        <v>8</v>
      </c>
      <c r="F2050" t="s">
        <v>10</v>
      </c>
      <c r="G2050">
        <v>675</v>
      </c>
    </row>
    <row r="2051" spans="1:7" x14ac:dyDescent="0.25">
      <c r="A2051">
        <v>1101</v>
      </c>
      <c r="B2051">
        <v>52050</v>
      </c>
      <c r="C2051" s="2">
        <v>45425.756252084029</v>
      </c>
      <c r="D2051">
        <v>21</v>
      </c>
      <c r="E2051" t="s">
        <v>8</v>
      </c>
      <c r="F2051" t="s">
        <v>11</v>
      </c>
      <c r="G2051">
        <v>1489</v>
      </c>
    </row>
    <row r="2052" spans="1:7" x14ac:dyDescent="0.25">
      <c r="A2052">
        <v>1008</v>
      </c>
      <c r="B2052">
        <v>52051</v>
      </c>
      <c r="C2052" s="2">
        <v>45425.999666555508</v>
      </c>
      <c r="D2052">
        <v>24</v>
      </c>
      <c r="E2052" t="s">
        <v>7</v>
      </c>
      <c r="F2052" t="s">
        <v>9</v>
      </c>
      <c r="G2052">
        <v>528</v>
      </c>
    </row>
    <row r="2053" spans="1:7" x14ac:dyDescent="0.25">
      <c r="A2053">
        <v>1200</v>
      </c>
      <c r="B2053">
        <v>52052</v>
      </c>
      <c r="C2053" s="2">
        <v>45426.243081027002</v>
      </c>
      <c r="D2053">
        <v>43</v>
      </c>
      <c r="E2053" t="s">
        <v>8</v>
      </c>
      <c r="F2053" t="s">
        <v>12</v>
      </c>
      <c r="G2053">
        <v>4244</v>
      </c>
    </row>
    <row r="2054" spans="1:7" x14ac:dyDescent="0.25">
      <c r="A2054">
        <v>1505</v>
      </c>
      <c r="B2054">
        <v>52053</v>
      </c>
      <c r="C2054" s="2">
        <v>45426.486495498502</v>
      </c>
      <c r="D2054">
        <v>64</v>
      </c>
      <c r="E2054" t="s">
        <v>7</v>
      </c>
      <c r="F2054" t="s">
        <v>12</v>
      </c>
      <c r="G2054">
        <v>2039</v>
      </c>
    </row>
    <row r="2055" spans="1:7" x14ac:dyDescent="0.25">
      <c r="A2055">
        <v>1087</v>
      </c>
      <c r="B2055">
        <v>52054</v>
      </c>
      <c r="C2055" s="2">
        <v>45426.729909969989</v>
      </c>
      <c r="D2055">
        <v>29</v>
      </c>
      <c r="E2055" t="s">
        <v>7</v>
      </c>
      <c r="F2055" t="s">
        <v>11</v>
      </c>
      <c r="G2055">
        <v>1386</v>
      </c>
    </row>
    <row r="2056" spans="1:7" x14ac:dyDescent="0.25">
      <c r="A2056">
        <v>1043</v>
      </c>
      <c r="B2056">
        <v>52055</v>
      </c>
      <c r="C2056" s="2">
        <v>45426.973324441467</v>
      </c>
      <c r="D2056">
        <v>48</v>
      </c>
      <c r="E2056" t="s">
        <v>8</v>
      </c>
      <c r="F2056" t="s">
        <v>11</v>
      </c>
      <c r="G2056">
        <v>4733</v>
      </c>
    </row>
    <row r="2057" spans="1:7" x14ac:dyDescent="0.25">
      <c r="A2057">
        <v>1385</v>
      </c>
      <c r="B2057">
        <v>52056</v>
      </c>
      <c r="C2057" s="2">
        <v>45427.216738912961</v>
      </c>
      <c r="D2057">
        <v>34</v>
      </c>
      <c r="E2057" t="s">
        <v>8</v>
      </c>
      <c r="F2057" t="s">
        <v>9</v>
      </c>
      <c r="G2057">
        <v>3614</v>
      </c>
    </row>
    <row r="2058" spans="1:7" x14ac:dyDescent="0.25">
      <c r="A2058">
        <v>1435</v>
      </c>
      <c r="B2058">
        <v>52057</v>
      </c>
      <c r="C2058" s="2">
        <v>45427.460153384447</v>
      </c>
      <c r="D2058">
        <v>50</v>
      </c>
      <c r="E2058" t="s">
        <v>7</v>
      </c>
      <c r="F2058" t="s">
        <v>9</v>
      </c>
      <c r="G2058">
        <v>3736</v>
      </c>
    </row>
    <row r="2059" spans="1:7" x14ac:dyDescent="0.25">
      <c r="A2059">
        <v>1408</v>
      </c>
      <c r="B2059">
        <v>52058</v>
      </c>
      <c r="C2059" s="2">
        <v>45427.703567855948</v>
      </c>
      <c r="D2059">
        <v>28</v>
      </c>
      <c r="E2059" t="s">
        <v>8</v>
      </c>
      <c r="F2059" t="s">
        <v>12</v>
      </c>
      <c r="G2059">
        <v>1973</v>
      </c>
    </row>
    <row r="2060" spans="1:7" x14ac:dyDescent="0.25">
      <c r="A2060">
        <v>1483</v>
      </c>
      <c r="B2060">
        <v>52059</v>
      </c>
      <c r="C2060" s="2">
        <v>45427.946982327441</v>
      </c>
      <c r="D2060">
        <v>45</v>
      </c>
      <c r="E2060" t="s">
        <v>8</v>
      </c>
      <c r="F2060" t="s">
        <v>11</v>
      </c>
      <c r="G2060">
        <v>2263</v>
      </c>
    </row>
    <row r="2061" spans="1:7" x14ac:dyDescent="0.25">
      <c r="A2061">
        <v>1017</v>
      </c>
      <c r="B2061">
        <v>52060</v>
      </c>
      <c r="C2061" s="2">
        <v>45428.19039679892</v>
      </c>
      <c r="D2061">
        <v>49</v>
      </c>
      <c r="E2061" t="s">
        <v>7</v>
      </c>
      <c r="F2061" t="s">
        <v>9</v>
      </c>
      <c r="G2061">
        <v>2044</v>
      </c>
    </row>
    <row r="2062" spans="1:7" x14ac:dyDescent="0.25">
      <c r="A2062">
        <v>1148</v>
      </c>
      <c r="B2062">
        <v>52061</v>
      </c>
      <c r="C2062" s="2">
        <v>45428.433811270414</v>
      </c>
      <c r="D2062">
        <v>18</v>
      </c>
      <c r="E2062" t="s">
        <v>7</v>
      </c>
      <c r="F2062" t="s">
        <v>12</v>
      </c>
      <c r="G2062">
        <v>2758</v>
      </c>
    </row>
    <row r="2063" spans="1:7" x14ac:dyDescent="0.25">
      <c r="A2063">
        <v>1277</v>
      </c>
      <c r="B2063">
        <v>52062</v>
      </c>
      <c r="C2063" s="2">
        <v>45428.677225741907</v>
      </c>
      <c r="D2063">
        <v>64</v>
      </c>
      <c r="E2063" t="s">
        <v>7</v>
      </c>
      <c r="F2063" t="s">
        <v>11</v>
      </c>
      <c r="G2063">
        <v>1462</v>
      </c>
    </row>
    <row r="2064" spans="1:7" x14ac:dyDescent="0.25">
      <c r="A2064">
        <v>1232</v>
      </c>
      <c r="B2064">
        <v>52063</v>
      </c>
      <c r="C2064" s="2">
        <v>45428.9206402134</v>
      </c>
      <c r="D2064">
        <v>45</v>
      </c>
      <c r="E2064" t="s">
        <v>7</v>
      </c>
      <c r="F2064" t="s">
        <v>12</v>
      </c>
      <c r="G2064">
        <v>3491</v>
      </c>
    </row>
    <row r="2065" spans="1:7" x14ac:dyDescent="0.25">
      <c r="A2065">
        <v>1366</v>
      </c>
      <c r="B2065">
        <v>52064</v>
      </c>
      <c r="C2065" s="2">
        <v>45429.164054684887</v>
      </c>
      <c r="D2065">
        <v>59</v>
      </c>
      <c r="E2065" t="s">
        <v>7</v>
      </c>
      <c r="F2065" t="s">
        <v>10</v>
      </c>
      <c r="G2065">
        <v>1218</v>
      </c>
    </row>
    <row r="2066" spans="1:7" x14ac:dyDescent="0.25">
      <c r="A2066">
        <v>1228</v>
      </c>
      <c r="B2066">
        <v>52065</v>
      </c>
      <c r="C2066" s="2">
        <v>45429.40746915638</v>
      </c>
      <c r="D2066">
        <v>24</v>
      </c>
      <c r="E2066" t="s">
        <v>8</v>
      </c>
      <c r="F2066" t="s">
        <v>11</v>
      </c>
      <c r="G2066">
        <v>1989</v>
      </c>
    </row>
    <row r="2067" spans="1:7" x14ac:dyDescent="0.25">
      <c r="A2067">
        <v>1436</v>
      </c>
      <c r="B2067">
        <v>52066</v>
      </c>
      <c r="C2067" s="2">
        <v>45429.650883627874</v>
      </c>
      <c r="D2067">
        <v>19</v>
      </c>
      <c r="E2067" t="s">
        <v>7</v>
      </c>
      <c r="F2067" t="s">
        <v>9</v>
      </c>
      <c r="G2067">
        <v>3724</v>
      </c>
    </row>
    <row r="2068" spans="1:7" x14ac:dyDescent="0.25">
      <c r="A2068">
        <v>1399</v>
      </c>
      <c r="B2068">
        <v>52067</v>
      </c>
      <c r="C2068" s="2">
        <v>45429.894298099367</v>
      </c>
      <c r="D2068">
        <v>59</v>
      </c>
      <c r="E2068" t="s">
        <v>7</v>
      </c>
      <c r="F2068" t="s">
        <v>9</v>
      </c>
      <c r="G2068">
        <v>3704</v>
      </c>
    </row>
    <row r="2069" spans="1:7" x14ac:dyDescent="0.25">
      <c r="A2069">
        <v>1211</v>
      </c>
      <c r="B2069">
        <v>52068</v>
      </c>
      <c r="C2069" s="2">
        <v>45430.137712570853</v>
      </c>
      <c r="D2069">
        <v>41</v>
      </c>
      <c r="E2069" t="s">
        <v>7</v>
      </c>
      <c r="F2069" t="s">
        <v>10</v>
      </c>
      <c r="G2069">
        <v>1006</v>
      </c>
    </row>
    <row r="2070" spans="1:7" x14ac:dyDescent="0.25">
      <c r="A2070">
        <v>1391</v>
      </c>
      <c r="B2070">
        <v>52069</v>
      </c>
      <c r="C2070" s="2">
        <v>45430.381127042339</v>
      </c>
      <c r="D2070">
        <v>21</v>
      </c>
      <c r="E2070" t="s">
        <v>8</v>
      </c>
      <c r="F2070" t="s">
        <v>11</v>
      </c>
      <c r="G2070">
        <v>2866</v>
      </c>
    </row>
    <row r="2071" spans="1:7" x14ac:dyDescent="0.25">
      <c r="A2071">
        <v>1499</v>
      </c>
      <c r="B2071">
        <v>52070</v>
      </c>
      <c r="C2071" s="2">
        <v>45430.624541513833</v>
      </c>
      <c r="D2071">
        <v>61</v>
      </c>
      <c r="E2071" t="s">
        <v>7</v>
      </c>
      <c r="F2071" t="s">
        <v>12</v>
      </c>
      <c r="G2071">
        <v>604</v>
      </c>
    </row>
    <row r="2072" spans="1:7" x14ac:dyDescent="0.25">
      <c r="A2072">
        <v>1540</v>
      </c>
      <c r="B2072">
        <v>52071</v>
      </c>
      <c r="C2072" s="2">
        <v>45430.867955985334</v>
      </c>
      <c r="D2072">
        <v>36</v>
      </c>
      <c r="E2072" t="s">
        <v>7</v>
      </c>
      <c r="F2072" t="s">
        <v>9</v>
      </c>
      <c r="G2072">
        <v>793</v>
      </c>
    </row>
    <row r="2073" spans="1:7" x14ac:dyDescent="0.25">
      <c r="A2073">
        <v>1563</v>
      </c>
      <c r="B2073">
        <v>52072</v>
      </c>
      <c r="C2073" s="2">
        <v>45431.11137045682</v>
      </c>
      <c r="D2073">
        <v>43</v>
      </c>
      <c r="E2073" t="s">
        <v>7</v>
      </c>
      <c r="F2073" t="s">
        <v>10</v>
      </c>
      <c r="G2073">
        <v>4149</v>
      </c>
    </row>
    <row r="2074" spans="1:7" x14ac:dyDescent="0.25">
      <c r="A2074">
        <v>1491</v>
      </c>
      <c r="B2074">
        <v>52073</v>
      </c>
      <c r="C2074" s="2">
        <v>45431.354784928299</v>
      </c>
      <c r="D2074">
        <v>28</v>
      </c>
      <c r="E2074" t="s">
        <v>8</v>
      </c>
      <c r="F2074" t="s">
        <v>10</v>
      </c>
      <c r="G2074">
        <v>4307</v>
      </c>
    </row>
    <row r="2075" spans="1:7" x14ac:dyDescent="0.25">
      <c r="A2075">
        <v>1442</v>
      </c>
      <c r="B2075">
        <v>52074</v>
      </c>
      <c r="C2075" s="2">
        <v>45431.598199399792</v>
      </c>
      <c r="D2075">
        <v>57</v>
      </c>
      <c r="E2075" t="s">
        <v>7</v>
      </c>
      <c r="F2075" t="s">
        <v>11</v>
      </c>
      <c r="G2075">
        <v>3480</v>
      </c>
    </row>
    <row r="2076" spans="1:7" x14ac:dyDescent="0.25">
      <c r="A2076">
        <v>1261</v>
      </c>
      <c r="B2076">
        <v>52075</v>
      </c>
      <c r="C2076" s="2">
        <v>45431.841613871293</v>
      </c>
      <c r="D2076">
        <v>60</v>
      </c>
      <c r="E2076" t="s">
        <v>7</v>
      </c>
      <c r="F2076" t="s">
        <v>11</v>
      </c>
      <c r="G2076">
        <v>2412</v>
      </c>
    </row>
    <row r="2077" spans="1:7" x14ac:dyDescent="0.25">
      <c r="A2077">
        <v>1350</v>
      </c>
      <c r="B2077">
        <v>52076</v>
      </c>
      <c r="C2077" s="2">
        <v>45432.085028342779</v>
      </c>
      <c r="D2077">
        <v>28</v>
      </c>
      <c r="E2077" t="s">
        <v>7</v>
      </c>
      <c r="F2077" t="s">
        <v>9</v>
      </c>
      <c r="G2077">
        <v>1742</v>
      </c>
    </row>
    <row r="2078" spans="1:7" x14ac:dyDescent="0.25">
      <c r="A2078">
        <v>1352</v>
      </c>
      <c r="B2078">
        <v>52077</v>
      </c>
      <c r="C2078" s="2">
        <v>45432.328442814272</v>
      </c>
      <c r="D2078">
        <v>62</v>
      </c>
      <c r="E2078" t="s">
        <v>8</v>
      </c>
      <c r="F2078" t="s">
        <v>10</v>
      </c>
      <c r="G2078">
        <v>813</v>
      </c>
    </row>
    <row r="2079" spans="1:7" x14ac:dyDescent="0.25">
      <c r="A2079">
        <v>1520</v>
      </c>
      <c r="B2079">
        <v>52078</v>
      </c>
      <c r="C2079" s="2">
        <v>45432.571857285751</v>
      </c>
      <c r="D2079">
        <v>20</v>
      </c>
      <c r="E2079" t="s">
        <v>8</v>
      </c>
      <c r="F2079" t="s">
        <v>12</v>
      </c>
      <c r="G2079">
        <v>1068</v>
      </c>
    </row>
    <row r="2080" spans="1:7" x14ac:dyDescent="0.25">
      <c r="A2080">
        <v>1320</v>
      </c>
      <c r="B2080">
        <v>52079</v>
      </c>
      <c r="C2080" s="2">
        <v>45432.815271757237</v>
      </c>
      <c r="D2080">
        <v>29</v>
      </c>
      <c r="E2080" t="s">
        <v>8</v>
      </c>
      <c r="F2080" t="s">
        <v>10</v>
      </c>
      <c r="G2080">
        <v>1011</v>
      </c>
    </row>
    <row r="2081" spans="1:7" x14ac:dyDescent="0.25">
      <c r="A2081">
        <v>1138</v>
      </c>
      <c r="B2081">
        <v>52080</v>
      </c>
      <c r="C2081" s="2">
        <v>45433.058686228738</v>
      </c>
      <c r="D2081">
        <v>20</v>
      </c>
      <c r="E2081" t="s">
        <v>8</v>
      </c>
      <c r="F2081" t="s">
        <v>12</v>
      </c>
      <c r="G2081">
        <v>2022</v>
      </c>
    </row>
    <row r="2082" spans="1:7" x14ac:dyDescent="0.25">
      <c r="A2082">
        <v>1550</v>
      </c>
      <c r="B2082">
        <v>52081</v>
      </c>
      <c r="C2082" s="2">
        <v>45433.302100700232</v>
      </c>
      <c r="D2082">
        <v>59</v>
      </c>
      <c r="E2082" t="s">
        <v>7</v>
      </c>
      <c r="F2082" t="s">
        <v>12</v>
      </c>
      <c r="G2082">
        <v>4377</v>
      </c>
    </row>
    <row r="2083" spans="1:7" x14ac:dyDescent="0.25">
      <c r="A2083">
        <v>1368</v>
      </c>
      <c r="B2083">
        <v>52082</v>
      </c>
      <c r="C2083" s="2">
        <v>45433.545515171711</v>
      </c>
      <c r="D2083">
        <v>44</v>
      </c>
      <c r="E2083" t="s">
        <v>7</v>
      </c>
      <c r="F2083" t="s">
        <v>9</v>
      </c>
      <c r="G2083">
        <v>1944</v>
      </c>
    </row>
    <row r="2084" spans="1:7" x14ac:dyDescent="0.25">
      <c r="A2084">
        <v>1220</v>
      </c>
      <c r="B2084">
        <v>52083</v>
      </c>
      <c r="C2084" s="2">
        <v>45433.788929643197</v>
      </c>
      <c r="D2084">
        <v>19</v>
      </c>
      <c r="E2084" t="s">
        <v>8</v>
      </c>
      <c r="F2084" t="s">
        <v>10</v>
      </c>
      <c r="G2084">
        <v>2456</v>
      </c>
    </row>
    <row r="2085" spans="1:7" x14ac:dyDescent="0.25">
      <c r="A2085">
        <v>1337</v>
      </c>
      <c r="B2085">
        <v>52084</v>
      </c>
      <c r="C2085" s="2">
        <v>45434.032344114697</v>
      </c>
      <c r="D2085">
        <v>33</v>
      </c>
      <c r="E2085" t="s">
        <v>8</v>
      </c>
      <c r="F2085" t="s">
        <v>12</v>
      </c>
      <c r="G2085">
        <v>4242</v>
      </c>
    </row>
    <row r="2086" spans="1:7" x14ac:dyDescent="0.25">
      <c r="A2086">
        <v>1223</v>
      </c>
      <c r="B2086">
        <v>52085</v>
      </c>
      <c r="C2086" s="2">
        <v>45434.275758586191</v>
      </c>
      <c r="D2086">
        <v>19</v>
      </c>
      <c r="E2086" t="s">
        <v>7</v>
      </c>
      <c r="F2086" t="s">
        <v>11</v>
      </c>
      <c r="G2086">
        <v>3867</v>
      </c>
    </row>
    <row r="2087" spans="1:7" x14ac:dyDescent="0.25">
      <c r="A2087">
        <v>1360</v>
      </c>
      <c r="B2087">
        <v>52086</v>
      </c>
      <c r="C2087" s="2">
        <v>45434.519173057677</v>
      </c>
      <c r="D2087">
        <v>47</v>
      </c>
      <c r="E2087" t="s">
        <v>7</v>
      </c>
      <c r="F2087" t="s">
        <v>12</v>
      </c>
      <c r="G2087">
        <v>721</v>
      </c>
    </row>
    <row r="2088" spans="1:7" x14ac:dyDescent="0.25">
      <c r="A2088">
        <v>1329</v>
      </c>
      <c r="B2088">
        <v>52087</v>
      </c>
      <c r="C2088" s="2">
        <v>45434.762587529163</v>
      </c>
      <c r="D2088">
        <v>37</v>
      </c>
      <c r="E2088" t="s">
        <v>8</v>
      </c>
      <c r="F2088" t="s">
        <v>11</v>
      </c>
      <c r="G2088">
        <v>1725</v>
      </c>
    </row>
    <row r="2089" spans="1:7" x14ac:dyDescent="0.25">
      <c r="A2089">
        <v>1463</v>
      </c>
      <c r="B2089">
        <v>52088</v>
      </c>
      <c r="C2089" s="2">
        <v>45435.006002000657</v>
      </c>
      <c r="D2089">
        <v>55</v>
      </c>
      <c r="E2089" t="s">
        <v>8</v>
      </c>
      <c r="F2089" t="s">
        <v>11</v>
      </c>
      <c r="G2089">
        <v>1669</v>
      </c>
    </row>
    <row r="2090" spans="1:7" x14ac:dyDescent="0.25">
      <c r="A2090">
        <v>1561</v>
      </c>
      <c r="B2090">
        <v>52089</v>
      </c>
      <c r="C2090" s="2">
        <v>45435.24941647215</v>
      </c>
      <c r="D2090">
        <v>45</v>
      </c>
      <c r="E2090" t="s">
        <v>8</v>
      </c>
      <c r="F2090" t="s">
        <v>10</v>
      </c>
      <c r="G2090">
        <v>2875</v>
      </c>
    </row>
    <row r="2091" spans="1:7" x14ac:dyDescent="0.25">
      <c r="A2091">
        <v>1382</v>
      </c>
      <c r="B2091">
        <v>52090</v>
      </c>
      <c r="C2091" s="2">
        <v>45435.492830943636</v>
      </c>
      <c r="D2091">
        <v>42</v>
      </c>
      <c r="E2091" t="s">
        <v>8</v>
      </c>
      <c r="F2091" t="s">
        <v>11</v>
      </c>
      <c r="G2091">
        <v>1713</v>
      </c>
    </row>
    <row r="2092" spans="1:7" x14ac:dyDescent="0.25">
      <c r="A2092">
        <v>1590</v>
      </c>
      <c r="B2092">
        <v>52091</v>
      </c>
      <c r="C2092" s="2">
        <v>45435.73624541513</v>
      </c>
      <c r="D2092">
        <v>49</v>
      </c>
      <c r="E2092" t="s">
        <v>7</v>
      </c>
      <c r="F2092" t="s">
        <v>12</v>
      </c>
      <c r="G2092">
        <v>1651</v>
      </c>
    </row>
    <row r="2093" spans="1:7" x14ac:dyDescent="0.25">
      <c r="A2093">
        <v>1169</v>
      </c>
      <c r="B2093">
        <v>52092</v>
      </c>
      <c r="C2093" s="2">
        <v>45435.979659886623</v>
      </c>
      <c r="D2093">
        <v>27</v>
      </c>
      <c r="E2093" t="s">
        <v>8</v>
      </c>
      <c r="F2093" t="s">
        <v>11</v>
      </c>
      <c r="G2093">
        <v>4854</v>
      </c>
    </row>
    <row r="2094" spans="1:7" x14ac:dyDescent="0.25">
      <c r="A2094">
        <v>1217</v>
      </c>
      <c r="B2094">
        <v>52093</v>
      </c>
      <c r="C2094" s="2">
        <v>45436.223074358117</v>
      </c>
      <c r="D2094">
        <v>59</v>
      </c>
      <c r="E2094" t="s">
        <v>8</v>
      </c>
      <c r="F2094" t="s">
        <v>10</v>
      </c>
      <c r="G2094">
        <v>3630</v>
      </c>
    </row>
    <row r="2095" spans="1:7" x14ac:dyDescent="0.25">
      <c r="A2095">
        <v>1378</v>
      </c>
      <c r="B2095">
        <v>52094</v>
      </c>
      <c r="C2095" s="2">
        <v>45436.466488829603</v>
      </c>
      <c r="D2095">
        <v>57</v>
      </c>
      <c r="E2095" t="s">
        <v>7</v>
      </c>
      <c r="F2095" t="s">
        <v>9</v>
      </c>
      <c r="G2095">
        <v>3207</v>
      </c>
    </row>
    <row r="2096" spans="1:7" x14ac:dyDescent="0.25">
      <c r="A2096">
        <v>1119</v>
      </c>
      <c r="B2096">
        <v>52095</v>
      </c>
      <c r="C2096" s="2">
        <v>45436.709903301104</v>
      </c>
      <c r="D2096">
        <v>50</v>
      </c>
      <c r="E2096" t="s">
        <v>7</v>
      </c>
      <c r="F2096" t="s">
        <v>12</v>
      </c>
      <c r="G2096">
        <v>3324</v>
      </c>
    </row>
    <row r="2097" spans="1:7" x14ac:dyDescent="0.25">
      <c r="A2097">
        <v>1190</v>
      </c>
      <c r="B2097">
        <v>52096</v>
      </c>
      <c r="C2097" s="2">
        <v>45436.953317772583</v>
      </c>
      <c r="D2097">
        <v>30</v>
      </c>
      <c r="E2097" t="s">
        <v>7</v>
      </c>
      <c r="F2097" t="s">
        <v>12</v>
      </c>
      <c r="G2097">
        <v>1953</v>
      </c>
    </row>
    <row r="2098" spans="1:7" x14ac:dyDescent="0.25">
      <c r="A2098">
        <v>1370</v>
      </c>
      <c r="B2098">
        <v>52097</v>
      </c>
      <c r="C2098" s="2">
        <v>45437.196732244083</v>
      </c>
      <c r="D2098">
        <v>58</v>
      </c>
      <c r="E2098" t="s">
        <v>7</v>
      </c>
      <c r="F2098" t="s">
        <v>10</v>
      </c>
      <c r="G2098">
        <v>1812</v>
      </c>
    </row>
    <row r="2099" spans="1:7" x14ac:dyDescent="0.25">
      <c r="A2099">
        <v>1149</v>
      </c>
      <c r="B2099">
        <v>52098</v>
      </c>
      <c r="C2099" s="2">
        <v>45437.440146715569</v>
      </c>
      <c r="D2099">
        <v>59</v>
      </c>
      <c r="E2099" t="s">
        <v>7</v>
      </c>
      <c r="F2099" t="s">
        <v>10</v>
      </c>
      <c r="G2099">
        <v>3475</v>
      </c>
    </row>
    <row r="2100" spans="1:7" x14ac:dyDescent="0.25">
      <c r="A2100">
        <v>1488</v>
      </c>
      <c r="B2100">
        <v>52099</v>
      </c>
      <c r="C2100" s="2">
        <v>45437.683561187063</v>
      </c>
      <c r="D2100">
        <v>64</v>
      </c>
      <c r="E2100" t="s">
        <v>8</v>
      </c>
      <c r="F2100" t="s">
        <v>10</v>
      </c>
      <c r="G2100">
        <v>755</v>
      </c>
    </row>
    <row r="2101" spans="1:7" x14ac:dyDescent="0.25">
      <c r="A2101">
        <v>1374</v>
      </c>
      <c r="B2101">
        <v>52100</v>
      </c>
      <c r="C2101" s="2">
        <v>45437.926975658542</v>
      </c>
      <c r="D2101">
        <v>54</v>
      </c>
      <c r="E2101" t="s">
        <v>8</v>
      </c>
      <c r="F2101" t="s">
        <v>10</v>
      </c>
      <c r="G2101">
        <v>4451</v>
      </c>
    </row>
    <row r="2102" spans="1:7" x14ac:dyDescent="0.25">
      <c r="A2102">
        <v>1160</v>
      </c>
      <c r="B2102">
        <v>52101</v>
      </c>
      <c r="C2102" s="2">
        <v>45438.170390130043</v>
      </c>
      <c r="D2102">
        <v>33</v>
      </c>
      <c r="E2102" t="s">
        <v>8</v>
      </c>
      <c r="F2102" t="s">
        <v>12</v>
      </c>
      <c r="G2102">
        <v>2249</v>
      </c>
    </row>
    <row r="2103" spans="1:7" x14ac:dyDescent="0.25">
      <c r="A2103">
        <v>1351</v>
      </c>
      <c r="B2103">
        <v>52102</v>
      </c>
      <c r="C2103" s="2">
        <v>45438.413804601529</v>
      </c>
      <c r="D2103">
        <v>62</v>
      </c>
      <c r="E2103" t="s">
        <v>7</v>
      </c>
      <c r="F2103" t="s">
        <v>9</v>
      </c>
      <c r="G2103">
        <v>1024</v>
      </c>
    </row>
    <row r="2104" spans="1:7" x14ac:dyDescent="0.25">
      <c r="A2104">
        <v>1288</v>
      </c>
      <c r="B2104">
        <v>52103</v>
      </c>
      <c r="C2104" s="2">
        <v>45438.657219073022</v>
      </c>
      <c r="D2104">
        <v>39</v>
      </c>
      <c r="E2104" t="s">
        <v>8</v>
      </c>
      <c r="F2104" t="s">
        <v>11</v>
      </c>
      <c r="G2104">
        <v>3049</v>
      </c>
    </row>
    <row r="2105" spans="1:7" x14ac:dyDescent="0.25">
      <c r="A2105">
        <v>1288</v>
      </c>
      <c r="B2105">
        <v>52104</v>
      </c>
      <c r="C2105" s="2">
        <v>45438.900633544523</v>
      </c>
      <c r="D2105">
        <v>37</v>
      </c>
      <c r="E2105" t="s">
        <v>7</v>
      </c>
      <c r="F2105" t="s">
        <v>11</v>
      </c>
      <c r="G2105">
        <v>3230</v>
      </c>
    </row>
    <row r="2106" spans="1:7" x14ac:dyDescent="0.25">
      <c r="A2106">
        <v>1226</v>
      </c>
      <c r="B2106">
        <v>52105</v>
      </c>
      <c r="C2106" s="2">
        <v>45439.144048015987</v>
      </c>
      <c r="D2106">
        <v>60</v>
      </c>
      <c r="E2106" t="s">
        <v>8</v>
      </c>
      <c r="F2106" t="s">
        <v>9</v>
      </c>
      <c r="G2106">
        <v>1281</v>
      </c>
    </row>
    <row r="2107" spans="1:7" x14ac:dyDescent="0.25">
      <c r="A2107">
        <v>1523</v>
      </c>
      <c r="B2107">
        <v>52106</v>
      </c>
      <c r="C2107" s="2">
        <v>45439.387462487488</v>
      </c>
      <c r="D2107">
        <v>44</v>
      </c>
      <c r="E2107" t="s">
        <v>8</v>
      </c>
      <c r="F2107" t="s">
        <v>9</v>
      </c>
      <c r="G2107">
        <v>3525</v>
      </c>
    </row>
    <row r="2108" spans="1:7" x14ac:dyDescent="0.25">
      <c r="A2108">
        <v>1522</v>
      </c>
      <c r="B2108">
        <v>52107</v>
      </c>
      <c r="C2108" s="2">
        <v>45439.630876958981</v>
      </c>
      <c r="D2108">
        <v>58</v>
      </c>
      <c r="E2108" t="s">
        <v>7</v>
      </c>
      <c r="F2108" t="s">
        <v>9</v>
      </c>
      <c r="G2108">
        <v>692</v>
      </c>
    </row>
    <row r="2109" spans="1:7" x14ac:dyDescent="0.25">
      <c r="A2109">
        <v>1273</v>
      </c>
      <c r="B2109">
        <v>52108</v>
      </c>
      <c r="C2109" s="2">
        <v>45439.874291430468</v>
      </c>
      <c r="D2109">
        <v>33</v>
      </c>
      <c r="E2109" t="s">
        <v>7</v>
      </c>
      <c r="F2109" t="s">
        <v>10</v>
      </c>
      <c r="G2109">
        <v>4964</v>
      </c>
    </row>
    <row r="2110" spans="1:7" x14ac:dyDescent="0.25">
      <c r="A2110">
        <v>1402</v>
      </c>
      <c r="B2110">
        <v>52109</v>
      </c>
      <c r="C2110" s="2">
        <v>45440.117705901946</v>
      </c>
      <c r="D2110">
        <v>51</v>
      </c>
      <c r="E2110" t="s">
        <v>8</v>
      </c>
      <c r="F2110" t="s">
        <v>12</v>
      </c>
      <c r="G2110">
        <v>274</v>
      </c>
    </row>
    <row r="2111" spans="1:7" x14ac:dyDescent="0.25">
      <c r="A2111">
        <v>1183</v>
      </c>
      <c r="B2111">
        <v>52110</v>
      </c>
      <c r="C2111" s="2">
        <v>45440.361120373447</v>
      </c>
      <c r="D2111">
        <v>49</v>
      </c>
      <c r="E2111" t="s">
        <v>8</v>
      </c>
      <c r="F2111" t="s">
        <v>12</v>
      </c>
      <c r="G2111">
        <v>3191</v>
      </c>
    </row>
    <row r="2112" spans="1:7" x14ac:dyDescent="0.25">
      <c r="A2112">
        <v>1488</v>
      </c>
      <c r="B2112">
        <v>52111</v>
      </c>
      <c r="C2112" s="2">
        <v>45440.604534844941</v>
      </c>
      <c r="D2112">
        <v>43</v>
      </c>
      <c r="E2112" t="s">
        <v>8</v>
      </c>
      <c r="F2112" t="s">
        <v>12</v>
      </c>
      <c r="G2112">
        <v>3560</v>
      </c>
    </row>
    <row r="2113" spans="1:7" x14ac:dyDescent="0.25">
      <c r="A2113">
        <v>1124</v>
      </c>
      <c r="B2113">
        <v>52112</v>
      </c>
      <c r="C2113" s="2">
        <v>45440.847949316427</v>
      </c>
      <c r="D2113">
        <v>42</v>
      </c>
      <c r="E2113" t="s">
        <v>8</v>
      </c>
      <c r="F2113" t="s">
        <v>10</v>
      </c>
      <c r="G2113">
        <v>570</v>
      </c>
    </row>
    <row r="2114" spans="1:7" x14ac:dyDescent="0.25">
      <c r="A2114">
        <v>1414</v>
      </c>
      <c r="B2114">
        <v>52113</v>
      </c>
      <c r="C2114" s="2">
        <v>45441.091363787928</v>
      </c>
      <c r="D2114">
        <v>19</v>
      </c>
      <c r="E2114" t="s">
        <v>8</v>
      </c>
      <c r="F2114" t="s">
        <v>12</v>
      </c>
      <c r="G2114">
        <v>4882</v>
      </c>
    </row>
    <row r="2115" spans="1:7" x14ac:dyDescent="0.25">
      <c r="A2115">
        <v>1172</v>
      </c>
      <c r="B2115">
        <v>52114</v>
      </c>
      <c r="C2115" s="2">
        <v>45441.334778259406</v>
      </c>
      <c r="D2115">
        <v>29</v>
      </c>
      <c r="E2115" t="s">
        <v>7</v>
      </c>
      <c r="F2115" t="s">
        <v>10</v>
      </c>
      <c r="G2115">
        <v>528</v>
      </c>
    </row>
    <row r="2116" spans="1:7" x14ac:dyDescent="0.25">
      <c r="A2116">
        <v>1288</v>
      </c>
      <c r="B2116">
        <v>52115</v>
      </c>
      <c r="C2116" s="2">
        <v>45441.5781927309</v>
      </c>
      <c r="D2116">
        <v>57</v>
      </c>
      <c r="E2116" t="s">
        <v>7</v>
      </c>
      <c r="F2116" t="s">
        <v>12</v>
      </c>
      <c r="G2116">
        <v>4885</v>
      </c>
    </row>
    <row r="2117" spans="1:7" x14ac:dyDescent="0.25">
      <c r="A2117">
        <v>1435</v>
      </c>
      <c r="B2117">
        <v>52116</v>
      </c>
      <c r="C2117" s="2">
        <v>45441.821607202393</v>
      </c>
      <c r="D2117">
        <v>26</v>
      </c>
      <c r="E2117" t="s">
        <v>7</v>
      </c>
      <c r="F2117" t="s">
        <v>9</v>
      </c>
      <c r="G2117">
        <v>1990</v>
      </c>
    </row>
    <row r="2118" spans="1:7" x14ac:dyDescent="0.25">
      <c r="A2118">
        <v>1113</v>
      </c>
      <c r="B2118">
        <v>52117</v>
      </c>
      <c r="C2118" s="2">
        <v>45442.065021673887</v>
      </c>
      <c r="D2118">
        <v>29</v>
      </c>
      <c r="E2118" t="s">
        <v>7</v>
      </c>
      <c r="F2118" t="s">
        <v>11</v>
      </c>
      <c r="G2118">
        <v>976</v>
      </c>
    </row>
    <row r="2119" spans="1:7" x14ac:dyDescent="0.25">
      <c r="A2119">
        <v>1122</v>
      </c>
      <c r="B2119">
        <v>52118</v>
      </c>
      <c r="C2119" s="2">
        <v>45442.308436145373</v>
      </c>
      <c r="D2119">
        <v>43</v>
      </c>
      <c r="E2119" t="s">
        <v>8</v>
      </c>
      <c r="F2119" t="s">
        <v>11</v>
      </c>
      <c r="G2119">
        <v>2222</v>
      </c>
    </row>
    <row r="2120" spans="1:7" x14ac:dyDescent="0.25">
      <c r="A2120">
        <v>1544</v>
      </c>
      <c r="B2120">
        <v>52119</v>
      </c>
      <c r="C2120" s="2">
        <v>45442.551850616866</v>
      </c>
      <c r="D2120">
        <v>26</v>
      </c>
      <c r="E2120" t="s">
        <v>8</v>
      </c>
      <c r="F2120" t="s">
        <v>10</v>
      </c>
      <c r="G2120">
        <v>4874</v>
      </c>
    </row>
    <row r="2121" spans="1:7" x14ac:dyDescent="0.25">
      <c r="A2121">
        <v>1222</v>
      </c>
      <c r="B2121">
        <v>52120</v>
      </c>
      <c r="C2121" s="2">
        <v>45442.79526508836</v>
      </c>
      <c r="D2121">
        <v>27</v>
      </c>
      <c r="E2121" t="s">
        <v>7</v>
      </c>
      <c r="F2121" t="s">
        <v>12</v>
      </c>
      <c r="G2121">
        <v>4516</v>
      </c>
    </row>
    <row r="2122" spans="1:7" x14ac:dyDescent="0.25">
      <c r="A2122">
        <v>1039</v>
      </c>
      <c r="B2122">
        <v>52121</v>
      </c>
      <c r="C2122" s="2">
        <v>45443.038679559853</v>
      </c>
      <c r="D2122">
        <v>49</v>
      </c>
      <c r="E2122" t="s">
        <v>8</v>
      </c>
      <c r="F2122" t="s">
        <v>11</v>
      </c>
      <c r="G2122">
        <v>1387</v>
      </c>
    </row>
    <row r="2123" spans="1:7" x14ac:dyDescent="0.25">
      <c r="A2123">
        <v>1497</v>
      </c>
      <c r="B2123">
        <v>52122</v>
      </c>
      <c r="C2123" s="2">
        <v>45443.28209403134</v>
      </c>
      <c r="D2123">
        <v>51</v>
      </c>
      <c r="E2123" t="s">
        <v>7</v>
      </c>
      <c r="F2123" t="s">
        <v>9</v>
      </c>
      <c r="G2123">
        <v>1703</v>
      </c>
    </row>
    <row r="2124" spans="1:7" x14ac:dyDescent="0.25">
      <c r="A2124">
        <v>1233</v>
      </c>
      <c r="B2124">
        <v>52123</v>
      </c>
      <c r="C2124" s="2">
        <v>45443.525508502833</v>
      </c>
      <c r="D2124">
        <v>37</v>
      </c>
      <c r="E2124" t="s">
        <v>8</v>
      </c>
      <c r="F2124" t="s">
        <v>9</v>
      </c>
      <c r="G2124">
        <v>3491</v>
      </c>
    </row>
    <row r="2125" spans="1:7" x14ac:dyDescent="0.25">
      <c r="A2125">
        <v>1530</v>
      </c>
      <c r="B2125">
        <v>52124</v>
      </c>
      <c r="C2125" s="2">
        <v>45443.768922974319</v>
      </c>
      <c r="D2125">
        <v>56</v>
      </c>
      <c r="E2125" t="s">
        <v>8</v>
      </c>
      <c r="F2125" t="s">
        <v>9</v>
      </c>
      <c r="G2125">
        <v>3525</v>
      </c>
    </row>
    <row r="2126" spans="1:7" x14ac:dyDescent="0.25">
      <c r="A2126">
        <v>1149</v>
      </c>
      <c r="B2126">
        <v>52125</v>
      </c>
      <c r="C2126" s="2">
        <v>45444.012337445813</v>
      </c>
      <c r="D2126">
        <v>19</v>
      </c>
      <c r="E2126" t="s">
        <v>8</v>
      </c>
      <c r="F2126" t="s">
        <v>10</v>
      </c>
      <c r="G2126">
        <v>387</v>
      </c>
    </row>
    <row r="2127" spans="1:7" x14ac:dyDescent="0.25">
      <c r="A2127">
        <v>1397</v>
      </c>
      <c r="B2127">
        <v>52126</v>
      </c>
      <c r="C2127" s="2">
        <v>45444.255751917313</v>
      </c>
      <c r="D2127">
        <v>18</v>
      </c>
      <c r="E2127" t="s">
        <v>7</v>
      </c>
      <c r="F2127" t="s">
        <v>10</v>
      </c>
      <c r="G2127">
        <v>1414</v>
      </c>
    </row>
    <row r="2128" spans="1:7" x14ac:dyDescent="0.25">
      <c r="A2128">
        <v>1302</v>
      </c>
      <c r="B2128">
        <v>52127</v>
      </c>
      <c r="C2128" s="2">
        <v>45444.499166388799</v>
      </c>
      <c r="D2128">
        <v>53</v>
      </c>
      <c r="E2128" t="s">
        <v>7</v>
      </c>
      <c r="F2128" t="s">
        <v>12</v>
      </c>
      <c r="G2128">
        <v>3486</v>
      </c>
    </row>
    <row r="2129" spans="1:7" x14ac:dyDescent="0.25">
      <c r="A2129">
        <v>1360</v>
      </c>
      <c r="B2129">
        <v>52128</v>
      </c>
      <c r="C2129" s="2">
        <v>45444.742580860278</v>
      </c>
      <c r="D2129">
        <v>41</v>
      </c>
      <c r="E2129" t="s">
        <v>7</v>
      </c>
      <c r="F2129" t="s">
        <v>9</v>
      </c>
      <c r="G2129">
        <v>3646</v>
      </c>
    </row>
    <row r="2130" spans="1:7" x14ac:dyDescent="0.25">
      <c r="A2130">
        <v>1238</v>
      </c>
      <c r="B2130">
        <v>52129</v>
      </c>
      <c r="C2130" s="2">
        <v>45444.985995331772</v>
      </c>
      <c r="D2130">
        <v>44</v>
      </c>
      <c r="E2130" t="s">
        <v>7</v>
      </c>
      <c r="F2130" t="s">
        <v>12</v>
      </c>
      <c r="G2130">
        <v>1309</v>
      </c>
    </row>
    <row r="2131" spans="1:7" x14ac:dyDescent="0.25">
      <c r="A2131">
        <v>1236</v>
      </c>
      <c r="B2131">
        <v>52130</v>
      </c>
      <c r="C2131" s="2">
        <v>45445.229409803273</v>
      </c>
      <c r="D2131">
        <v>19</v>
      </c>
      <c r="E2131" t="s">
        <v>8</v>
      </c>
      <c r="F2131" t="s">
        <v>12</v>
      </c>
      <c r="G2131">
        <v>2721</v>
      </c>
    </row>
    <row r="2132" spans="1:7" x14ac:dyDescent="0.25">
      <c r="A2132">
        <v>1203</v>
      </c>
      <c r="B2132">
        <v>52131</v>
      </c>
      <c r="C2132" s="2">
        <v>45445.472824274759</v>
      </c>
      <c r="D2132">
        <v>48</v>
      </c>
      <c r="E2132" t="s">
        <v>8</v>
      </c>
      <c r="F2132" t="s">
        <v>9</v>
      </c>
      <c r="G2132">
        <v>4079</v>
      </c>
    </row>
    <row r="2133" spans="1:7" x14ac:dyDescent="0.25">
      <c r="A2133">
        <v>1256</v>
      </c>
      <c r="B2133">
        <v>52132</v>
      </c>
      <c r="C2133" s="2">
        <v>45445.716238746238</v>
      </c>
      <c r="D2133">
        <v>31</v>
      </c>
      <c r="E2133" t="s">
        <v>8</v>
      </c>
      <c r="F2133" t="s">
        <v>12</v>
      </c>
      <c r="G2133">
        <v>730</v>
      </c>
    </row>
    <row r="2134" spans="1:7" x14ac:dyDescent="0.25">
      <c r="A2134">
        <v>1598</v>
      </c>
      <c r="B2134">
        <v>52133</v>
      </c>
      <c r="C2134" s="2">
        <v>45445.959653217731</v>
      </c>
      <c r="D2134">
        <v>19</v>
      </c>
      <c r="E2134" t="s">
        <v>8</v>
      </c>
      <c r="F2134" t="s">
        <v>11</v>
      </c>
      <c r="G2134">
        <v>1270</v>
      </c>
    </row>
    <row r="2135" spans="1:7" x14ac:dyDescent="0.25">
      <c r="A2135">
        <v>1235</v>
      </c>
      <c r="B2135">
        <v>52134</v>
      </c>
      <c r="C2135" s="2">
        <v>45446.203067689217</v>
      </c>
      <c r="D2135">
        <v>46</v>
      </c>
      <c r="E2135" t="s">
        <v>7</v>
      </c>
      <c r="F2135" t="s">
        <v>10</v>
      </c>
      <c r="G2135">
        <v>3336</v>
      </c>
    </row>
    <row r="2136" spans="1:7" x14ac:dyDescent="0.25">
      <c r="A2136">
        <v>1345</v>
      </c>
      <c r="B2136">
        <v>52135</v>
      </c>
      <c r="C2136" s="2">
        <v>45446.446482160718</v>
      </c>
      <c r="D2136">
        <v>32</v>
      </c>
      <c r="E2136" t="s">
        <v>8</v>
      </c>
      <c r="F2136" t="s">
        <v>12</v>
      </c>
      <c r="G2136">
        <v>1162</v>
      </c>
    </row>
    <row r="2137" spans="1:7" x14ac:dyDescent="0.25">
      <c r="A2137">
        <v>1534</v>
      </c>
      <c r="B2137">
        <v>52136</v>
      </c>
      <c r="C2137" s="2">
        <v>45446.689896632211</v>
      </c>
      <c r="D2137">
        <v>29</v>
      </c>
      <c r="E2137" t="s">
        <v>8</v>
      </c>
      <c r="F2137" t="s">
        <v>9</v>
      </c>
      <c r="G2137">
        <v>1605</v>
      </c>
    </row>
    <row r="2138" spans="1:7" x14ac:dyDescent="0.25">
      <c r="A2138">
        <v>1466</v>
      </c>
      <c r="B2138">
        <v>52137</v>
      </c>
      <c r="C2138" s="2">
        <v>45446.93331110369</v>
      </c>
      <c r="D2138">
        <v>54</v>
      </c>
      <c r="E2138" t="s">
        <v>8</v>
      </c>
      <c r="F2138" t="s">
        <v>10</v>
      </c>
      <c r="G2138">
        <v>3337</v>
      </c>
    </row>
    <row r="2139" spans="1:7" x14ac:dyDescent="0.25">
      <c r="A2139">
        <v>1541</v>
      </c>
      <c r="B2139">
        <v>52138</v>
      </c>
      <c r="C2139" s="2">
        <v>45447.176725575177</v>
      </c>
      <c r="D2139">
        <v>45</v>
      </c>
      <c r="E2139" t="s">
        <v>7</v>
      </c>
      <c r="F2139" t="s">
        <v>10</v>
      </c>
      <c r="G2139">
        <v>716</v>
      </c>
    </row>
    <row r="2140" spans="1:7" x14ac:dyDescent="0.25">
      <c r="A2140">
        <v>1213</v>
      </c>
      <c r="B2140">
        <v>52139</v>
      </c>
      <c r="C2140" s="2">
        <v>45447.420140046677</v>
      </c>
      <c r="D2140">
        <v>37</v>
      </c>
      <c r="E2140" t="s">
        <v>7</v>
      </c>
      <c r="F2140" t="s">
        <v>12</v>
      </c>
      <c r="G2140">
        <v>3364</v>
      </c>
    </row>
    <row r="2141" spans="1:7" x14ac:dyDescent="0.25">
      <c r="A2141">
        <v>1463</v>
      </c>
      <c r="B2141">
        <v>52140</v>
      </c>
      <c r="C2141" s="2">
        <v>45447.663554518171</v>
      </c>
      <c r="D2141">
        <v>56</v>
      </c>
      <c r="E2141" t="s">
        <v>7</v>
      </c>
      <c r="F2141" t="s">
        <v>11</v>
      </c>
      <c r="G2141">
        <v>1691</v>
      </c>
    </row>
    <row r="2142" spans="1:7" x14ac:dyDescent="0.25">
      <c r="A2142">
        <v>1436</v>
      </c>
      <c r="B2142">
        <v>52141</v>
      </c>
      <c r="C2142" s="2">
        <v>45447.90696898965</v>
      </c>
      <c r="D2142">
        <v>41</v>
      </c>
      <c r="E2142" t="s">
        <v>8</v>
      </c>
      <c r="F2142" t="s">
        <v>12</v>
      </c>
      <c r="G2142">
        <v>3889</v>
      </c>
    </row>
    <row r="2143" spans="1:7" x14ac:dyDescent="0.25">
      <c r="A2143">
        <v>1283</v>
      </c>
      <c r="B2143">
        <v>52142</v>
      </c>
      <c r="C2143" s="2">
        <v>45448.150383461143</v>
      </c>
      <c r="D2143">
        <v>38</v>
      </c>
      <c r="E2143" t="s">
        <v>7</v>
      </c>
      <c r="F2143" t="s">
        <v>11</v>
      </c>
      <c r="G2143">
        <v>4428</v>
      </c>
    </row>
    <row r="2144" spans="1:7" x14ac:dyDescent="0.25">
      <c r="A2144">
        <v>1562</v>
      </c>
      <c r="B2144">
        <v>52143</v>
      </c>
      <c r="C2144" s="2">
        <v>45448.393797932637</v>
      </c>
      <c r="D2144">
        <v>27</v>
      </c>
      <c r="E2144" t="s">
        <v>8</v>
      </c>
      <c r="F2144" t="s">
        <v>10</v>
      </c>
      <c r="G2144">
        <v>4609</v>
      </c>
    </row>
    <row r="2145" spans="1:7" x14ac:dyDescent="0.25">
      <c r="A2145">
        <v>1463</v>
      </c>
      <c r="B2145">
        <v>52144</v>
      </c>
      <c r="C2145" s="2">
        <v>45448.63721240413</v>
      </c>
      <c r="D2145">
        <v>63</v>
      </c>
      <c r="E2145" t="s">
        <v>8</v>
      </c>
      <c r="F2145" t="s">
        <v>12</v>
      </c>
      <c r="G2145">
        <v>790</v>
      </c>
    </row>
    <row r="2146" spans="1:7" x14ac:dyDescent="0.25">
      <c r="A2146">
        <v>1407</v>
      </c>
      <c r="B2146">
        <v>52145</v>
      </c>
      <c r="C2146" s="2">
        <v>45448.880626875623</v>
      </c>
      <c r="D2146">
        <v>31</v>
      </c>
      <c r="E2146" t="s">
        <v>8</v>
      </c>
      <c r="F2146" t="s">
        <v>9</v>
      </c>
      <c r="G2146">
        <v>1743</v>
      </c>
    </row>
    <row r="2147" spans="1:7" x14ac:dyDescent="0.25">
      <c r="A2147">
        <v>1088</v>
      </c>
      <c r="B2147">
        <v>52146</v>
      </c>
      <c r="C2147" s="2">
        <v>45449.12404134711</v>
      </c>
      <c r="D2147">
        <v>54</v>
      </c>
      <c r="E2147" t="s">
        <v>7</v>
      </c>
      <c r="F2147" t="s">
        <v>12</v>
      </c>
      <c r="G2147">
        <v>3256</v>
      </c>
    </row>
    <row r="2148" spans="1:7" x14ac:dyDescent="0.25">
      <c r="A2148">
        <v>1044</v>
      </c>
      <c r="B2148">
        <v>52147</v>
      </c>
      <c r="C2148" s="2">
        <v>45449.367455818603</v>
      </c>
      <c r="D2148">
        <v>35</v>
      </c>
      <c r="E2148" t="s">
        <v>7</v>
      </c>
      <c r="F2148" t="s">
        <v>11</v>
      </c>
      <c r="G2148">
        <v>2406</v>
      </c>
    </row>
    <row r="2149" spans="1:7" x14ac:dyDescent="0.25">
      <c r="A2149">
        <v>1461</v>
      </c>
      <c r="B2149">
        <v>52148</v>
      </c>
      <c r="C2149" s="2">
        <v>45449.610870290089</v>
      </c>
      <c r="D2149">
        <v>41</v>
      </c>
      <c r="E2149" t="s">
        <v>8</v>
      </c>
      <c r="F2149" t="s">
        <v>11</v>
      </c>
      <c r="G2149">
        <v>3539</v>
      </c>
    </row>
    <row r="2150" spans="1:7" x14ac:dyDescent="0.25">
      <c r="A2150">
        <v>1278</v>
      </c>
      <c r="B2150">
        <v>52149</v>
      </c>
      <c r="C2150" s="2">
        <v>45449.854284761583</v>
      </c>
      <c r="D2150">
        <v>31</v>
      </c>
      <c r="E2150" t="s">
        <v>8</v>
      </c>
      <c r="F2150" t="s">
        <v>12</v>
      </c>
      <c r="G2150">
        <v>2908</v>
      </c>
    </row>
    <row r="2151" spans="1:7" x14ac:dyDescent="0.25">
      <c r="A2151">
        <v>1421</v>
      </c>
      <c r="B2151">
        <v>52150</v>
      </c>
      <c r="C2151" s="2">
        <v>45450.097699233069</v>
      </c>
      <c r="D2151">
        <v>51</v>
      </c>
      <c r="E2151" t="s">
        <v>7</v>
      </c>
      <c r="F2151" t="s">
        <v>11</v>
      </c>
      <c r="G2151">
        <v>4229</v>
      </c>
    </row>
    <row r="2152" spans="1:7" x14ac:dyDescent="0.25">
      <c r="A2152">
        <v>1353</v>
      </c>
      <c r="B2152">
        <v>52151</v>
      </c>
      <c r="C2152" s="2">
        <v>45450.341113704562</v>
      </c>
      <c r="D2152">
        <v>29</v>
      </c>
      <c r="E2152" t="s">
        <v>7</v>
      </c>
      <c r="F2152" t="s">
        <v>10</v>
      </c>
      <c r="G2152">
        <v>947</v>
      </c>
    </row>
    <row r="2153" spans="1:7" x14ac:dyDescent="0.25">
      <c r="A2153">
        <v>1515</v>
      </c>
      <c r="B2153">
        <v>52152</v>
      </c>
      <c r="C2153" s="2">
        <v>45450.584528176063</v>
      </c>
      <c r="D2153">
        <v>39</v>
      </c>
      <c r="E2153" t="s">
        <v>7</v>
      </c>
      <c r="F2153" t="s">
        <v>12</v>
      </c>
      <c r="G2153">
        <v>1000</v>
      </c>
    </row>
    <row r="2154" spans="1:7" x14ac:dyDescent="0.25">
      <c r="A2154">
        <v>1019</v>
      </c>
      <c r="B2154">
        <v>52153</v>
      </c>
      <c r="C2154" s="2">
        <v>45450.827942647549</v>
      </c>
      <c r="D2154">
        <v>23</v>
      </c>
      <c r="E2154" t="s">
        <v>8</v>
      </c>
      <c r="F2154" t="s">
        <v>11</v>
      </c>
      <c r="G2154">
        <v>1697</v>
      </c>
    </row>
    <row r="2155" spans="1:7" x14ac:dyDescent="0.25">
      <c r="A2155">
        <v>1023</v>
      </c>
      <c r="B2155">
        <v>52154</v>
      </c>
      <c r="C2155" s="2">
        <v>45451.071357119043</v>
      </c>
      <c r="D2155">
        <v>53</v>
      </c>
      <c r="E2155" t="s">
        <v>8</v>
      </c>
      <c r="F2155" t="s">
        <v>12</v>
      </c>
      <c r="G2155">
        <v>1579</v>
      </c>
    </row>
    <row r="2156" spans="1:7" x14ac:dyDescent="0.25">
      <c r="A2156">
        <v>1413</v>
      </c>
      <c r="B2156">
        <v>52155</v>
      </c>
      <c r="C2156" s="2">
        <v>45451.314771590522</v>
      </c>
      <c r="D2156">
        <v>62</v>
      </c>
      <c r="E2156" t="s">
        <v>8</v>
      </c>
      <c r="F2156" t="s">
        <v>12</v>
      </c>
      <c r="G2156">
        <v>879</v>
      </c>
    </row>
    <row r="2157" spans="1:7" x14ac:dyDescent="0.25">
      <c r="A2157">
        <v>1030</v>
      </c>
      <c r="B2157">
        <v>52156</v>
      </c>
      <c r="C2157" s="2">
        <v>45451.558186062022</v>
      </c>
      <c r="D2157">
        <v>53</v>
      </c>
      <c r="E2157" t="s">
        <v>7</v>
      </c>
      <c r="F2157" t="s">
        <v>9</v>
      </c>
      <c r="G2157">
        <v>3970</v>
      </c>
    </row>
    <row r="2158" spans="1:7" x14ac:dyDescent="0.25">
      <c r="A2158">
        <v>1108</v>
      </c>
      <c r="B2158">
        <v>52157</v>
      </c>
      <c r="C2158" s="2">
        <v>45451.801600533508</v>
      </c>
      <c r="D2158">
        <v>39</v>
      </c>
      <c r="E2158" t="s">
        <v>7</v>
      </c>
      <c r="F2158" t="s">
        <v>12</v>
      </c>
      <c r="G2158">
        <v>3542</v>
      </c>
    </row>
    <row r="2159" spans="1:7" x14ac:dyDescent="0.25">
      <c r="A2159">
        <v>1367</v>
      </c>
      <c r="B2159">
        <v>52158</v>
      </c>
      <c r="C2159" s="2">
        <v>45452.045015005002</v>
      </c>
      <c r="D2159">
        <v>31</v>
      </c>
      <c r="E2159" t="s">
        <v>7</v>
      </c>
      <c r="F2159" t="s">
        <v>9</v>
      </c>
      <c r="G2159">
        <v>1096</v>
      </c>
    </row>
    <row r="2160" spans="1:7" x14ac:dyDescent="0.25">
      <c r="A2160">
        <v>1281</v>
      </c>
      <c r="B2160">
        <v>52159</v>
      </c>
      <c r="C2160" s="2">
        <v>45452.288429476481</v>
      </c>
      <c r="D2160">
        <v>33</v>
      </c>
      <c r="E2160" t="s">
        <v>8</v>
      </c>
      <c r="F2160" t="s">
        <v>11</v>
      </c>
      <c r="G2160">
        <v>1746</v>
      </c>
    </row>
    <row r="2161" spans="1:7" x14ac:dyDescent="0.25">
      <c r="A2161">
        <v>1128</v>
      </c>
      <c r="B2161">
        <v>52160</v>
      </c>
      <c r="C2161" s="2">
        <v>45452.531843947967</v>
      </c>
      <c r="D2161">
        <v>53</v>
      </c>
      <c r="E2161" t="s">
        <v>8</v>
      </c>
      <c r="F2161" t="s">
        <v>9</v>
      </c>
      <c r="G2161">
        <v>3326</v>
      </c>
    </row>
    <row r="2162" spans="1:7" x14ac:dyDescent="0.25">
      <c r="A2162">
        <v>1229</v>
      </c>
      <c r="B2162">
        <v>52161</v>
      </c>
      <c r="C2162" s="2">
        <v>45452.775258419468</v>
      </c>
      <c r="D2162">
        <v>42</v>
      </c>
      <c r="E2162" t="s">
        <v>7</v>
      </c>
      <c r="F2162" t="s">
        <v>9</v>
      </c>
      <c r="G2162">
        <v>883</v>
      </c>
    </row>
    <row r="2163" spans="1:7" x14ac:dyDescent="0.25">
      <c r="A2163">
        <v>1111</v>
      </c>
      <c r="B2163">
        <v>52162</v>
      </c>
      <c r="C2163" s="2">
        <v>45453.018672890961</v>
      </c>
      <c r="D2163">
        <v>49</v>
      </c>
      <c r="E2163" t="s">
        <v>8</v>
      </c>
      <c r="F2163" t="s">
        <v>9</v>
      </c>
      <c r="G2163">
        <v>1495</v>
      </c>
    </row>
    <row r="2164" spans="1:7" x14ac:dyDescent="0.25">
      <c r="A2164">
        <v>1136</v>
      </c>
      <c r="B2164">
        <v>52163</v>
      </c>
      <c r="C2164" s="2">
        <v>45453.262087362447</v>
      </c>
      <c r="D2164">
        <v>50</v>
      </c>
      <c r="E2164" t="s">
        <v>7</v>
      </c>
      <c r="F2164" t="s">
        <v>10</v>
      </c>
      <c r="G2164">
        <v>1585</v>
      </c>
    </row>
    <row r="2165" spans="1:7" x14ac:dyDescent="0.25">
      <c r="A2165">
        <v>1362</v>
      </c>
      <c r="B2165">
        <v>52164</v>
      </c>
      <c r="C2165" s="2">
        <v>45453.505501833934</v>
      </c>
      <c r="D2165">
        <v>62</v>
      </c>
      <c r="E2165" t="s">
        <v>8</v>
      </c>
      <c r="F2165" t="s">
        <v>9</v>
      </c>
      <c r="G2165">
        <v>1142</v>
      </c>
    </row>
    <row r="2166" spans="1:7" x14ac:dyDescent="0.25">
      <c r="A2166">
        <v>1186</v>
      </c>
      <c r="B2166">
        <v>52165</v>
      </c>
      <c r="C2166" s="2">
        <v>45453.748916305427</v>
      </c>
      <c r="D2166">
        <v>53</v>
      </c>
      <c r="E2166" t="s">
        <v>7</v>
      </c>
      <c r="F2166" t="s">
        <v>12</v>
      </c>
      <c r="G2166">
        <v>3480</v>
      </c>
    </row>
    <row r="2167" spans="1:7" x14ac:dyDescent="0.25">
      <c r="A2167">
        <v>1584</v>
      </c>
      <c r="B2167">
        <v>52166</v>
      </c>
      <c r="C2167" s="2">
        <v>45453.99233077692</v>
      </c>
      <c r="D2167">
        <v>37</v>
      </c>
      <c r="E2167" t="s">
        <v>8</v>
      </c>
      <c r="F2167" t="s">
        <v>9</v>
      </c>
      <c r="G2167">
        <v>1233</v>
      </c>
    </row>
    <row r="2168" spans="1:7" x14ac:dyDescent="0.25">
      <c r="A2168">
        <v>1129</v>
      </c>
      <c r="B2168">
        <v>52167</v>
      </c>
      <c r="C2168" s="2">
        <v>45454.235745248407</v>
      </c>
      <c r="D2168">
        <v>35</v>
      </c>
      <c r="E2168" t="s">
        <v>8</v>
      </c>
      <c r="F2168" t="s">
        <v>12</v>
      </c>
      <c r="G2168">
        <v>2986</v>
      </c>
    </row>
    <row r="2169" spans="1:7" x14ac:dyDescent="0.25">
      <c r="A2169">
        <v>1261</v>
      </c>
      <c r="B2169">
        <v>52168</v>
      </c>
      <c r="C2169" s="2">
        <v>45454.479159719893</v>
      </c>
      <c r="D2169">
        <v>55</v>
      </c>
      <c r="E2169" t="s">
        <v>7</v>
      </c>
      <c r="F2169" t="s">
        <v>9</v>
      </c>
      <c r="G2169">
        <v>2433</v>
      </c>
    </row>
    <row r="2170" spans="1:7" x14ac:dyDescent="0.25">
      <c r="A2170">
        <v>1515</v>
      </c>
      <c r="B2170">
        <v>52169</v>
      </c>
      <c r="C2170" s="2">
        <v>45454.722574191394</v>
      </c>
      <c r="D2170">
        <v>20</v>
      </c>
      <c r="E2170" t="s">
        <v>7</v>
      </c>
      <c r="F2170" t="s">
        <v>10</v>
      </c>
      <c r="G2170">
        <v>3845</v>
      </c>
    </row>
    <row r="2171" spans="1:7" x14ac:dyDescent="0.25">
      <c r="A2171">
        <v>1449</v>
      </c>
      <c r="B2171">
        <v>52170</v>
      </c>
      <c r="C2171" s="2">
        <v>45454.96598866288</v>
      </c>
      <c r="D2171">
        <v>40</v>
      </c>
      <c r="E2171" t="s">
        <v>7</v>
      </c>
      <c r="F2171" t="s">
        <v>11</v>
      </c>
      <c r="G2171">
        <v>1820</v>
      </c>
    </row>
    <row r="2172" spans="1:7" x14ac:dyDescent="0.25">
      <c r="A2172">
        <v>1104</v>
      </c>
      <c r="B2172">
        <v>52171</v>
      </c>
      <c r="C2172" s="2">
        <v>45455.209403134373</v>
      </c>
      <c r="D2172">
        <v>49</v>
      </c>
      <c r="E2172" t="s">
        <v>7</v>
      </c>
      <c r="F2172" t="s">
        <v>9</v>
      </c>
      <c r="G2172">
        <v>3735</v>
      </c>
    </row>
    <row r="2173" spans="1:7" x14ac:dyDescent="0.25">
      <c r="A2173">
        <v>1483</v>
      </c>
      <c r="B2173">
        <v>52172</v>
      </c>
      <c r="C2173" s="2">
        <v>45455.452817605867</v>
      </c>
      <c r="D2173">
        <v>62</v>
      </c>
      <c r="E2173" t="s">
        <v>7</v>
      </c>
      <c r="F2173" t="s">
        <v>9</v>
      </c>
      <c r="G2173">
        <v>3405</v>
      </c>
    </row>
    <row r="2174" spans="1:7" x14ac:dyDescent="0.25">
      <c r="A2174">
        <v>1224</v>
      </c>
      <c r="B2174">
        <v>52173</v>
      </c>
      <c r="C2174" s="2">
        <v>45455.696232077353</v>
      </c>
      <c r="D2174">
        <v>33</v>
      </c>
      <c r="E2174" t="s">
        <v>8</v>
      </c>
      <c r="F2174" t="s">
        <v>10</v>
      </c>
      <c r="G2174">
        <v>3082</v>
      </c>
    </row>
    <row r="2175" spans="1:7" x14ac:dyDescent="0.25">
      <c r="A2175">
        <v>1491</v>
      </c>
      <c r="B2175">
        <v>52174</v>
      </c>
      <c r="C2175" s="2">
        <v>45455.939646548853</v>
      </c>
      <c r="D2175">
        <v>22</v>
      </c>
      <c r="E2175" t="s">
        <v>7</v>
      </c>
      <c r="F2175" t="s">
        <v>9</v>
      </c>
      <c r="G2175">
        <v>370</v>
      </c>
    </row>
    <row r="2176" spans="1:7" x14ac:dyDescent="0.25">
      <c r="A2176">
        <v>1473</v>
      </c>
      <c r="B2176">
        <v>52175</v>
      </c>
      <c r="C2176" s="2">
        <v>45456.183061020332</v>
      </c>
      <c r="D2176">
        <v>21</v>
      </c>
      <c r="E2176" t="s">
        <v>7</v>
      </c>
      <c r="F2176" t="s">
        <v>12</v>
      </c>
      <c r="G2176">
        <v>1753</v>
      </c>
    </row>
    <row r="2177" spans="1:7" x14ac:dyDescent="0.25">
      <c r="A2177">
        <v>1010</v>
      </c>
      <c r="B2177">
        <v>52176</v>
      </c>
      <c r="C2177" s="2">
        <v>45456.426475491833</v>
      </c>
      <c r="D2177">
        <v>38</v>
      </c>
      <c r="E2177" t="s">
        <v>7</v>
      </c>
      <c r="F2177" t="s">
        <v>9</v>
      </c>
      <c r="G2177">
        <v>4097</v>
      </c>
    </row>
    <row r="2178" spans="1:7" x14ac:dyDescent="0.25">
      <c r="A2178">
        <v>1405</v>
      </c>
      <c r="B2178">
        <v>52177</v>
      </c>
      <c r="C2178" s="2">
        <v>45456.669889963312</v>
      </c>
      <c r="D2178">
        <v>57</v>
      </c>
      <c r="E2178" t="s">
        <v>8</v>
      </c>
      <c r="F2178" t="s">
        <v>9</v>
      </c>
      <c r="G2178">
        <v>1795</v>
      </c>
    </row>
    <row r="2179" spans="1:7" x14ac:dyDescent="0.25">
      <c r="A2179">
        <v>1302</v>
      </c>
      <c r="B2179">
        <v>52178</v>
      </c>
      <c r="C2179" s="2">
        <v>45456.913304434813</v>
      </c>
      <c r="D2179">
        <v>31</v>
      </c>
      <c r="E2179" t="s">
        <v>7</v>
      </c>
      <c r="F2179" t="s">
        <v>11</v>
      </c>
      <c r="G2179">
        <v>1823</v>
      </c>
    </row>
    <row r="2180" spans="1:7" x14ac:dyDescent="0.25">
      <c r="A2180">
        <v>1231</v>
      </c>
      <c r="B2180">
        <v>52179</v>
      </c>
      <c r="C2180" s="2">
        <v>45457.156718906299</v>
      </c>
      <c r="D2180">
        <v>56</v>
      </c>
      <c r="E2180" t="s">
        <v>7</v>
      </c>
      <c r="F2180" t="s">
        <v>11</v>
      </c>
      <c r="G2180">
        <v>4322</v>
      </c>
    </row>
    <row r="2181" spans="1:7" x14ac:dyDescent="0.25">
      <c r="A2181">
        <v>1066</v>
      </c>
      <c r="B2181">
        <v>52180</v>
      </c>
      <c r="C2181" s="2">
        <v>45457.400133377792</v>
      </c>
      <c r="D2181">
        <v>48</v>
      </c>
      <c r="E2181" t="s">
        <v>7</v>
      </c>
      <c r="F2181" t="s">
        <v>9</v>
      </c>
      <c r="G2181">
        <v>1291</v>
      </c>
    </row>
    <row r="2182" spans="1:7" x14ac:dyDescent="0.25">
      <c r="A2182">
        <v>1112</v>
      </c>
      <c r="B2182">
        <v>52181</v>
      </c>
      <c r="C2182" s="2">
        <v>45457.643547849293</v>
      </c>
      <c r="D2182">
        <v>31</v>
      </c>
      <c r="E2182" t="s">
        <v>8</v>
      </c>
      <c r="F2182" t="s">
        <v>10</v>
      </c>
      <c r="G2182">
        <v>3037</v>
      </c>
    </row>
    <row r="2183" spans="1:7" x14ac:dyDescent="0.25">
      <c r="A2183">
        <v>1013</v>
      </c>
      <c r="B2183">
        <v>52182</v>
      </c>
      <c r="C2183" s="2">
        <v>45457.886962320757</v>
      </c>
      <c r="D2183">
        <v>23</v>
      </c>
      <c r="E2183" t="s">
        <v>8</v>
      </c>
      <c r="F2183" t="s">
        <v>11</v>
      </c>
      <c r="G2183">
        <v>607</v>
      </c>
    </row>
    <row r="2184" spans="1:7" x14ac:dyDescent="0.25">
      <c r="A2184">
        <v>1393</v>
      </c>
      <c r="B2184">
        <v>52183</v>
      </c>
      <c r="C2184" s="2">
        <v>45458.130376792258</v>
      </c>
      <c r="D2184">
        <v>29</v>
      </c>
      <c r="E2184" t="s">
        <v>7</v>
      </c>
      <c r="F2184" t="s">
        <v>9</v>
      </c>
      <c r="G2184">
        <v>4369</v>
      </c>
    </row>
    <row r="2185" spans="1:7" x14ac:dyDescent="0.25">
      <c r="A2185">
        <v>1500</v>
      </c>
      <c r="B2185">
        <v>52184</v>
      </c>
      <c r="C2185" s="2">
        <v>45458.373791263752</v>
      </c>
      <c r="D2185">
        <v>33</v>
      </c>
      <c r="E2185" t="s">
        <v>8</v>
      </c>
      <c r="F2185" t="s">
        <v>11</v>
      </c>
      <c r="G2185">
        <v>879</v>
      </c>
    </row>
    <row r="2186" spans="1:7" x14ac:dyDescent="0.25">
      <c r="A2186">
        <v>1598</v>
      </c>
      <c r="B2186">
        <v>52185</v>
      </c>
      <c r="C2186" s="2">
        <v>45458.617205735252</v>
      </c>
      <c r="D2186">
        <v>34</v>
      </c>
      <c r="E2186" t="s">
        <v>7</v>
      </c>
      <c r="F2186" t="s">
        <v>9</v>
      </c>
      <c r="G2186">
        <v>436</v>
      </c>
    </row>
    <row r="2187" spans="1:7" x14ac:dyDescent="0.25">
      <c r="A2187">
        <v>1234</v>
      </c>
      <c r="B2187">
        <v>52186</v>
      </c>
      <c r="C2187" s="2">
        <v>45458.860620206717</v>
      </c>
      <c r="D2187">
        <v>62</v>
      </c>
      <c r="E2187" t="s">
        <v>8</v>
      </c>
      <c r="F2187" t="s">
        <v>11</v>
      </c>
      <c r="G2187">
        <v>2974</v>
      </c>
    </row>
    <row r="2188" spans="1:7" x14ac:dyDescent="0.25">
      <c r="A2188">
        <v>1314</v>
      </c>
      <c r="B2188">
        <v>52187</v>
      </c>
      <c r="C2188" s="2">
        <v>45459.104034678217</v>
      </c>
      <c r="D2188">
        <v>40</v>
      </c>
      <c r="E2188" t="s">
        <v>7</v>
      </c>
      <c r="F2188" t="s">
        <v>11</v>
      </c>
      <c r="G2188">
        <v>3637</v>
      </c>
    </row>
    <row r="2189" spans="1:7" x14ac:dyDescent="0.25">
      <c r="A2189">
        <v>1566</v>
      </c>
      <c r="B2189">
        <v>52188</v>
      </c>
      <c r="C2189" s="2">
        <v>45459.347449149711</v>
      </c>
      <c r="D2189">
        <v>31</v>
      </c>
      <c r="E2189" t="s">
        <v>8</v>
      </c>
      <c r="F2189" t="s">
        <v>12</v>
      </c>
      <c r="G2189">
        <v>3557</v>
      </c>
    </row>
    <row r="2190" spans="1:7" x14ac:dyDescent="0.25">
      <c r="A2190">
        <v>1012</v>
      </c>
      <c r="B2190">
        <v>52189</v>
      </c>
      <c r="C2190" s="2">
        <v>45459.590863621197</v>
      </c>
      <c r="D2190">
        <v>24</v>
      </c>
      <c r="E2190" t="s">
        <v>7</v>
      </c>
      <c r="F2190" t="s">
        <v>9</v>
      </c>
      <c r="G2190">
        <v>3077</v>
      </c>
    </row>
    <row r="2191" spans="1:7" x14ac:dyDescent="0.25">
      <c r="A2191">
        <v>1209</v>
      </c>
      <c r="B2191">
        <v>52190</v>
      </c>
      <c r="C2191" s="2">
        <v>45459.834278092698</v>
      </c>
      <c r="D2191">
        <v>63</v>
      </c>
      <c r="E2191" t="s">
        <v>7</v>
      </c>
      <c r="F2191" t="s">
        <v>9</v>
      </c>
      <c r="G2191">
        <v>2623</v>
      </c>
    </row>
    <row r="2192" spans="1:7" x14ac:dyDescent="0.25">
      <c r="A2192">
        <v>1014</v>
      </c>
      <c r="B2192">
        <v>52191</v>
      </c>
      <c r="C2192" s="2">
        <v>45460.077692564177</v>
      </c>
      <c r="D2192">
        <v>49</v>
      </c>
      <c r="E2192" t="s">
        <v>8</v>
      </c>
      <c r="F2192" t="s">
        <v>9</v>
      </c>
      <c r="G2192">
        <v>4914</v>
      </c>
    </row>
    <row r="2193" spans="1:7" x14ac:dyDescent="0.25">
      <c r="A2193">
        <v>1418</v>
      </c>
      <c r="B2193">
        <v>52192</v>
      </c>
      <c r="C2193" s="2">
        <v>45460.32110703567</v>
      </c>
      <c r="D2193">
        <v>32</v>
      </c>
      <c r="E2193" t="s">
        <v>7</v>
      </c>
      <c r="F2193" t="s">
        <v>9</v>
      </c>
      <c r="G2193">
        <v>3347</v>
      </c>
    </row>
    <row r="2194" spans="1:7" x14ac:dyDescent="0.25">
      <c r="A2194">
        <v>1437</v>
      </c>
      <c r="B2194">
        <v>52193</v>
      </c>
      <c r="C2194" s="2">
        <v>45460.564521507164</v>
      </c>
      <c r="D2194">
        <v>61</v>
      </c>
      <c r="E2194" t="s">
        <v>7</v>
      </c>
      <c r="F2194" t="s">
        <v>11</v>
      </c>
      <c r="G2194">
        <v>1232</v>
      </c>
    </row>
    <row r="2195" spans="1:7" x14ac:dyDescent="0.25">
      <c r="A2195">
        <v>1377</v>
      </c>
      <c r="B2195">
        <v>52194</v>
      </c>
      <c r="C2195" s="2">
        <v>45460.807935978657</v>
      </c>
      <c r="D2195">
        <v>34</v>
      </c>
      <c r="E2195" t="s">
        <v>7</v>
      </c>
      <c r="F2195" t="s">
        <v>12</v>
      </c>
      <c r="G2195">
        <v>3054</v>
      </c>
    </row>
    <row r="2196" spans="1:7" x14ac:dyDescent="0.25">
      <c r="A2196">
        <v>1020</v>
      </c>
      <c r="B2196">
        <v>52195</v>
      </c>
      <c r="C2196" s="2">
        <v>45461.051350450143</v>
      </c>
      <c r="D2196">
        <v>58</v>
      </c>
      <c r="E2196" t="s">
        <v>7</v>
      </c>
      <c r="F2196" t="s">
        <v>12</v>
      </c>
      <c r="G2196">
        <v>3140</v>
      </c>
    </row>
    <row r="2197" spans="1:7" x14ac:dyDescent="0.25">
      <c r="A2197">
        <v>1587</v>
      </c>
      <c r="B2197">
        <v>52196</v>
      </c>
      <c r="C2197" s="2">
        <v>45461.294764921629</v>
      </c>
      <c r="D2197">
        <v>64</v>
      </c>
      <c r="E2197" t="s">
        <v>8</v>
      </c>
      <c r="F2197" t="s">
        <v>10</v>
      </c>
      <c r="G2197">
        <v>3901</v>
      </c>
    </row>
    <row r="2198" spans="1:7" x14ac:dyDescent="0.25">
      <c r="A2198">
        <v>1070</v>
      </c>
      <c r="B2198">
        <v>52197</v>
      </c>
      <c r="C2198" s="2">
        <v>45461.538179393123</v>
      </c>
      <c r="D2198">
        <v>61</v>
      </c>
      <c r="E2198" t="s">
        <v>7</v>
      </c>
      <c r="F2198" t="s">
        <v>9</v>
      </c>
      <c r="G2198">
        <v>4270</v>
      </c>
    </row>
    <row r="2199" spans="1:7" x14ac:dyDescent="0.25">
      <c r="A2199">
        <v>1211</v>
      </c>
      <c r="B2199">
        <v>52198</v>
      </c>
      <c r="C2199" s="2">
        <v>45461.781593864624</v>
      </c>
      <c r="D2199">
        <v>51</v>
      </c>
      <c r="E2199" t="s">
        <v>8</v>
      </c>
      <c r="F2199" t="s">
        <v>10</v>
      </c>
      <c r="G2199">
        <v>3332</v>
      </c>
    </row>
    <row r="2200" spans="1:7" x14ac:dyDescent="0.25">
      <c r="A2200">
        <v>1101</v>
      </c>
      <c r="B2200">
        <v>52199</v>
      </c>
      <c r="C2200" s="2">
        <v>45462.02500833611</v>
      </c>
      <c r="D2200">
        <v>22</v>
      </c>
      <c r="E2200" t="s">
        <v>8</v>
      </c>
      <c r="F2200" t="s">
        <v>11</v>
      </c>
      <c r="G2200">
        <v>3660</v>
      </c>
    </row>
    <row r="2201" spans="1:7" x14ac:dyDescent="0.25">
      <c r="A2201">
        <v>1132</v>
      </c>
      <c r="B2201">
        <v>52200</v>
      </c>
      <c r="C2201" s="2">
        <v>45462.268422807603</v>
      </c>
      <c r="D2201">
        <v>62</v>
      </c>
      <c r="E2201" t="s">
        <v>8</v>
      </c>
      <c r="F2201" t="s">
        <v>10</v>
      </c>
      <c r="G2201">
        <v>2123</v>
      </c>
    </row>
    <row r="2202" spans="1:7" x14ac:dyDescent="0.25">
      <c r="A2202">
        <v>1381</v>
      </c>
      <c r="B2202">
        <v>52201</v>
      </c>
      <c r="C2202" s="2">
        <v>45462.511837279082</v>
      </c>
      <c r="D2202">
        <v>44</v>
      </c>
      <c r="E2202" t="s">
        <v>8</v>
      </c>
      <c r="F2202" t="s">
        <v>9</v>
      </c>
      <c r="G2202">
        <v>833</v>
      </c>
    </row>
    <row r="2203" spans="1:7" x14ac:dyDescent="0.25">
      <c r="A2203">
        <v>1132</v>
      </c>
      <c r="B2203">
        <v>52202</v>
      </c>
      <c r="C2203" s="2">
        <v>45462.755251750583</v>
      </c>
      <c r="D2203">
        <v>40</v>
      </c>
      <c r="E2203" t="s">
        <v>7</v>
      </c>
      <c r="F2203" t="s">
        <v>12</v>
      </c>
      <c r="G2203">
        <v>4303</v>
      </c>
    </row>
    <row r="2204" spans="1:7" x14ac:dyDescent="0.25">
      <c r="A2204">
        <v>1020</v>
      </c>
      <c r="B2204">
        <v>52203</v>
      </c>
      <c r="C2204" s="2">
        <v>45462.998666222069</v>
      </c>
      <c r="D2204">
        <v>57</v>
      </c>
      <c r="E2204" t="s">
        <v>7</v>
      </c>
      <c r="F2204" t="s">
        <v>12</v>
      </c>
      <c r="G2204">
        <v>1592</v>
      </c>
    </row>
    <row r="2205" spans="1:7" x14ac:dyDescent="0.25">
      <c r="A2205">
        <v>1536</v>
      </c>
      <c r="B2205">
        <v>52204</v>
      </c>
      <c r="C2205" s="2">
        <v>45463.242080693562</v>
      </c>
      <c r="D2205">
        <v>31</v>
      </c>
      <c r="E2205" t="s">
        <v>8</v>
      </c>
      <c r="F2205" t="s">
        <v>9</v>
      </c>
      <c r="G2205">
        <v>3646</v>
      </c>
    </row>
    <row r="2206" spans="1:7" x14ac:dyDescent="0.25">
      <c r="A2206">
        <v>1227</v>
      </c>
      <c r="B2206">
        <v>52205</v>
      </c>
      <c r="C2206" s="2">
        <v>45463.485495165049</v>
      </c>
      <c r="D2206">
        <v>32</v>
      </c>
      <c r="E2206" t="s">
        <v>7</v>
      </c>
      <c r="F2206" t="s">
        <v>11</v>
      </c>
      <c r="G2206">
        <v>3298</v>
      </c>
    </row>
    <row r="2207" spans="1:7" x14ac:dyDescent="0.25">
      <c r="A2207">
        <v>1154</v>
      </c>
      <c r="B2207">
        <v>52206</v>
      </c>
      <c r="C2207" s="2">
        <v>45463.728909636542</v>
      </c>
      <c r="D2207">
        <v>60</v>
      </c>
      <c r="E2207" t="s">
        <v>8</v>
      </c>
      <c r="F2207" t="s">
        <v>9</v>
      </c>
      <c r="G2207">
        <v>261</v>
      </c>
    </row>
    <row r="2208" spans="1:7" x14ac:dyDescent="0.25">
      <c r="A2208">
        <v>1469</v>
      </c>
      <c r="B2208">
        <v>52207</v>
      </c>
      <c r="C2208" s="2">
        <v>45463.972324108043</v>
      </c>
      <c r="D2208">
        <v>50</v>
      </c>
      <c r="E2208" t="s">
        <v>7</v>
      </c>
      <c r="F2208" t="s">
        <v>11</v>
      </c>
      <c r="G2208">
        <v>2669</v>
      </c>
    </row>
    <row r="2209" spans="1:7" x14ac:dyDescent="0.25">
      <c r="A2209">
        <v>1405</v>
      </c>
      <c r="B2209">
        <v>52208</v>
      </c>
      <c r="C2209" s="2">
        <v>45464.215738579529</v>
      </c>
      <c r="D2209">
        <v>48</v>
      </c>
      <c r="E2209" t="s">
        <v>7</v>
      </c>
      <c r="F2209" t="s">
        <v>12</v>
      </c>
      <c r="G2209">
        <v>2017</v>
      </c>
    </row>
    <row r="2210" spans="1:7" x14ac:dyDescent="0.25">
      <c r="A2210">
        <v>1202</v>
      </c>
      <c r="B2210">
        <v>52209</v>
      </c>
      <c r="C2210" s="2">
        <v>45464.459153051008</v>
      </c>
      <c r="D2210">
        <v>52</v>
      </c>
      <c r="E2210" t="s">
        <v>7</v>
      </c>
      <c r="F2210" t="s">
        <v>11</v>
      </c>
      <c r="G2210">
        <v>832</v>
      </c>
    </row>
    <row r="2211" spans="1:7" x14ac:dyDescent="0.25">
      <c r="A2211">
        <v>1038</v>
      </c>
      <c r="B2211">
        <v>52210</v>
      </c>
      <c r="C2211" s="2">
        <v>45464.702567522501</v>
      </c>
      <c r="D2211">
        <v>34</v>
      </c>
      <c r="E2211" t="s">
        <v>8</v>
      </c>
      <c r="F2211" t="s">
        <v>9</v>
      </c>
      <c r="G2211">
        <v>2798</v>
      </c>
    </row>
    <row r="2212" spans="1:7" x14ac:dyDescent="0.25">
      <c r="A2212">
        <v>1188</v>
      </c>
      <c r="B2212">
        <v>52211</v>
      </c>
      <c r="C2212" s="2">
        <v>45464.945981993988</v>
      </c>
      <c r="D2212">
        <v>45</v>
      </c>
      <c r="E2212" t="s">
        <v>8</v>
      </c>
      <c r="F2212" t="s">
        <v>9</v>
      </c>
      <c r="G2212">
        <v>3651</v>
      </c>
    </row>
    <row r="2213" spans="1:7" x14ac:dyDescent="0.25">
      <c r="A2213">
        <v>1057</v>
      </c>
      <c r="B2213">
        <v>52212</v>
      </c>
      <c r="C2213" s="2">
        <v>45465.189396465488</v>
      </c>
      <c r="D2213">
        <v>36</v>
      </c>
      <c r="E2213" t="s">
        <v>7</v>
      </c>
      <c r="F2213" t="s">
        <v>9</v>
      </c>
      <c r="G2213">
        <v>1500</v>
      </c>
    </row>
    <row r="2214" spans="1:7" x14ac:dyDescent="0.25">
      <c r="A2214">
        <v>1020</v>
      </c>
      <c r="B2214">
        <v>52213</v>
      </c>
      <c r="C2214" s="2">
        <v>45465.432810936967</v>
      </c>
      <c r="D2214">
        <v>63</v>
      </c>
      <c r="E2214" t="s">
        <v>8</v>
      </c>
      <c r="F2214" t="s">
        <v>11</v>
      </c>
      <c r="G2214">
        <v>2853</v>
      </c>
    </row>
    <row r="2215" spans="1:7" x14ac:dyDescent="0.25">
      <c r="A2215">
        <v>1273</v>
      </c>
      <c r="B2215">
        <v>52214</v>
      </c>
      <c r="C2215" s="2">
        <v>45465.676225408461</v>
      </c>
      <c r="D2215">
        <v>40</v>
      </c>
      <c r="E2215" t="s">
        <v>8</v>
      </c>
      <c r="F2215" t="s">
        <v>11</v>
      </c>
      <c r="G2215">
        <v>1654</v>
      </c>
    </row>
    <row r="2216" spans="1:7" x14ac:dyDescent="0.25">
      <c r="A2216">
        <v>1119</v>
      </c>
      <c r="B2216">
        <v>52215</v>
      </c>
      <c r="C2216" s="2">
        <v>45465.919639879947</v>
      </c>
      <c r="D2216">
        <v>49</v>
      </c>
      <c r="E2216" t="s">
        <v>7</v>
      </c>
      <c r="F2216" t="s">
        <v>11</v>
      </c>
      <c r="G2216">
        <v>1338</v>
      </c>
    </row>
    <row r="2217" spans="1:7" x14ac:dyDescent="0.25">
      <c r="A2217">
        <v>1583</v>
      </c>
      <c r="B2217">
        <v>52216</v>
      </c>
      <c r="C2217" s="2">
        <v>45466.163054351447</v>
      </c>
      <c r="D2217">
        <v>57</v>
      </c>
      <c r="E2217" t="s">
        <v>8</v>
      </c>
      <c r="F2217" t="s">
        <v>12</v>
      </c>
      <c r="G2217">
        <v>3392</v>
      </c>
    </row>
    <row r="2218" spans="1:7" x14ac:dyDescent="0.25">
      <c r="A2218">
        <v>1516</v>
      </c>
      <c r="B2218">
        <v>52217</v>
      </c>
      <c r="C2218" s="2">
        <v>45466.406468822941</v>
      </c>
      <c r="D2218">
        <v>30</v>
      </c>
      <c r="E2218" t="s">
        <v>7</v>
      </c>
      <c r="F2218" t="s">
        <v>10</v>
      </c>
      <c r="G2218">
        <v>4820</v>
      </c>
    </row>
    <row r="2219" spans="1:7" x14ac:dyDescent="0.25">
      <c r="A2219">
        <v>1221</v>
      </c>
      <c r="B2219">
        <v>52218</v>
      </c>
      <c r="C2219" s="2">
        <v>45466.64988329442</v>
      </c>
      <c r="D2219">
        <v>37</v>
      </c>
      <c r="E2219" t="s">
        <v>7</v>
      </c>
      <c r="F2219" t="s">
        <v>10</v>
      </c>
      <c r="G2219">
        <v>2410</v>
      </c>
    </row>
    <row r="2220" spans="1:7" x14ac:dyDescent="0.25">
      <c r="A2220">
        <v>1526</v>
      </c>
      <c r="B2220">
        <v>52219</v>
      </c>
      <c r="C2220" s="2">
        <v>45466.893297765913</v>
      </c>
      <c r="D2220">
        <v>52</v>
      </c>
      <c r="E2220" t="s">
        <v>7</v>
      </c>
      <c r="F2220" t="s">
        <v>9</v>
      </c>
      <c r="G2220">
        <v>3959</v>
      </c>
    </row>
    <row r="2221" spans="1:7" x14ac:dyDescent="0.25">
      <c r="A2221">
        <v>1515</v>
      </c>
      <c r="B2221">
        <v>52220</v>
      </c>
      <c r="C2221" s="2">
        <v>45467.136712237407</v>
      </c>
      <c r="D2221">
        <v>22</v>
      </c>
      <c r="E2221" t="s">
        <v>8</v>
      </c>
      <c r="F2221" t="s">
        <v>12</v>
      </c>
      <c r="G2221">
        <v>3229</v>
      </c>
    </row>
    <row r="2222" spans="1:7" x14ac:dyDescent="0.25">
      <c r="A2222">
        <v>1336</v>
      </c>
      <c r="B2222">
        <v>52221</v>
      </c>
      <c r="C2222" s="2">
        <v>45467.3801267089</v>
      </c>
      <c r="D2222">
        <v>26</v>
      </c>
      <c r="E2222" t="s">
        <v>7</v>
      </c>
      <c r="F2222" t="s">
        <v>11</v>
      </c>
      <c r="G2222">
        <v>1560</v>
      </c>
    </row>
    <row r="2223" spans="1:7" x14ac:dyDescent="0.25">
      <c r="A2223">
        <v>1055</v>
      </c>
      <c r="B2223">
        <v>52222</v>
      </c>
      <c r="C2223" s="2">
        <v>45467.623541180379</v>
      </c>
      <c r="D2223">
        <v>46</v>
      </c>
      <c r="E2223" t="s">
        <v>7</v>
      </c>
      <c r="F2223" t="s">
        <v>9</v>
      </c>
      <c r="G2223">
        <v>2626</v>
      </c>
    </row>
    <row r="2224" spans="1:7" x14ac:dyDescent="0.25">
      <c r="A2224">
        <v>1500</v>
      </c>
      <c r="B2224">
        <v>52223</v>
      </c>
      <c r="C2224" s="2">
        <v>45467.866955651873</v>
      </c>
      <c r="D2224">
        <v>23</v>
      </c>
      <c r="E2224" t="s">
        <v>8</v>
      </c>
      <c r="F2224" t="s">
        <v>12</v>
      </c>
      <c r="G2224">
        <v>4468</v>
      </c>
    </row>
    <row r="2225" spans="1:7" x14ac:dyDescent="0.25">
      <c r="A2225">
        <v>1536</v>
      </c>
      <c r="B2225">
        <v>52224</v>
      </c>
      <c r="C2225" s="2">
        <v>45468.110370123373</v>
      </c>
      <c r="D2225">
        <v>42</v>
      </c>
      <c r="E2225" t="s">
        <v>8</v>
      </c>
      <c r="F2225" t="s">
        <v>9</v>
      </c>
      <c r="G2225">
        <v>263</v>
      </c>
    </row>
    <row r="2226" spans="1:7" x14ac:dyDescent="0.25">
      <c r="A2226">
        <v>1162</v>
      </c>
      <c r="B2226">
        <v>52225</v>
      </c>
      <c r="C2226" s="2">
        <v>45468.353784594859</v>
      </c>
      <c r="D2226">
        <v>48</v>
      </c>
      <c r="E2226" t="s">
        <v>8</v>
      </c>
      <c r="F2226" t="s">
        <v>12</v>
      </c>
      <c r="G2226">
        <v>1545</v>
      </c>
    </row>
    <row r="2227" spans="1:7" x14ac:dyDescent="0.25">
      <c r="A2227">
        <v>1594</v>
      </c>
      <c r="B2227">
        <v>52226</v>
      </c>
      <c r="C2227" s="2">
        <v>45468.597199066353</v>
      </c>
      <c r="D2227">
        <v>39</v>
      </c>
      <c r="E2227" t="s">
        <v>8</v>
      </c>
      <c r="F2227" t="s">
        <v>12</v>
      </c>
      <c r="G2227">
        <v>1174</v>
      </c>
    </row>
    <row r="2228" spans="1:7" x14ac:dyDescent="0.25">
      <c r="A2228">
        <v>1159</v>
      </c>
      <c r="B2228">
        <v>52227</v>
      </c>
      <c r="C2228" s="2">
        <v>45468.840613537839</v>
      </c>
      <c r="D2228">
        <v>19</v>
      </c>
      <c r="E2228" t="s">
        <v>7</v>
      </c>
      <c r="F2228" t="s">
        <v>10</v>
      </c>
      <c r="G2228">
        <v>4361</v>
      </c>
    </row>
    <row r="2229" spans="1:7" x14ac:dyDescent="0.25">
      <c r="A2229">
        <v>1188</v>
      </c>
      <c r="B2229">
        <v>52228</v>
      </c>
      <c r="C2229" s="2">
        <v>45469.084028009333</v>
      </c>
      <c r="D2229">
        <v>62</v>
      </c>
      <c r="E2229" t="s">
        <v>8</v>
      </c>
      <c r="F2229" t="s">
        <v>9</v>
      </c>
      <c r="G2229">
        <v>3828</v>
      </c>
    </row>
    <row r="2230" spans="1:7" x14ac:dyDescent="0.25">
      <c r="A2230">
        <v>1060</v>
      </c>
      <c r="B2230">
        <v>52229</v>
      </c>
      <c r="C2230" s="2">
        <v>45469.327442480819</v>
      </c>
      <c r="D2230">
        <v>22</v>
      </c>
      <c r="E2230" t="s">
        <v>8</v>
      </c>
      <c r="F2230" t="s">
        <v>11</v>
      </c>
      <c r="G2230">
        <v>1822</v>
      </c>
    </row>
    <row r="2231" spans="1:7" x14ac:dyDescent="0.25">
      <c r="A2231">
        <v>1319</v>
      </c>
      <c r="B2231">
        <v>52230</v>
      </c>
      <c r="C2231" s="2">
        <v>45469.570856952312</v>
      </c>
      <c r="D2231">
        <v>44</v>
      </c>
      <c r="E2231" t="s">
        <v>8</v>
      </c>
      <c r="F2231" t="s">
        <v>10</v>
      </c>
      <c r="G2231">
        <v>657</v>
      </c>
    </row>
    <row r="2232" spans="1:7" x14ac:dyDescent="0.25">
      <c r="A2232">
        <v>1211</v>
      </c>
      <c r="B2232">
        <v>52231</v>
      </c>
      <c r="C2232" s="2">
        <v>45469.814271423813</v>
      </c>
      <c r="D2232">
        <v>42</v>
      </c>
      <c r="E2232" t="s">
        <v>8</v>
      </c>
      <c r="F2232" t="s">
        <v>10</v>
      </c>
      <c r="G2232">
        <v>3530</v>
      </c>
    </row>
    <row r="2233" spans="1:7" x14ac:dyDescent="0.25">
      <c r="A2233">
        <v>1406</v>
      </c>
      <c r="B2233">
        <v>52232</v>
      </c>
      <c r="C2233" s="2">
        <v>45470.057685895292</v>
      </c>
      <c r="D2233">
        <v>25</v>
      </c>
      <c r="E2233" t="s">
        <v>7</v>
      </c>
      <c r="F2233" t="s">
        <v>11</v>
      </c>
      <c r="G2233">
        <v>1940</v>
      </c>
    </row>
    <row r="2234" spans="1:7" x14ac:dyDescent="0.25">
      <c r="A2234">
        <v>1109</v>
      </c>
      <c r="B2234">
        <v>52233</v>
      </c>
      <c r="C2234" s="2">
        <v>45470.301100366793</v>
      </c>
      <c r="D2234">
        <v>18</v>
      </c>
      <c r="E2234" t="s">
        <v>8</v>
      </c>
      <c r="F2234" t="s">
        <v>12</v>
      </c>
      <c r="G2234">
        <v>3226</v>
      </c>
    </row>
    <row r="2235" spans="1:7" x14ac:dyDescent="0.25">
      <c r="A2235">
        <v>1076</v>
      </c>
      <c r="B2235">
        <v>52234</v>
      </c>
      <c r="C2235" s="2">
        <v>45470.544514838279</v>
      </c>
      <c r="D2235">
        <v>37</v>
      </c>
      <c r="E2235" t="s">
        <v>7</v>
      </c>
      <c r="F2235" t="s">
        <v>11</v>
      </c>
      <c r="G2235">
        <v>2154</v>
      </c>
    </row>
    <row r="2236" spans="1:7" x14ac:dyDescent="0.25">
      <c r="A2236">
        <v>1542</v>
      </c>
      <c r="B2236">
        <v>52235</v>
      </c>
      <c r="C2236" s="2">
        <v>45470.787929309772</v>
      </c>
      <c r="D2236">
        <v>61</v>
      </c>
      <c r="E2236" t="s">
        <v>8</v>
      </c>
      <c r="F2236" t="s">
        <v>9</v>
      </c>
      <c r="G2236">
        <v>479</v>
      </c>
    </row>
    <row r="2237" spans="1:7" x14ac:dyDescent="0.25">
      <c r="A2237">
        <v>1314</v>
      </c>
      <c r="B2237">
        <v>52236</v>
      </c>
      <c r="C2237" s="2">
        <v>45471.031343781251</v>
      </c>
      <c r="D2237">
        <v>40</v>
      </c>
      <c r="E2237" t="s">
        <v>7</v>
      </c>
      <c r="F2237" t="s">
        <v>11</v>
      </c>
      <c r="G2237">
        <v>2591</v>
      </c>
    </row>
    <row r="2238" spans="1:7" x14ac:dyDescent="0.25">
      <c r="A2238">
        <v>1117</v>
      </c>
      <c r="B2238">
        <v>52237</v>
      </c>
      <c r="C2238" s="2">
        <v>45471.274758252737</v>
      </c>
      <c r="D2238">
        <v>49</v>
      </c>
      <c r="E2238" t="s">
        <v>7</v>
      </c>
      <c r="F2238" t="s">
        <v>12</v>
      </c>
      <c r="G2238">
        <v>1240</v>
      </c>
    </row>
    <row r="2239" spans="1:7" x14ac:dyDescent="0.25">
      <c r="A2239">
        <v>1019</v>
      </c>
      <c r="B2239">
        <v>52238</v>
      </c>
      <c r="C2239" s="2">
        <v>45471.518172724238</v>
      </c>
      <c r="D2239">
        <v>28</v>
      </c>
      <c r="E2239" t="s">
        <v>8</v>
      </c>
      <c r="F2239" t="s">
        <v>11</v>
      </c>
      <c r="G2239">
        <v>1161</v>
      </c>
    </row>
    <row r="2240" spans="1:7" x14ac:dyDescent="0.25">
      <c r="A2240">
        <v>1432</v>
      </c>
      <c r="B2240">
        <v>52239</v>
      </c>
      <c r="C2240" s="2">
        <v>45471.761587195731</v>
      </c>
      <c r="D2240">
        <v>56</v>
      </c>
      <c r="E2240" t="s">
        <v>7</v>
      </c>
      <c r="F2240" t="s">
        <v>12</v>
      </c>
      <c r="G2240">
        <v>4045</v>
      </c>
    </row>
    <row r="2241" spans="1:7" x14ac:dyDescent="0.25">
      <c r="A2241">
        <v>1350</v>
      </c>
      <c r="B2241">
        <v>52240</v>
      </c>
      <c r="C2241" s="2">
        <v>45472.005001667218</v>
      </c>
      <c r="D2241">
        <v>64</v>
      </c>
      <c r="E2241" t="s">
        <v>8</v>
      </c>
      <c r="F2241" t="s">
        <v>12</v>
      </c>
      <c r="G2241">
        <v>1417</v>
      </c>
    </row>
    <row r="2242" spans="1:7" x14ac:dyDescent="0.25">
      <c r="A2242">
        <v>1183</v>
      </c>
      <c r="B2242">
        <v>52241</v>
      </c>
      <c r="C2242" s="2">
        <v>45472.248416138696</v>
      </c>
      <c r="D2242">
        <v>41</v>
      </c>
      <c r="E2242" t="s">
        <v>7</v>
      </c>
      <c r="F2242" t="s">
        <v>9</v>
      </c>
      <c r="G2242">
        <v>3420</v>
      </c>
    </row>
    <row r="2243" spans="1:7" x14ac:dyDescent="0.25">
      <c r="A2243">
        <v>1113</v>
      </c>
      <c r="B2243">
        <v>52242</v>
      </c>
      <c r="C2243" s="2">
        <v>45472.491830610197</v>
      </c>
      <c r="D2243">
        <v>28</v>
      </c>
      <c r="E2243" t="s">
        <v>7</v>
      </c>
      <c r="F2243" t="s">
        <v>11</v>
      </c>
      <c r="G2243">
        <v>574</v>
      </c>
    </row>
    <row r="2244" spans="1:7" x14ac:dyDescent="0.25">
      <c r="A2244">
        <v>1183</v>
      </c>
      <c r="B2244">
        <v>52243</v>
      </c>
      <c r="C2244" s="2">
        <v>45472.735245081691</v>
      </c>
      <c r="D2244">
        <v>46</v>
      </c>
      <c r="E2244" t="s">
        <v>7</v>
      </c>
      <c r="F2244" t="s">
        <v>11</v>
      </c>
      <c r="G2244">
        <v>4330</v>
      </c>
    </row>
    <row r="2245" spans="1:7" x14ac:dyDescent="0.25">
      <c r="A2245">
        <v>1481</v>
      </c>
      <c r="B2245">
        <v>52244</v>
      </c>
      <c r="C2245" s="2">
        <v>45472.978659553177</v>
      </c>
      <c r="D2245">
        <v>43</v>
      </c>
      <c r="E2245" t="s">
        <v>8</v>
      </c>
      <c r="F2245" t="s">
        <v>9</v>
      </c>
      <c r="G2245">
        <v>1592</v>
      </c>
    </row>
    <row r="2246" spans="1:7" x14ac:dyDescent="0.25">
      <c r="A2246">
        <v>1146</v>
      </c>
      <c r="B2246">
        <v>52245</v>
      </c>
      <c r="C2246" s="2">
        <v>45473.222074024663</v>
      </c>
      <c r="D2246">
        <v>33</v>
      </c>
      <c r="E2246" t="s">
        <v>7</v>
      </c>
      <c r="F2246" t="s">
        <v>12</v>
      </c>
      <c r="G2246">
        <v>2276</v>
      </c>
    </row>
    <row r="2247" spans="1:7" x14ac:dyDescent="0.25">
      <c r="A2247">
        <v>1113</v>
      </c>
      <c r="B2247">
        <v>52246</v>
      </c>
      <c r="C2247" s="2">
        <v>45473.465488496156</v>
      </c>
      <c r="D2247">
        <v>52</v>
      </c>
      <c r="E2247" t="s">
        <v>8</v>
      </c>
      <c r="F2247" t="s">
        <v>11</v>
      </c>
      <c r="G2247">
        <v>974</v>
      </c>
    </row>
    <row r="2248" spans="1:7" x14ac:dyDescent="0.25">
      <c r="A2248">
        <v>1476</v>
      </c>
      <c r="B2248">
        <v>52247</v>
      </c>
      <c r="C2248" s="2">
        <v>45473.70890296765</v>
      </c>
      <c r="D2248">
        <v>37</v>
      </c>
      <c r="E2248" t="s">
        <v>7</v>
      </c>
      <c r="F2248" t="s">
        <v>9</v>
      </c>
      <c r="G2248">
        <v>4516</v>
      </c>
    </row>
    <row r="2249" spans="1:7" x14ac:dyDescent="0.25">
      <c r="A2249">
        <v>1303</v>
      </c>
      <c r="B2249">
        <v>52248</v>
      </c>
      <c r="C2249" s="2">
        <v>45473.952317439143</v>
      </c>
      <c r="D2249">
        <v>63</v>
      </c>
      <c r="E2249" t="s">
        <v>7</v>
      </c>
      <c r="F2249" t="s">
        <v>12</v>
      </c>
      <c r="G2249">
        <v>3624</v>
      </c>
    </row>
    <row r="2250" spans="1:7" x14ac:dyDescent="0.25">
      <c r="A2250">
        <v>1118</v>
      </c>
      <c r="B2250">
        <v>52249</v>
      </c>
      <c r="C2250" s="2">
        <v>45474.195731910637</v>
      </c>
      <c r="D2250">
        <v>20</v>
      </c>
      <c r="E2250" t="s">
        <v>7</v>
      </c>
      <c r="F2250" t="s">
        <v>9</v>
      </c>
      <c r="G2250">
        <v>2323</v>
      </c>
    </row>
    <row r="2251" spans="1:7" x14ac:dyDescent="0.25">
      <c r="A2251">
        <v>1161</v>
      </c>
      <c r="B2251">
        <v>52250</v>
      </c>
      <c r="C2251" s="2">
        <v>45474.439146382123</v>
      </c>
      <c r="D2251">
        <v>18</v>
      </c>
      <c r="E2251" t="s">
        <v>7</v>
      </c>
      <c r="F2251" t="s">
        <v>11</v>
      </c>
      <c r="G2251">
        <v>4789</v>
      </c>
    </row>
    <row r="2252" spans="1:7" x14ac:dyDescent="0.25">
      <c r="A2252">
        <v>1401</v>
      </c>
      <c r="B2252">
        <v>52251</v>
      </c>
      <c r="C2252" s="2">
        <v>45474.682560853609</v>
      </c>
      <c r="D2252">
        <v>64</v>
      </c>
      <c r="E2252" t="s">
        <v>7</v>
      </c>
      <c r="F2252" t="s">
        <v>9</v>
      </c>
      <c r="G2252">
        <v>3793</v>
      </c>
    </row>
    <row r="2253" spans="1:7" x14ac:dyDescent="0.25">
      <c r="A2253">
        <v>1198</v>
      </c>
      <c r="B2253">
        <v>52252</v>
      </c>
      <c r="C2253" s="2">
        <v>45474.925975325103</v>
      </c>
      <c r="D2253">
        <v>18</v>
      </c>
      <c r="E2253" t="s">
        <v>7</v>
      </c>
      <c r="F2253" t="s">
        <v>10</v>
      </c>
      <c r="G2253">
        <v>479</v>
      </c>
    </row>
    <row r="2254" spans="1:7" x14ac:dyDescent="0.25">
      <c r="A2254">
        <v>1260</v>
      </c>
      <c r="B2254">
        <v>52253</v>
      </c>
      <c r="C2254" s="2">
        <v>45475.169389796603</v>
      </c>
      <c r="D2254">
        <v>34</v>
      </c>
      <c r="E2254" t="s">
        <v>8</v>
      </c>
      <c r="F2254" t="s">
        <v>12</v>
      </c>
      <c r="G2254">
        <v>3011</v>
      </c>
    </row>
    <row r="2255" spans="1:7" x14ac:dyDescent="0.25">
      <c r="A2255">
        <v>1047</v>
      </c>
      <c r="B2255">
        <v>52254</v>
      </c>
      <c r="C2255" s="2">
        <v>45475.412804268082</v>
      </c>
      <c r="D2255">
        <v>19</v>
      </c>
      <c r="E2255" t="s">
        <v>8</v>
      </c>
      <c r="F2255" t="s">
        <v>10</v>
      </c>
      <c r="G2255">
        <v>2542</v>
      </c>
    </row>
    <row r="2256" spans="1:7" x14ac:dyDescent="0.25">
      <c r="A2256">
        <v>1399</v>
      </c>
      <c r="B2256">
        <v>52255</v>
      </c>
      <c r="C2256" s="2">
        <v>45475.656218739568</v>
      </c>
      <c r="D2256">
        <v>46</v>
      </c>
      <c r="E2256" t="s">
        <v>8</v>
      </c>
      <c r="F2256" t="s">
        <v>10</v>
      </c>
      <c r="G2256">
        <v>1674</v>
      </c>
    </row>
    <row r="2257" spans="1:7" x14ac:dyDescent="0.25">
      <c r="A2257">
        <v>1559</v>
      </c>
      <c r="B2257">
        <v>52256</v>
      </c>
      <c r="C2257" s="2">
        <v>45475.899633211062</v>
      </c>
      <c r="D2257">
        <v>37</v>
      </c>
      <c r="E2257" t="s">
        <v>7</v>
      </c>
      <c r="F2257" t="s">
        <v>12</v>
      </c>
      <c r="G2257">
        <v>2057</v>
      </c>
    </row>
    <row r="2258" spans="1:7" x14ac:dyDescent="0.25">
      <c r="A2258">
        <v>1078</v>
      </c>
      <c r="B2258">
        <v>52257</v>
      </c>
      <c r="C2258" s="2">
        <v>45476.143047682563</v>
      </c>
      <c r="D2258">
        <v>23</v>
      </c>
      <c r="E2258" t="s">
        <v>8</v>
      </c>
      <c r="F2258" t="s">
        <v>12</v>
      </c>
      <c r="G2258">
        <v>3089</v>
      </c>
    </row>
    <row r="2259" spans="1:7" x14ac:dyDescent="0.25">
      <c r="A2259">
        <v>1124</v>
      </c>
      <c r="B2259">
        <v>52258</v>
      </c>
      <c r="C2259" s="2">
        <v>45476.386462154049</v>
      </c>
      <c r="D2259">
        <v>25</v>
      </c>
      <c r="E2259" t="s">
        <v>7</v>
      </c>
      <c r="F2259" t="s">
        <v>9</v>
      </c>
      <c r="G2259">
        <v>1259</v>
      </c>
    </row>
    <row r="2260" spans="1:7" x14ac:dyDescent="0.25">
      <c r="A2260">
        <v>1075</v>
      </c>
      <c r="B2260">
        <v>52259</v>
      </c>
      <c r="C2260" s="2">
        <v>45476.629876625528</v>
      </c>
      <c r="D2260">
        <v>46</v>
      </c>
      <c r="E2260" t="s">
        <v>8</v>
      </c>
      <c r="F2260" t="s">
        <v>12</v>
      </c>
      <c r="G2260">
        <v>2122</v>
      </c>
    </row>
    <row r="2261" spans="1:7" x14ac:dyDescent="0.25">
      <c r="A2261">
        <v>1137</v>
      </c>
      <c r="B2261">
        <v>52260</v>
      </c>
      <c r="C2261" s="2">
        <v>45476.873291097028</v>
      </c>
      <c r="D2261">
        <v>50</v>
      </c>
      <c r="E2261" t="s">
        <v>8</v>
      </c>
      <c r="F2261" t="s">
        <v>10</v>
      </c>
      <c r="G2261">
        <v>3999</v>
      </c>
    </row>
    <row r="2262" spans="1:7" x14ac:dyDescent="0.25">
      <c r="A2262">
        <v>1400</v>
      </c>
      <c r="B2262">
        <v>52261</v>
      </c>
      <c r="C2262" s="2">
        <v>45477.116705568522</v>
      </c>
      <c r="D2262">
        <v>20</v>
      </c>
      <c r="E2262" t="s">
        <v>7</v>
      </c>
      <c r="F2262" t="s">
        <v>10</v>
      </c>
      <c r="G2262">
        <v>4792</v>
      </c>
    </row>
    <row r="2263" spans="1:7" x14ac:dyDescent="0.25">
      <c r="A2263">
        <v>1505</v>
      </c>
      <c r="B2263">
        <v>52262</v>
      </c>
      <c r="C2263" s="2">
        <v>45477.360120040008</v>
      </c>
      <c r="D2263">
        <v>52</v>
      </c>
      <c r="E2263" t="s">
        <v>7</v>
      </c>
      <c r="F2263" t="s">
        <v>11</v>
      </c>
      <c r="G2263">
        <v>2673</v>
      </c>
    </row>
    <row r="2264" spans="1:7" x14ac:dyDescent="0.25">
      <c r="A2264">
        <v>1500</v>
      </c>
      <c r="B2264">
        <v>52263</v>
      </c>
      <c r="C2264" s="2">
        <v>45477.603534511487</v>
      </c>
      <c r="D2264">
        <v>22</v>
      </c>
      <c r="E2264" t="s">
        <v>8</v>
      </c>
      <c r="F2264" t="s">
        <v>12</v>
      </c>
      <c r="G2264">
        <v>4339</v>
      </c>
    </row>
    <row r="2265" spans="1:7" x14ac:dyDescent="0.25">
      <c r="A2265">
        <v>1573</v>
      </c>
      <c r="B2265">
        <v>52264</v>
      </c>
      <c r="C2265" s="2">
        <v>45477.846948982988</v>
      </c>
      <c r="D2265">
        <v>44</v>
      </c>
      <c r="E2265" t="s">
        <v>8</v>
      </c>
      <c r="F2265" t="s">
        <v>10</v>
      </c>
      <c r="G2265">
        <v>2051</v>
      </c>
    </row>
    <row r="2266" spans="1:7" x14ac:dyDescent="0.25">
      <c r="A2266">
        <v>1138</v>
      </c>
      <c r="B2266">
        <v>52265</v>
      </c>
      <c r="C2266" s="2">
        <v>45478.090363454481</v>
      </c>
      <c r="D2266">
        <v>61</v>
      </c>
      <c r="E2266" t="s">
        <v>8</v>
      </c>
      <c r="F2266" t="s">
        <v>11</v>
      </c>
      <c r="G2266">
        <v>3741</v>
      </c>
    </row>
    <row r="2267" spans="1:7" x14ac:dyDescent="0.25">
      <c r="A2267">
        <v>1050</v>
      </c>
      <c r="B2267">
        <v>52266</v>
      </c>
      <c r="C2267" s="2">
        <v>45478.333777925967</v>
      </c>
      <c r="D2267">
        <v>29</v>
      </c>
      <c r="E2267" t="s">
        <v>8</v>
      </c>
      <c r="F2267" t="s">
        <v>11</v>
      </c>
      <c r="G2267">
        <v>4749</v>
      </c>
    </row>
    <row r="2268" spans="1:7" x14ac:dyDescent="0.25">
      <c r="A2268">
        <v>1254</v>
      </c>
      <c r="B2268">
        <v>52267</v>
      </c>
      <c r="C2268" s="2">
        <v>45478.577192397468</v>
      </c>
      <c r="D2268">
        <v>37</v>
      </c>
      <c r="E2268" t="s">
        <v>7</v>
      </c>
      <c r="F2268" t="s">
        <v>9</v>
      </c>
      <c r="G2268">
        <v>794</v>
      </c>
    </row>
    <row r="2269" spans="1:7" x14ac:dyDescent="0.25">
      <c r="A2269">
        <v>1563</v>
      </c>
      <c r="B2269">
        <v>52268</v>
      </c>
      <c r="C2269" s="2">
        <v>45478.820606868947</v>
      </c>
      <c r="D2269">
        <v>62</v>
      </c>
      <c r="E2269" t="s">
        <v>8</v>
      </c>
      <c r="F2269" t="s">
        <v>10</v>
      </c>
      <c r="G2269">
        <v>706</v>
      </c>
    </row>
    <row r="2270" spans="1:7" x14ac:dyDescent="0.25">
      <c r="A2270">
        <v>1426</v>
      </c>
      <c r="B2270">
        <v>52269</v>
      </c>
      <c r="C2270" s="2">
        <v>45479.06402134044</v>
      </c>
      <c r="D2270">
        <v>37</v>
      </c>
      <c r="E2270" t="s">
        <v>7</v>
      </c>
      <c r="F2270" t="s">
        <v>9</v>
      </c>
      <c r="G2270">
        <v>220</v>
      </c>
    </row>
    <row r="2271" spans="1:7" x14ac:dyDescent="0.25">
      <c r="A2271">
        <v>1547</v>
      </c>
      <c r="B2271">
        <v>52270</v>
      </c>
      <c r="C2271" s="2">
        <v>45479.307435811927</v>
      </c>
      <c r="D2271">
        <v>26</v>
      </c>
      <c r="E2271" t="s">
        <v>7</v>
      </c>
      <c r="F2271" t="s">
        <v>10</v>
      </c>
      <c r="G2271">
        <v>1599</v>
      </c>
    </row>
    <row r="2272" spans="1:7" x14ac:dyDescent="0.25">
      <c r="A2272">
        <v>1302</v>
      </c>
      <c r="B2272">
        <v>52271</v>
      </c>
      <c r="C2272" s="2">
        <v>45479.550850283427</v>
      </c>
      <c r="D2272">
        <v>56</v>
      </c>
      <c r="E2272" t="s">
        <v>8</v>
      </c>
      <c r="F2272" t="s">
        <v>9</v>
      </c>
      <c r="G2272">
        <v>3401</v>
      </c>
    </row>
    <row r="2273" spans="1:7" x14ac:dyDescent="0.25">
      <c r="A2273">
        <v>1581</v>
      </c>
      <c r="B2273">
        <v>52272</v>
      </c>
      <c r="C2273" s="2">
        <v>45479.794264754913</v>
      </c>
      <c r="D2273">
        <v>21</v>
      </c>
      <c r="E2273" t="s">
        <v>7</v>
      </c>
      <c r="F2273" t="s">
        <v>9</v>
      </c>
      <c r="G2273">
        <v>2661</v>
      </c>
    </row>
    <row r="2274" spans="1:7" x14ac:dyDescent="0.25">
      <c r="A2274">
        <v>1349</v>
      </c>
      <c r="B2274">
        <v>52273</v>
      </c>
      <c r="C2274" s="2">
        <v>45480.0376792264</v>
      </c>
      <c r="D2274">
        <v>36</v>
      </c>
      <c r="E2274" t="s">
        <v>8</v>
      </c>
      <c r="F2274" t="s">
        <v>12</v>
      </c>
      <c r="G2274">
        <v>3878</v>
      </c>
    </row>
    <row r="2275" spans="1:7" x14ac:dyDescent="0.25">
      <c r="A2275">
        <v>1049</v>
      </c>
      <c r="B2275">
        <v>52274</v>
      </c>
      <c r="C2275" s="2">
        <v>45480.281093697893</v>
      </c>
      <c r="D2275">
        <v>55</v>
      </c>
      <c r="E2275" t="s">
        <v>7</v>
      </c>
      <c r="F2275" t="s">
        <v>9</v>
      </c>
      <c r="G2275">
        <v>536</v>
      </c>
    </row>
    <row r="2276" spans="1:7" x14ac:dyDescent="0.25">
      <c r="A2276">
        <v>1074</v>
      </c>
      <c r="B2276">
        <v>52275</v>
      </c>
      <c r="C2276" s="2">
        <v>45480.524508169387</v>
      </c>
      <c r="D2276">
        <v>44</v>
      </c>
      <c r="E2276" t="s">
        <v>7</v>
      </c>
      <c r="F2276" t="s">
        <v>12</v>
      </c>
      <c r="G2276">
        <v>1867</v>
      </c>
    </row>
    <row r="2277" spans="1:7" x14ac:dyDescent="0.25">
      <c r="A2277">
        <v>1261</v>
      </c>
      <c r="B2277">
        <v>52276</v>
      </c>
      <c r="C2277" s="2">
        <v>45480.76792264088</v>
      </c>
      <c r="D2277">
        <v>62</v>
      </c>
      <c r="E2277" t="s">
        <v>8</v>
      </c>
      <c r="F2277" t="s">
        <v>11</v>
      </c>
      <c r="G2277">
        <v>3776</v>
      </c>
    </row>
    <row r="2278" spans="1:7" x14ac:dyDescent="0.25">
      <c r="A2278">
        <v>1356</v>
      </c>
      <c r="B2278">
        <v>52277</v>
      </c>
      <c r="C2278" s="2">
        <v>45481.011337112359</v>
      </c>
      <c r="D2278">
        <v>60</v>
      </c>
      <c r="E2278" t="s">
        <v>7</v>
      </c>
      <c r="F2278" t="s">
        <v>10</v>
      </c>
      <c r="G2278">
        <v>1109</v>
      </c>
    </row>
    <row r="2279" spans="1:7" x14ac:dyDescent="0.25">
      <c r="A2279">
        <v>1582</v>
      </c>
      <c r="B2279">
        <v>52278</v>
      </c>
      <c r="C2279" s="2">
        <v>45481.254751583852</v>
      </c>
      <c r="D2279">
        <v>30</v>
      </c>
      <c r="E2279" t="s">
        <v>7</v>
      </c>
      <c r="F2279" t="s">
        <v>11</v>
      </c>
      <c r="G2279">
        <v>475</v>
      </c>
    </row>
    <row r="2280" spans="1:7" x14ac:dyDescent="0.25">
      <c r="A2280">
        <v>1260</v>
      </c>
      <c r="B2280">
        <v>52279</v>
      </c>
      <c r="C2280" s="2">
        <v>45481.498166055353</v>
      </c>
      <c r="D2280">
        <v>30</v>
      </c>
      <c r="E2280" t="s">
        <v>8</v>
      </c>
      <c r="F2280" t="s">
        <v>10</v>
      </c>
      <c r="G2280">
        <v>1091</v>
      </c>
    </row>
    <row r="2281" spans="1:7" x14ac:dyDescent="0.25">
      <c r="A2281">
        <v>1295</v>
      </c>
      <c r="B2281">
        <v>52280</v>
      </c>
      <c r="C2281" s="2">
        <v>45481.741580526839</v>
      </c>
      <c r="D2281">
        <v>39</v>
      </c>
      <c r="E2281" t="s">
        <v>7</v>
      </c>
      <c r="F2281" t="s">
        <v>11</v>
      </c>
      <c r="G2281">
        <v>212</v>
      </c>
    </row>
    <row r="2282" spans="1:7" x14ac:dyDescent="0.25">
      <c r="A2282">
        <v>1313</v>
      </c>
      <c r="B2282">
        <v>52281</v>
      </c>
      <c r="C2282" s="2">
        <v>45481.984994998318</v>
      </c>
      <c r="D2282">
        <v>45</v>
      </c>
      <c r="E2282" t="s">
        <v>7</v>
      </c>
      <c r="F2282" t="s">
        <v>10</v>
      </c>
      <c r="G2282">
        <v>4257</v>
      </c>
    </row>
    <row r="2283" spans="1:7" x14ac:dyDescent="0.25">
      <c r="A2283">
        <v>1182</v>
      </c>
      <c r="B2283">
        <v>52282</v>
      </c>
      <c r="C2283" s="2">
        <v>45482.228409469812</v>
      </c>
      <c r="D2283">
        <v>64</v>
      </c>
      <c r="E2283" t="s">
        <v>8</v>
      </c>
      <c r="F2283" t="s">
        <v>9</v>
      </c>
      <c r="G2283">
        <v>3225</v>
      </c>
    </row>
    <row r="2284" spans="1:7" x14ac:dyDescent="0.25">
      <c r="A2284">
        <v>1364</v>
      </c>
      <c r="B2284">
        <v>52283</v>
      </c>
      <c r="C2284" s="2">
        <v>45482.471823941312</v>
      </c>
      <c r="D2284">
        <v>62</v>
      </c>
      <c r="E2284" t="s">
        <v>8</v>
      </c>
      <c r="F2284" t="s">
        <v>10</v>
      </c>
      <c r="G2284">
        <v>1173</v>
      </c>
    </row>
    <row r="2285" spans="1:7" x14ac:dyDescent="0.25">
      <c r="A2285">
        <v>1188</v>
      </c>
      <c r="B2285">
        <v>52284</v>
      </c>
      <c r="C2285" s="2">
        <v>45482.715238412798</v>
      </c>
      <c r="D2285">
        <v>39</v>
      </c>
      <c r="E2285" t="s">
        <v>7</v>
      </c>
      <c r="F2285" t="s">
        <v>10</v>
      </c>
      <c r="G2285">
        <v>4470</v>
      </c>
    </row>
    <row r="2286" spans="1:7" x14ac:dyDescent="0.25">
      <c r="A2286">
        <v>1569</v>
      </c>
      <c r="B2286">
        <v>52285</v>
      </c>
      <c r="C2286" s="2">
        <v>45482.958652884292</v>
      </c>
      <c r="D2286">
        <v>60</v>
      </c>
      <c r="E2286" t="s">
        <v>7</v>
      </c>
      <c r="F2286" t="s">
        <v>11</v>
      </c>
      <c r="G2286">
        <v>4170</v>
      </c>
    </row>
    <row r="2287" spans="1:7" x14ac:dyDescent="0.25">
      <c r="A2287">
        <v>1543</v>
      </c>
      <c r="B2287">
        <v>52286</v>
      </c>
      <c r="C2287" s="2">
        <v>45483.202067355778</v>
      </c>
      <c r="D2287">
        <v>36</v>
      </c>
      <c r="E2287" t="s">
        <v>7</v>
      </c>
      <c r="F2287" t="s">
        <v>11</v>
      </c>
      <c r="G2287">
        <v>1608</v>
      </c>
    </row>
    <row r="2288" spans="1:7" x14ac:dyDescent="0.25">
      <c r="A2288">
        <v>1596</v>
      </c>
      <c r="B2288">
        <v>52287</v>
      </c>
      <c r="C2288" s="2">
        <v>45483.445481827272</v>
      </c>
      <c r="D2288">
        <v>25</v>
      </c>
      <c r="E2288" t="s">
        <v>8</v>
      </c>
      <c r="F2288" t="s">
        <v>11</v>
      </c>
      <c r="G2288">
        <v>2143</v>
      </c>
    </row>
    <row r="2289" spans="1:7" x14ac:dyDescent="0.25">
      <c r="A2289">
        <v>1548</v>
      </c>
      <c r="B2289">
        <v>52288</v>
      </c>
      <c r="C2289" s="2">
        <v>45483.688896298772</v>
      </c>
      <c r="D2289">
        <v>25</v>
      </c>
      <c r="E2289" t="s">
        <v>7</v>
      </c>
      <c r="F2289" t="s">
        <v>12</v>
      </c>
      <c r="G2289">
        <v>2488</v>
      </c>
    </row>
    <row r="2290" spans="1:7" x14ac:dyDescent="0.25">
      <c r="A2290">
        <v>1408</v>
      </c>
      <c r="B2290">
        <v>52289</v>
      </c>
      <c r="C2290" s="2">
        <v>45483.932310770251</v>
      </c>
      <c r="D2290">
        <v>59</v>
      </c>
      <c r="E2290" t="s">
        <v>7</v>
      </c>
      <c r="F2290" t="s">
        <v>12</v>
      </c>
      <c r="G2290">
        <v>746</v>
      </c>
    </row>
    <row r="2291" spans="1:7" x14ac:dyDescent="0.25">
      <c r="A2291">
        <v>1414</v>
      </c>
      <c r="B2291">
        <v>52290</v>
      </c>
      <c r="C2291" s="2">
        <v>45484.175725241737</v>
      </c>
      <c r="D2291">
        <v>43</v>
      </c>
      <c r="E2291" t="s">
        <v>7</v>
      </c>
      <c r="F2291" t="s">
        <v>10</v>
      </c>
      <c r="G2291">
        <v>1418</v>
      </c>
    </row>
    <row r="2292" spans="1:7" x14ac:dyDescent="0.25">
      <c r="A2292">
        <v>1342</v>
      </c>
      <c r="B2292">
        <v>52291</v>
      </c>
      <c r="C2292" s="2">
        <v>45484.419139713231</v>
      </c>
      <c r="D2292">
        <v>43</v>
      </c>
      <c r="E2292" t="s">
        <v>7</v>
      </c>
      <c r="F2292" t="s">
        <v>10</v>
      </c>
      <c r="G2292">
        <v>1620</v>
      </c>
    </row>
    <row r="2293" spans="1:7" x14ac:dyDescent="0.25">
      <c r="A2293">
        <v>1220</v>
      </c>
      <c r="B2293">
        <v>52292</v>
      </c>
      <c r="C2293" s="2">
        <v>45484.662554184717</v>
      </c>
      <c r="D2293">
        <v>40</v>
      </c>
      <c r="E2293" t="s">
        <v>7</v>
      </c>
      <c r="F2293" t="s">
        <v>9</v>
      </c>
      <c r="G2293">
        <v>1654</v>
      </c>
    </row>
    <row r="2294" spans="1:7" x14ac:dyDescent="0.25">
      <c r="A2294">
        <v>1163</v>
      </c>
      <c r="B2294">
        <v>52293</v>
      </c>
      <c r="C2294" s="2">
        <v>45484.905968656218</v>
      </c>
      <c r="D2294">
        <v>60</v>
      </c>
      <c r="E2294" t="s">
        <v>7</v>
      </c>
      <c r="F2294" t="s">
        <v>9</v>
      </c>
      <c r="G2294">
        <v>3577</v>
      </c>
    </row>
    <row r="2295" spans="1:7" x14ac:dyDescent="0.25">
      <c r="A2295">
        <v>1220</v>
      </c>
      <c r="B2295">
        <v>52294</v>
      </c>
      <c r="C2295" s="2">
        <v>45485.149383127711</v>
      </c>
      <c r="D2295">
        <v>30</v>
      </c>
      <c r="E2295" t="s">
        <v>8</v>
      </c>
      <c r="F2295" t="s">
        <v>10</v>
      </c>
      <c r="G2295">
        <v>2972</v>
      </c>
    </row>
    <row r="2296" spans="1:7" x14ac:dyDescent="0.25">
      <c r="A2296">
        <v>1270</v>
      </c>
      <c r="B2296">
        <v>52295</v>
      </c>
      <c r="C2296" s="2">
        <v>45485.39279759919</v>
      </c>
      <c r="D2296">
        <v>45</v>
      </c>
      <c r="E2296" t="s">
        <v>8</v>
      </c>
      <c r="F2296" t="s">
        <v>12</v>
      </c>
      <c r="G2296">
        <v>4298</v>
      </c>
    </row>
    <row r="2297" spans="1:7" x14ac:dyDescent="0.25">
      <c r="A2297">
        <v>1400</v>
      </c>
      <c r="B2297">
        <v>52296</v>
      </c>
      <c r="C2297" s="2">
        <v>45485.636212070684</v>
      </c>
      <c r="D2297">
        <v>26</v>
      </c>
      <c r="E2297" t="s">
        <v>7</v>
      </c>
      <c r="F2297" t="s">
        <v>10</v>
      </c>
      <c r="G2297">
        <v>2938</v>
      </c>
    </row>
    <row r="2298" spans="1:7" x14ac:dyDescent="0.25">
      <c r="A2298">
        <v>1182</v>
      </c>
      <c r="B2298">
        <v>52297</v>
      </c>
      <c r="C2298" s="2">
        <v>45485.879626542177</v>
      </c>
      <c r="D2298">
        <v>37</v>
      </c>
      <c r="E2298" t="s">
        <v>7</v>
      </c>
      <c r="F2298" t="s">
        <v>9</v>
      </c>
      <c r="G2298">
        <v>3947</v>
      </c>
    </row>
    <row r="2299" spans="1:7" x14ac:dyDescent="0.25">
      <c r="A2299">
        <v>1205</v>
      </c>
      <c r="B2299">
        <v>52298</v>
      </c>
      <c r="C2299" s="2">
        <v>45486.12304101367</v>
      </c>
      <c r="D2299">
        <v>36</v>
      </c>
      <c r="E2299" t="s">
        <v>8</v>
      </c>
      <c r="F2299" t="s">
        <v>12</v>
      </c>
      <c r="G2299">
        <v>2042</v>
      </c>
    </row>
    <row r="2300" spans="1:7" x14ac:dyDescent="0.25">
      <c r="A2300">
        <v>1582</v>
      </c>
      <c r="B2300">
        <v>52299</v>
      </c>
      <c r="C2300" s="2">
        <v>45486.366455485149</v>
      </c>
      <c r="D2300">
        <v>56</v>
      </c>
      <c r="E2300" t="s">
        <v>8</v>
      </c>
      <c r="F2300" t="s">
        <v>12</v>
      </c>
      <c r="G2300">
        <v>946</v>
      </c>
    </row>
    <row r="2301" spans="1:7" x14ac:dyDescent="0.25">
      <c r="A2301">
        <v>1556</v>
      </c>
      <c r="B2301">
        <v>52300</v>
      </c>
      <c r="C2301" s="2">
        <v>45486.609869956643</v>
      </c>
      <c r="D2301">
        <v>29</v>
      </c>
      <c r="E2301" t="s">
        <v>8</v>
      </c>
      <c r="F2301" t="s">
        <v>9</v>
      </c>
      <c r="G2301">
        <v>3016</v>
      </c>
    </row>
    <row r="2302" spans="1:7" x14ac:dyDescent="0.25">
      <c r="A2302">
        <v>1228</v>
      </c>
      <c r="B2302">
        <v>52301</v>
      </c>
      <c r="C2302" s="2">
        <v>45486.853284428144</v>
      </c>
      <c r="D2302">
        <v>32</v>
      </c>
      <c r="E2302" t="s">
        <v>7</v>
      </c>
      <c r="F2302" t="s">
        <v>10</v>
      </c>
      <c r="G2302">
        <v>1071</v>
      </c>
    </row>
    <row r="2303" spans="1:7" x14ac:dyDescent="0.25">
      <c r="A2303">
        <v>1596</v>
      </c>
      <c r="B2303">
        <v>52302</v>
      </c>
      <c r="C2303" s="2">
        <v>45487.09669889963</v>
      </c>
      <c r="D2303">
        <v>48</v>
      </c>
      <c r="E2303" t="s">
        <v>7</v>
      </c>
      <c r="F2303" t="s">
        <v>11</v>
      </c>
      <c r="G2303">
        <v>694</v>
      </c>
    </row>
    <row r="2304" spans="1:7" x14ac:dyDescent="0.25">
      <c r="A2304">
        <v>1250</v>
      </c>
      <c r="B2304">
        <v>52303</v>
      </c>
      <c r="C2304" s="2">
        <v>45487.340113371123</v>
      </c>
      <c r="D2304">
        <v>31</v>
      </c>
      <c r="E2304" t="s">
        <v>7</v>
      </c>
      <c r="F2304" t="s">
        <v>10</v>
      </c>
      <c r="G2304">
        <v>3644</v>
      </c>
    </row>
    <row r="2305" spans="1:7" x14ac:dyDescent="0.25">
      <c r="A2305">
        <v>1441</v>
      </c>
      <c r="B2305">
        <v>52304</v>
      </c>
      <c r="C2305" s="2">
        <v>45487.583527842602</v>
      </c>
      <c r="D2305">
        <v>28</v>
      </c>
      <c r="E2305" t="s">
        <v>7</v>
      </c>
      <c r="F2305" t="s">
        <v>10</v>
      </c>
      <c r="G2305">
        <v>4923</v>
      </c>
    </row>
    <row r="2306" spans="1:7" x14ac:dyDescent="0.25">
      <c r="A2306">
        <v>1533</v>
      </c>
      <c r="B2306">
        <v>52305</v>
      </c>
      <c r="C2306" s="2">
        <v>45487.826942314103</v>
      </c>
      <c r="D2306">
        <v>43</v>
      </c>
      <c r="E2306" t="s">
        <v>8</v>
      </c>
      <c r="F2306" t="s">
        <v>9</v>
      </c>
      <c r="G2306">
        <v>1275</v>
      </c>
    </row>
    <row r="2307" spans="1:7" x14ac:dyDescent="0.25">
      <c r="A2307">
        <v>1196</v>
      </c>
      <c r="B2307">
        <v>52306</v>
      </c>
      <c r="C2307" s="2">
        <v>45488.070356785589</v>
      </c>
      <c r="D2307">
        <v>59</v>
      </c>
      <c r="E2307" t="s">
        <v>8</v>
      </c>
      <c r="F2307" t="s">
        <v>12</v>
      </c>
      <c r="G2307">
        <v>4194</v>
      </c>
    </row>
    <row r="2308" spans="1:7" x14ac:dyDescent="0.25">
      <c r="A2308">
        <v>1519</v>
      </c>
      <c r="B2308">
        <v>52307</v>
      </c>
      <c r="C2308" s="2">
        <v>45488.313771257082</v>
      </c>
      <c r="D2308">
        <v>44</v>
      </c>
      <c r="E2308" t="s">
        <v>8</v>
      </c>
      <c r="F2308" t="s">
        <v>9</v>
      </c>
      <c r="G2308">
        <v>4437</v>
      </c>
    </row>
    <row r="2309" spans="1:7" x14ac:dyDescent="0.25">
      <c r="A2309">
        <v>1070</v>
      </c>
      <c r="B2309">
        <v>52308</v>
      </c>
      <c r="C2309" s="2">
        <v>45488.557185728561</v>
      </c>
      <c r="D2309">
        <v>28</v>
      </c>
      <c r="E2309" t="s">
        <v>8</v>
      </c>
      <c r="F2309" t="s">
        <v>10</v>
      </c>
      <c r="G2309">
        <v>245</v>
      </c>
    </row>
    <row r="2310" spans="1:7" x14ac:dyDescent="0.25">
      <c r="A2310">
        <v>1399</v>
      </c>
      <c r="B2310">
        <v>52309</v>
      </c>
      <c r="C2310" s="2">
        <v>45488.800600200047</v>
      </c>
      <c r="D2310">
        <v>55</v>
      </c>
      <c r="E2310" t="s">
        <v>7</v>
      </c>
      <c r="F2310" t="s">
        <v>11</v>
      </c>
      <c r="G2310">
        <v>3256</v>
      </c>
    </row>
    <row r="2311" spans="1:7" x14ac:dyDescent="0.25">
      <c r="A2311">
        <v>1203</v>
      </c>
      <c r="B2311">
        <v>52310</v>
      </c>
      <c r="C2311" s="2">
        <v>45489.044014671548</v>
      </c>
      <c r="D2311">
        <v>51</v>
      </c>
      <c r="E2311" t="s">
        <v>7</v>
      </c>
      <c r="F2311" t="s">
        <v>11</v>
      </c>
      <c r="G2311">
        <v>2257</v>
      </c>
    </row>
    <row r="2312" spans="1:7" x14ac:dyDescent="0.25">
      <c r="A2312">
        <v>1148</v>
      </c>
      <c r="B2312">
        <v>52311</v>
      </c>
      <c r="C2312" s="2">
        <v>45489.287429143042</v>
      </c>
      <c r="D2312">
        <v>60</v>
      </c>
      <c r="E2312" t="s">
        <v>8</v>
      </c>
      <c r="F2312" t="s">
        <v>11</v>
      </c>
      <c r="G2312">
        <v>863</v>
      </c>
    </row>
    <row r="2313" spans="1:7" x14ac:dyDescent="0.25">
      <c r="A2313">
        <v>1472</v>
      </c>
      <c r="B2313">
        <v>52312</v>
      </c>
      <c r="C2313" s="2">
        <v>45489.530843614542</v>
      </c>
      <c r="D2313">
        <v>36</v>
      </c>
      <c r="E2313" t="s">
        <v>8</v>
      </c>
      <c r="F2313" t="s">
        <v>9</v>
      </c>
      <c r="G2313">
        <v>4868</v>
      </c>
    </row>
    <row r="2314" spans="1:7" x14ac:dyDescent="0.25">
      <c r="A2314">
        <v>1199</v>
      </c>
      <c r="B2314">
        <v>52313</v>
      </c>
      <c r="C2314" s="2">
        <v>45489.774258086021</v>
      </c>
      <c r="D2314">
        <v>23</v>
      </c>
      <c r="E2314" t="s">
        <v>8</v>
      </c>
      <c r="F2314" t="s">
        <v>12</v>
      </c>
      <c r="G2314">
        <v>2229</v>
      </c>
    </row>
    <row r="2315" spans="1:7" x14ac:dyDescent="0.25">
      <c r="A2315">
        <v>1426</v>
      </c>
      <c r="B2315">
        <v>52314</v>
      </c>
      <c r="C2315" s="2">
        <v>45490.017672557507</v>
      </c>
      <c r="D2315">
        <v>63</v>
      </c>
      <c r="E2315" t="s">
        <v>8</v>
      </c>
      <c r="F2315" t="s">
        <v>9</v>
      </c>
      <c r="G2315">
        <v>2896</v>
      </c>
    </row>
    <row r="2316" spans="1:7" x14ac:dyDescent="0.25">
      <c r="A2316">
        <v>1492</v>
      </c>
      <c r="B2316">
        <v>52315</v>
      </c>
      <c r="C2316" s="2">
        <v>45490.261087029008</v>
      </c>
      <c r="D2316">
        <v>55</v>
      </c>
      <c r="E2316" t="s">
        <v>8</v>
      </c>
      <c r="F2316" t="s">
        <v>11</v>
      </c>
      <c r="G2316">
        <v>839</v>
      </c>
    </row>
    <row r="2317" spans="1:7" x14ac:dyDescent="0.25">
      <c r="A2317">
        <v>1142</v>
      </c>
      <c r="B2317">
        <v>52316</v>
      </c>
      <c r="C2317" s="2">
        <v>45490.504501500487</v>
      </c>
      <c r="D2317">
        <v>59</v>
      </c>
      <c r="E2317" t="s">
        <v>7</v>
      </c>
      <c r="F2317" t="s">
        <v>10</v>
      </c>
      <c r="G2317">
        <v>2863</v>
      </c>
    </row>
    <row r="2318" spans="1:7" x14ac:dyDescent="0.25">
      <c r="A2318">
        <v>1313</v>
      </c>
      <c r="B2318">
        <v>52317</v>
      </c>
      <c r="C2318" s="2">
        <v>45490.747915971981</v>
      </c>
      <c r="D2318">
        <v>45</v>
      </c>
      <c r="E2318" t="s">
        <v>7</v>
      </c>
      <c r="F2318" t="s">
        <v>12</v>
      </c>
      <c r="G2318">
        <v>2945</v>
      </c>
    </row>
    <row r="2319" spans="1:7" x14ac:dyDescent="0.25">
      <c r="A2319">
        <v>1165</v>
      </c>
      <c r="B2319">
        <v>52318</v>
      </c>
      <c r="C2319" s="2">
        <v>45490.991330443467</v>
      </c>
      <c r="D2319">
        <v>18</v>
      </c>
      <c r="E2319" t="s">
        <v>8</v>
      </c>
      <c r="F2319" t="s">
        <v>9</v>
      </c>
      <c r="G2319">
        <v>4602</v>
      </c>
    </row>
    <row r="2320" spans="1:7" x14ac:dyDescent="0.25">
      <c r="A2320">
        <v>1314</v>
      </c>
      <c r="B2320">
        <v>52319</v>
      </c>
      <c r="C2320" s="2">
        <v>45491.234744914967</v>
      </c>
      <c r="D2320">
        <v>52</v>
      </c>
      <c r="E2320" t="s">
        <v>8</v>
      </c>
      <c r="F2320" t="s">
        <v>9</v>
      </c>
      <c r="G2320">
        <v>2795</v>
      </c>
    </row>
    <row r="2321" spans="1:7" x14ac:dyDescent="0.25">
      <c r="A2321">
        <v>1021</v>
      </c>
      <c r="B2321">
        <v>52320</v>
      </c>
      <c r="C2321" s="2">
        <v>45491.478159386461</v>
      </c>
      <c r="D2321">
        <v>57</v>
      </c>
      <c r="E2321" t="s">
        <v>8</v>
      </c>
      <c r="F2321" t="s">
        <v>12</v>
      </c>
      <c r="G2321">
        <v>3627</v>
      </c>
    </row>
    <row r="2322" spans="1:7" x14ac:dyDescent="0.25">
      <c r="A2322">
        <v>1082</v>
      </c>
      <c r="B2322">
        <v>52321</v>
      </c>
      <c r="C2322" s="2">
        <v>45491.721573857947</v>
      </c>
      <c r="D2322">
        <v>25</v>
      </c>
      <c r="E2322" t="s">
        <v>7</v>
      </c>
      <c r="F2322" t="s">
        <v>12</v>
      </c>
      <c r="G2322">
        <v>594</v>
      </c>
    </row>
    <row r="2323" spans="1:7" x14ac:dyDescent="0.25">
      <c r="A2323">
        <v>1581</v>
      </c>
      <c r="B2323">
        <v>52322</v>
      </c>
      <c r="C2323" s="2">
        <v>45491.964988329433</v>
      </c>
      <c r="D2323">
        <v>64</v>
      </c>
      <c r="E2323" t="s">
        <v>7</v>
      </c>
      <c r="F2323" t="s">
        <v>10</v>
      </c>
      <c r="G2323">
        <v>3797</v>
      </c>
    </row>
    <row r="2324" spans="1:7" x14ac:dyDescent="0.25">
      <c r="A2324">
        <v>1131</v>
      </c>
      <c r="B2324">
        <v>52323</v>
      </c>
      <c r="C2324" s="2">
        <v>45492.208402800927</v>
      </c>
      <c r="D2324">
        <v>24</v>
      </c>
      <c r="E2324" t="s">
        <v>7</v>
      </c>
      <c r="F2324" t="s">
        <v>12</v>
      </c>
      <c r="G2324">
        <v>2532</v>
      </c>
    </row>
    <row r="2325" spans="1:7" x14ac:dyDescent="0.25">
      <c r="A2325">
        <v>1599</v>
      </c>
      <c r="B2325">
        <v>52324</v>
      </c>
      <c r="C2325" s="2">
        <v>45492.45181727242</v>
      </c>
      <c r="D2325">
        <v>28</v>
      </c>
      <c r="E2325" t="s">
        <v>8</v>
      </c>
      <c r="F2325" t="s">
        <v>10</v>
      </c>
      <c r="G2325">
        <v>529</v>
      </c>
    </row>
    <row r="2326" spans="1:7" x14ac:dyDescent="0.25">
      <c r="A2326">
        <v>1305</v>
      </c>
      <c r="B2326">
        <v>52325</v>
      </c>
      <c r="C2326" s="2">
        <v>45492.695231743914</v>
      </c>
      <c r="D2326">
        <v>56</v>
      </c>
      <c r="E2326" t="s">
        <v>7</v>
      </c>
      <c r="F2326" t="s">
        <v>11</v>
      </c>
      <c r="G2326">
        <v>2297</v>
      </c>
    </row>
    <row r="2327" spans="1:7" x14ac:dyDescent="0.25">
      <c r="A2327">
        <v>1371</v>
      </c>
      <c r="B2327">
        <v>52326</v>
      </c>
      <c r="C2327" s="2">
        <v>45492.938646215407</v>
      </c>
      <c r="D2327">
        <v>21</v>
      </c>
      <c r="E2327" t="s">
        <v>8</v>
      </c>
      <c r="F2327" t="s">
        <v>11</v>
      </c>
      <c r="G2327">
        <v>972</v>
      </c>
    </row>
    <row r="2328" spans="1:7" x14ac:dyDescent="0.25">
      <c r="A2328">
        <v>1384</v>
      </c>
      <c r="B2328">
        <v>52327</v>
      </c>
      <c r="C2328" s="2">
        <v>45493.182060686893</v>
      </c>
      <c r="D2328">
        <v>42</v>
      </c>
      <c r="E2328" t="s">
        <v>7</v>
      </c>
      <c r="F2328" t="s">
        <v>9</v>
      </c>
      <c r="G2328">
        <v>1845</v>
      </c>
    </row>
    <row r="2329" spans="1:7" x14ac:dyDescent="0.25">
      <c r="A2329">
        <v>1445</v>
      </c>
      <c r="B2329">
        <v>52328</v>
      </c>
      <c r="C2329" s="2">
        <v>45493.425475158379</v>
      </c>
      <c r="D2329">
        <v>29</v>
      </c>
      <c r="E2329" t="s">
        <v>7</v>
      </c>
      <c r="F2329" t="s">
        <v>11</v>
      </c>
      <c r="G2329">
        <v>1932</v>
      </c>
    </row>
    <row r="2330" spans="1:7" x14ac:dyDescent="0.25">
      <c r="A2330">
        <v>1425</v>
      </c>
      <c r="B2330">
        <v>52329</v>
      </c>
      <c r="C2330" s="2">
        <v>45493.668889629873</v>
      </c>
      <c r="D2330">
        <v>43</v>
      </c>
      <c r="E2330" t="s">
        <v>7</v>
      </c>
      <c r="F2330" t="s">
        <v>11</v>
      </c>
      <c r="G2330">
        <v>4673</v>
      </c>
    </row>
    <row r="2331" spans="1:7" x14ac:dyDescent="0.25">
      <c r="A2331">
        <v>1161</v>
      </c>
      <c r="B2331">
        <v>52330</v>
      </c>
      <c r="C2331" s="2">
        <v>45493.912304101374</v>
      </c>
      <c r="D2331">
        <v>55</v>
      </c>
      <c r="E2331" t="s">
        <v>8</v>
      </c>
      <c r="F2331" t="s">
        <v>10</v>
      </c>
      <c r="G2331">
        <v>1987</v>
      </c>
    </row>
    <row r="2332" spans="1:7" x14ac:dyDescent="0.25">
      <c r="A2332">
        <v>1178</v>
      </c>
      <c r="B2332">
        <v>52331</v>
      </c>
      <c r="C2332" s="2">
        <v>45494.155718572852</v>
      </c>
      <c r="D2332">
        <v>63</v>
      </c>
      <c r="E2332" t="s">
        <v>8</v>
      </c>
      <c r="F2332" t="s">
        <v>9</v>
      </c>
      <c r="G2332">
        <v>1823</v>
      </c>
    </row>
    <row r="2333" spans="1:7" x14ac:dyDescent="0.25">
      <c r="A2333">
        <v>1490</v>
      </c>
      <c r="B2333">
        <v>52332</v>
      </c>
      <c r="C2333" s="2">
        <v>45494.399133044339</v>
      </c>
      <c r="D2333">
        <v>29</v>
      </c>
      <c r="E2333" t="s">
        <v>7</v>
      </c>
      <c r="F2333" t="s">
        <v>12</v>
      </c>
      <c r="G2333">
        <v>1199</v>
      </c>
    </row>
    <row r="2334" spans="1:7" x14ac:dyDescent="0.25">
      <c r="A2334">
        <v>1327</v>
      </c>
      <c r="B2334">
        <v>52333</v>
      </c>
      <c r="C2334" s="2">
        <v>45494.642547515832</v>
      </c>
      <c r="D2334">
        <v>60</v>
      </c>
      <c r="E2334" t="s">
        <v>8</v>
      </c>
      <c r="F2334" t="s">
        <v>9</v>
      </c>
      <c r="G2334">
        <v>2048</v>
      </c>
    </row>
    <row r="2335" spans="1:7" x14ac:dyDescent="0.25">
      <c r="A2335">
        <v>1598</v>
      </c>
      <c r="B2335">
        <v>52334</v>
      </c>
      <c r="C2335" s="2">
        <v>45494.885961987333</v>
      </c>
      <c r="D2335">
        <v>54</v>
      </c>
      <c r="E2335" t="s">
        <v>8</v>
      </c>
      <c r="F2335" t="s">
        <v>11</v>
      </c>
      <c r="G2335">
        <v>1761</v>
      </c>
    </row>
    <row r="2336" spans="1:7" x14ac:dyDescent="0.25">
      <c r="A2336">
        <v>1289</v>
      </c>
      <c r="B2336">
        <v>52335</v>
      </c>
      <c r="C2336" s="2">
        <v>45495.129376458819</v>
      </c>
      <c r="D2336">
        <v>63</v>
      </c>
      <c r="E2336" t="s">
        <v>8</v>
      </c>
      <c r="F2336" t="s">
        <v>12</v>
      </c>
      <c r="G2336">
        <v>973</v>
      </c>
    </row>
    <row r="2337" spans="1:7" x14ac:dyDescent="0.25">
      <c r="A2337">
        <v>1593</v>
      </c>
      <c r="B2337">
        <v>52336</v>
      </c>
      <c r="C2337" s="2">
        <v>45495.372790930298</v>
      </c>
      <c r="D2337">
        <v>41</v>
      </c>
      <c r="E2337" t="s">
        <v>8</v>
      </c>
      <c r="F2337" t="s">
        <v>9</v>
      </c>
      <c r="G2337">
        <v>2003</v>
      </c>
    </row>
    <row r="2338" spans="1:7" x14ac:dyDescent="0.25">
      <c r="A2338">
        <v>1573</v>
      </c>
      <c r="B2338">
        <v>52337</v>
      </c>
      <c r="C2338" s="2">
        <v>45495.616205401791</v>
      </c>
      <c r="D2338">
        <v>33</v>
      </c>
      <c r="E2338" t="s">
        <v>8</v>
      </c>
      <c r="F2338" t="s">
        <v>9</v>
      </c>
      <c r="G2338">
        <v>1298</v>
      </c>
    </row>
    <row r="2339" spans="1:7" x14ac:dyDescent="0.25">
      <c r="A2339">
        <v>1573</v>
      </c>
      <c r="B2339">
        <v>52338</v>
      </c>
      <c r="C2339" s="2">
        <v>45495.859619873278</v>
      </c>
      <c r="D2339">
        <v>30</v>
      </c>
      <c r="E2339" t="s">
        <v>8</v>
      </c>
      <c r="F2339" t="s">
        <v>9</v>
      </c>
      <c r="G2339">
        <v>2250</v>
      </c>
    </row>
    <row r="2340" spans="1:7" x14ac:dyDescent="0.25">
      <c r="A2340">
        <v>1354</v>
      </c>
      <c r="B2340">
        <v>52339</v>
      </c>
      <c r="C2340" s="2">
        <v>45496.103034344778</v>
      </c>
      <c r="D2340">
        <v>42</v>
      </c>
      <c r="E2340" t="s">
        <v>8</v>
      </c>
      <c r="F2340" t="s">
        <v>9</v>
      </c>
      <c r="G2340">
        <v>1798</v>
      </c>
    </row>
    <row r="2341" spans="1:7" x14ac:dyDescent="0.25">
      <c r="A2341">
        <v>1028</v>
      </c>
      <c r="B2341">
        <v>52340</v>
      </c>
      <c r="C2341" s="2">
        <v>45496.346448816257</v>
      </c>
      <c r="D2341">
        <v>21</v>
      </c>
      <c r="E2341" t="s">
        <v>7</v>
      </c>
      <c r="F2341" t="s">
        <v>10</v>
      </c>
      <c r="G2341">
        <v>947</v>
      </c>
    </row>
    <row r="2342" spans="1:7" x14ac:dyDescent="0.25">
      <c r="A2342">
        <v>1043</v>
      </c>
      <c r="B2342">
        <v>52341</v>
      </c>
      <c r="C2342" s="2">
        <v>45496.589863287758</v>
      </c>
      <c r="D2342">
        <v>28</v>
      </c>
      <c r="E2342" t="s">
        <v>8</v>
      </c>
      <c r="F2342" t="s">
        <v>9</v>
      </c>
      <c r="G2342">
        <v>4173</v>
      </c>
    </row>
    <row r="2343" spans="1:7" x14ac:dyDescent="0.25">
      <c r="A2343">
        <v>1423</v>
      </c>
      <c r="B2343">
        <v>52342</v>
      </c>
      <c r="C2343" s="2">
        <v>45496.833277759237</v>
      </c>
      <c r="D2343">
        <v>49</v>
      </c>
      <c r="E2343" t="s">
        <v>8</v>
      </c>
      <c r="F2343" t="s">
        <v>11</v>
      </c>
      <c r="G2343">
        <v>2522</v>
      </c>
    </row>
    <row r="2344" spans="1:7" x14ac:dyDescent="0.25">
      <c r="A2344">
        <v>1598</v>
      </c>
      <c r="B2344">
        <v>52343</v>
      </c>
      <c r="C2344" s="2">
        <v>45497.076692230738</v>
      </c>
      <c r="D2344">
        <v>24</v>
      </c>
      <c r="E2344" t="s">
        <v>7</v>
      </c>
      <c r="F2344" t="s">
        <v>11</v>
      </c>
      <c r="G2344">
        <v>1753</v>
      </c>
    </row>
    <row r="2345" spans="1:7" x14ac:dyDescent="0.25">
      <c r="A2345">
        <v>1177</v>
      </c>
      <c r="B2345">
        <v>52344</v>
      </c>
      <c r="C2345" s="2">
        <v>45497.320106702231</v>
      </c>
      <c r="D2345">
        <v>63</v>
      </c>
      <c r="E2345" t="s">
        <v>7</v>
      </c>
      <c r="F2345" t="s">
        <v>10</v>
      </c>
      <c r="G2345">
        <v>1815</v>
      </c>
    </row>
    <row r="2346" spans="1:7" x14ac:dyDescent="0.25">
      <c r="A2346">
        <v>1529</v>
      </c>
      <c r="B2346">
        <v>52345</v>
      </c>
      <c r="C2346" s="2">
        <v>45497.563521173717</v>
      </c>
      <c r="D2346">
        <v>28</v>
      </c>
      <c r="E2346" t="s">
        <v>7</v>
      </c>
      <c r="F2346" t="s">
        <v>12</v>
      </c>
      <c r="G2346">
        <v>3954</v>
      </c>
    </row>
    <row r="2347" spans="1:7" x14ac:dyDescent="0.25">
      <c r="A2347">
        <v>1494</v>
      </c>
      <c r="B2347">
        <v>52346</v>
      </c>
      <c r="C2347" s="2">
        <v>45497.806935645211</v>
      </c>
      <c r="D2347">
        <v>45</v>
      </c>
      <c r="E2347" t="s">
        <v>7</v>
      </c>
      <c r="F2347" t="s">
        <v>12</v>
      </c>
      <c r="G2347">
        <v>4624</v>
      </c>
    </row>
    <row r="2348" spans="1:7" x14ac:dyDescent="0.25">
      <c r="A2348">
        <v>1198</v>
      </c>
      <c r="B2348">
        <v>52347</v>
      </c>
      <c r="C2348" s="2">
        <v>45498.050350116697</v>
      </c>
      <c r="D2348">
        <v>58</v>
      </c>
      <c r="E2348" t="s">
        <v>8</v>
      </c>
      <c r="F2348" t="s">
        <v>11</v>
      </c>
      <c r="G2348">
        <v>2502</v>
      </c>
    </row>
    <row r="2349" spans="1:7" x14ac:dyDescent="0.25">
      <c r="A2349">
        <v>1577</v>
      </c>
      <c r="B2349">
        <v>52348</v>
      </c>
      <c r="C2349" s="2">
        <v>45498.293764588198</v>
      </c>
      <c r="D2349">
        <v>40</v>
      </c>
      <c r="E2349" t="s">
        <v>7</v>
      </c>
      <c r="F2349" t="s">
        <v>11</v>
      </c>
      <c r="G2349">
        <v>4421</v>
      </c>
    </row>
    <row r="2350" spans="1:7" x14ac:dyDescent="0.25">
      <c r="A2350">
        <v>1517</v>
      </c>
      <c r="B2350">
        <v>52349</v>
      </c>
      <c r="C2350" s="2">
        <v>45498.537179059676</v>
      </c>
      <c r="D2350">
        <v>62</v>
      </c>
      <c r="E2350" t="s">
        <v>7</v>
      </c>
      <c r="F2350" t="s">
        <v>10</v>
      </c>
      <c r="G2350">
        <v>3855</v>
      </c>
    </row>
    <row r="2351" spans="1:7" x14ac:dyDescent="0.25">
      <c r="A2351">
        <v>1514</v>
      </c>
      <c r="B2351">
        <v>52350</v>
      </c>
      <c r="C2351" s="2">
        <v>45498.78059353117</v>
      </c>
      <c r="D2351">
        <v>40</v>
      </c>
      <c r="E2351" t="s">
        <v>8</v>
      </c>
      <c r="F2351" t="s">
        <v>12</v>
      </c>
      <c r="G2351">
        <v>3595</v>
      </c>
    </row>
    <row r="2352" spans="1:7" x14ac:dyDescent="0.25">
      <c r="A2352">
        <v>1022</v>
      </c>
      <c r="B2352">
        <v>52351</v>
      </c>
      <c r="C2352" s="2">
        <v>45499.024008002663</v>
      </c>
      <c r="D2352">
        <v>45</v>
      </c>
      <c r="E2352" t="s">
        <v>8</v>
      </c>
      <c r="F2352" t="s">
        <v>12</v>
      </c>
      <c r="G2352">
        <v>416</v>
      </c>
    </row>
    <row r="2353" spans="1:7" x14ac:dyDescent="0.25">
      <c r="A2353">
        <v>1112</v>
      </c>
      <c r="B2353">
        <v>52352</v>
      </c>
      <c r="C2353" s="2">
        <v>45499.267422474157</v>
      </c>
      <c r="D2353">
        <v>60</v>
      </c>
      <c r="E2353" t="s">
        <v>8</v>
      </c>
      <c r="F2353" t="s">
        <v>9</v>
      </c>
      <c r="G2353">
        <v>3516</v>
      </c>
    </row>
    <row r="2354" spans="1:7" x14ac:dyDescent="0.25">
      <c r="A2354">
        <v>1057</v>
      </c>
      <c r="B2354">
        <v>52353</v>
      </c>
      <c r="C2354" s="2">
        <v>45499.51083694565</v>
      </c>
      <c r="D2354">
        <v>64</v>
      </c>
      <c r="E2354" t="s">
        <v>7</v>
      </c>
      <c r="F2354" t="s">
        <v>9</v>
      </c>
      <c r="G2354">
        <v>1559</v>
      </c>
    </row>
    <row r="2355" spans="1:7" x14ac:dyDescent="0.25">
      <c r="A2355">
        <v>1066</v>
      </c>
      <c r="B2355">
        <v>52354</v>
      </c>
      <c r="C2355" s="2">
        <v>45499.754251417129</v>
      </c>
      <c r="D2355">
        <v>43</v>
      </c>
      <c r="E2355" t="s">
        <v>8</v>
      </c>
      <c r="F2355" t="s">
        <v>9</v>
      </c>
      <c r="G2355">
        <v>3974</v>
      </c>
    </row>
    <row r="2356" spans="1:7" x14ac:dyDescent="0.25">
      <c r="A2356">
        <v>1098</v>
      </c>
      <c r="B2356">
        <v>52355</v>
      </c>
      <c r="C2356" s="2">
        <v>45499.997665888623</v>
      </c>
      <c r="D2356">
        <v>42</v>
      </c>
      <c r="E2356" t="s">
        <v>7</v>
      </c>
      <c r="F2356" t="s">
        <v>10</v>
      </c>
      <c r="G2356">
        <v>4477</v>
      </c>
    </row>
    <row r="2357" spans="1:7" x14ac:dyDescent="0.25">
      <c r="A2357">
        <v>1144</v>
      </c>
      <c r="B2357">
        <v>52356</v>
      </c>
      <c r="C2357" s="2">
        <v>45500.241080360123</v>
      </c>
      <c r="D2357">
        <v>46</v>
      </c>
      <c r="E2357" t="s">
        <v>8</v>
      </c>
      <c r="F2357" t="s">
        <v>11</v>
      </c>
      <c r="G2357">
        <v>4629</v>
      </c>
    </row>
    <row r="2358" spans="1:7" x14ac:dyDescent="0.25">
      <c r="A2358">
        <v>1435</v>
      </c>
      <c r="B2358">
        <v>52357</v>
      </c>
      <c r="C2358" s="2">
        <v>45500.484494831609</v>
      </c>
      <c r="D2358">
        <v>36</v>
      </c>
      <c r="E2358" t="s">
        <v>8</v>
      </c>
      <c r="F2358" t="s">
        <v>10</v>
      </c>
      <c r="G2358">
        <v>4806</v>
      </c>
    </row>
    <row r="2359" spans="1:7" x14ac:dyDescent="0.25">
      <c r="A2359">
        <v>1086</v>
      </c>
      <c r="B2359">
        <v>52358</v>
      </c>
      <c r="C2359" s="2">
        <v>45500.727909303088</v>
      </c>
      <c r="D2359">
        <v>50</v>
      </c>
      <c r="E2359" t="s">
        <v>7</v>
      </c>
      <c r="F2359" t="s">
        <v>12</v>
      </c>
      <c r="G2359">
        <v>4678</v>
      </c>
    </row>
    <row r="2360" spans="1:7" x14ac:dyDescent="0.25">
      <c r="A2360">
        <v>1588</v>
      </c>
      <c r="B2360">
        <v>52359</v>
      </c>
      <c r="C2360" s="2">
        <v>45500.971323774582</v>
      </c>
      <c r="D2360">
        <v>53</v>
      </c>
      <c r="E2360" t="s">
        <v>8</v>
      </c>
      <c r="F2360" t="s">
        <v>11</v>
      </c>
      <c r="G2360">
        <v>2096</v>
      </c>
    </row>
    <row r="2361" spans="1:7" x14ac:dyDescent="0.25">
      <c r="A2361">
        <v>1344</v>
      </c>
      <c r="B2361">
        <v>52360</v>
      </c>
      <c r="C2361" s="2">
        <v>45501.214738246083</v>
      </c>
      <c r="D2361">
        <v>31</v>
      </c>
      <c r="E2361" t="s">
        <v>8</v>
      </c>
      <c r="F2361" t="s">
        <v>9</v>
      </c>
      <c r="G2361">
        <v>4627</v>
      </c>
    </row>
    <row r="2362" spans="1:7" x14ac:dyDescent="0.25">
      <c r="A2362">
        <v>1294</v>
      </c>
      <c r="B2362">
        <v>52361</v>
      </c>
      <c r="C2362" s="2">
        <v>45501.458152717569</v>
      </c>
      <c r="D2362">
        <v>31</v>
      </c>
      <c r="E2362" t="s">
        <v>8</v>
      </c>
      <c r="F2362" t="s">
        <v>10</v>
      </c>
      <c r="G2362">
        <v>1099</v>
      </c>
    </row>
    <row r="2363" spans="1:7" x14ac:dyDescent="0.25">
      <c r="A2363">
        <v>1571</v>
      </c>
      <c r="B2363">
        <v>52362</v>
      </c>
      <c r="C2363" s="2">
        <v>45501.701567189062</v>
      </c>
      <c r="D2363">
        <v>52</v>
      </c>
      <c r="E2363" t="s">
        <v>8</v>
      </c>
      <c r="F2363" t="s">
        <v>10</v>
      </c>
      <c r="G2363">
        <v>841</v>
      </c>
    </row>
    <row r="2364" spans="1:7" x14ac:dyDescent="0.25">
      <c r="A2364">
        <v>1243</v>
      </c>
      <c r="B2364">
        <v>52363</v>
      </c>
      <c r="C2364" s="2">
        <v>45501.944981660541</v>
      </c>
      <c r="D2364">
        <v>47</v>
      </c>
      <c r="E2364" t="s">
        <v>8</v>
      </c>
      <c r="F2364" t="s">
        <v>9</v>
      </c>
      <c r="G2364">
        <v>4929</v>
      </c>
    </row>
    <row r="2365" spans="1:7" x14ac:dyDescent="0.25">
      <c r="A2365">
        <v>1561</v>
      </c>
      <c r="B2365">
        <v>52364</v>
      </c>
      <c r="C2365" s="2">
        <v>45502.188396132027</v>
      </c>
      <c r="D2365">
        <v>45</v>
      </c>
      <c r="E2365" t="s">
        <v>7</v>
      </c>
      <c r="F2365" t="s">
        <v>10</v>
      </c>
      <c r="G2365">
        <v>3827</v>
      </c>
    </row>
    <row r="2366" spans="1:7" x14ac:dyDescent="0.25">
      <c r="A2366">
        <v>1032</v>
      </c>
      <c r="B2366">
        <v>52365</v>
      </c>
      <c r="C2366" s="2">
        <v>45502.431810603528</v>
      </c>
      <c r="D2366">
        <v>34</v>
      </c>
      <c r="E2366" t="s">
        <v>7</v>
      </c>
      <c r="F2366" t="s">
        <v>9</v>
      </c>
      <c r="G2366">
        <v>395</v>
      </c>
    </row>
    <row r="2367" spans="1:7" x14ac:dyDescent="0.25">
      <c r="A2367">
        <v>1391</v>
      </c>
      <c r="B2367">
        <v>52366</v>
      </c>
      <c r="C2367" s="2">
        <v>45502.675225075021</v>
      </c>
      <c r="D2367">
        <v>20</v>
      </c>
      <c r="E2367" t="s">
        <v>8</v>
      </c>
      <c r="F2367" t="s">
        <v>12</v>
      </c>
      <c r="G2367">
        <v>2093</v>
      </c>
    </row>
    <row r="2368" spans="1:7" x14ac:dyDescent="0.25">
      <c r="A2368">
        <v>1277</v>
      </c>
      <c r="B2368">
        <v>52367</v>
      </c>
      <c r="C2368" s="2">
        <v>45502.918639546508</v>
      </c>
      <c r="D2368">
        <v>33</v>
      </c>
      <c r="E2368" t="s">
        <v>7</v>
      </c>
      <c r="F2368" t="s">
        <v>11</v>
      </c>
      <c r="G2368">
        <v>3475</v>
      </c>
    </row>
    <row r="2369" spans="1:7" x14ac:dyDescent="0.25">
      <c r="A2369">
        <v>1532</v>
      </c>
      <c r="B2369">
        <v>52368</v>
      </c>
      <c r="C2369" s="2">
        <v>45503.162054018001</v>
      </c>
      <c r="D2369">
        <v>63</v>
      </c>
      <c r="E2369" t="s">
        <v>7</v>
      </c>
      <c r="F2369" t="s">
        <v>12</v>
      </c>
      <c r="G2369">
        <v>4250</v>
      </c>
    </row>
    <row r="2370" spans="1:7" x14ac:dyDescent="0.25">
      <c r="A2370">
        <v>1154</v>
      </c>
      <c r="B2370">
        <v>52369</v>
      </c>
      <c r="C2370" s="2">
        <v>45503.405468489487</v>
      </c>
      <c r="D2370">
        <v>47</v>
      </c>
      <c r="E2370" t="s">
        <v>7</v>
      </c>
      <c r="F2370" t="s">
        <v>12</v>
      </c>
      <c r="G2370">
        <v>4753</v>
      </c>
    </row>
    <row r="2371" spans="1:7" x14ac:dyDescent="0.25">
      <c r="A2371">
        <v>1383</v>
      </c>
      <c r="B2371">
        <v>52370</v>
      </c>
      <c r="C2371" s="2">
        <v>45503.648882960981</v>
      </c>
      <c r="D2371">
        <v>46</v>
      </c>
      <c r="E2371" t="s">
        <v>8</v>
      </c>
      <c r="F2371" t="s">
        <v>9</v>
      </c>
      <c r="G2371">
        <v>2504</v>
      </c>
    </row>
    <row r="2372" spans="1:7" x14ac:dyDescent="0.25">
      <c r="A2372">
        <v>1068</v>
      </c>
      <c r="B2372">
        <v>52371</v>
      </c>
      <c r="C2372" s="2">
        <v>45503.892297432467</v>
      </c>
      <c r="D2372">
        <v>62</v>
      </c>
      <c r="E2372" t="s">
        <v>8</v>
      </c>
      <c r="F2372" t="s">
        <v>10</v>
      </c>
      <c r="G2372">
        <v>3800</v>
      </c>
    </row>
    <row r="2373" spans="1:7" x14ac:dyDescent="0.25">
      <c r="A2373">
        <v>1214</v>
      </c>
      <c r="B2373">
        <v>52372</v>
      </c>
      <c r="C2373" s="2">
        <v>45504.13571190396</v>
      </c>
      <c r="D2373">
        <v>32</v>
      </c>
      <c r="E2373" t="s">
        <v>8</v>
      </c>
      <c r="F2373" t="s">
        <v>12</v>
      </c>
      <c r="G2373">
        <v>3543</v>
      </c>
    </row>
    <row r="2374" spans="1:7" x14ac:dyDescent="0.25">
      <c r="A2374">
        <v>1376</v>
      </c>
      <c r="B2374">
        <v>52373</v>
      </c>
      <c r="C2374" s="2">
        <v>45504.379126375447</v>
      </c>
      <c r="D2374">
        <v>63</v>
      </c>
      <c r="E2374" t="s">
        <v>7</v>
      </c>
      <c r="F2374" t="s">
        <v>12</v>
      </c>
      <c r="G2374">
        <v>2256</v>
      </c>
    </row>
    <row r="2375" spans="1:7" x14ac:dyDescent="0.25">
      <c r="A2375">
        <v>1213</v>
      </c>
      <c r="B2375">
        <v>52374</v>
      </c>
      <c r="C2375" s="2">
        <v>45504.622540846947</v>
      </c>
      <c r="D2375">
        <v>42</v>
      </c>
      <c r="E2375" t="s">
        <v>7</v>
      </c>
      <c r="F2375" t="s">
        <v>12</v>
      </c>
      <c r="G2375">
        <v>3008</v>
      </c>
    </row>
    <row r="2376" spans="1:7" x14ac:dyDescent="0.25">
      <c r="A2376">
        <v>1079</v>
      </c>
      <c r="B2376">
        <v>52375</v>
      </c>
      <c r="C2376" s="2">
        <v>45504.865955318441</v>
      </c>
      <c r="D2376">
        <v>55</v>
      </c>
      <c r="E2376" t="s">
        <v>8</v>
      </c>
      <c r="F2376" t="s">
        <v>10</v>
      </c>
      <c r="G2376">
        <v>1424</v>
      </c>
    </row>
    <row r="2377" spans="1:7" x14ac:dyDescent="0.25">
      <c r="A2377">
        <v>1381</v>
      </c>
      <c r="B2377">
        <v>52376</v>
      </c>
      <c r="C2377" s="2">
        <v>45505.10936978992</v>
      </c>
      <c r="D2377">
        <v>59</v>
      </c>
      <c r="E2377" t="s">
        <v>8</v>
      </c>
      <c r="F2377" t="s">
        <v>10</v>
      </c>
      <c r="G2377">
        <v>1086</v>
      </c>
    </row>
    <row r="2378" spans="1:7" x14ac:dyDescent="0.25">
      <c r="A2378">
        <v>1058</v>
      </c>
      <c r="B2378">
        <v>52377</v>
      </c>
      <c r="C2378" s="2">
        <v>45505.352784261413</v>
      </c>
      <c r="D2378">
        <v>64</v>
      </c>
      <c r="E2378" t="s">
        <v>7</v>
      </c>
      <c r="F2378" t="s">
        <v>9</v>
      </c>
      <c r="G2378">
        <v>592</v>
      </c>
    </row>
    <row r="2379" spans="1:7" x14ac:dyDescent="0.25">
      <c r="A2379">
        <v>1026</v>
      </c>
      <c r="B2379">
        <v>52378</v>
      </c>
      <c r="C2379" s="2">
        <v>45505.596198732906</v>
      </c>
      <c r="D2379">
        <v>55</v>
      </c>
      <c r="E2379" t="s">
        <v>7</v>
      </c>
      <c r="F2379" t="s">
        <v>12</v>
      </c>
      <c r="G2379">
        <v>1875</v>
      </c>
    </row>
    <row r="2380" spans="1:7" x14ac:dyDescent="0.25">
      <c r="A2380">
        <v>1447</v>
      </c>
      <c r="B2380">
        <v>52379</v>
      </c>
      <c r="C2380" s="2">
        <v>45505.8396132044</v>
      </c>
      <c r="D2380">
        <v>40</v>
      </c>
      <c r="E2380" t="s">
        <v>8</v>
      </c>
      <c r="F2380" t="s">
        <v>11</v>
      </c>
      <c r="G2380">
        <v>3390</v>
      </c>
    </row>
    <row r="2381" spans="1:7" x14ac:dyDescent="0.25">
      <c r="A2381">
        <v>1066</v>
      </c>
      <c r="B2381">
        <v>52380</v>
      </c>
      <c r="C2381" s="2">
        <v>45506.083027675893</v>
      </c>
      <c r="D2381">
        <v>42</v>
      </c>
      <c r="E2381" t="s">
        <v>7</v>
      </c>
      <c r="F2381" t="s">
        <v>10</v>
      </c>
      <c r="G2381">
        <v>2646</v>
      </c>
    </row>
    <row r="2382" spans="1:7" x14ac:dyDescent="0.25">
      <c r="A2382">
        <v>1254</v>
      </c>
      <c r="B2382">
        <v>52381</v>
      </c>
      <c r="C2382" s="2">
        <v>45506.326442147372</v>
      </c>
      <c r="D2382">
        <v>59</v>
      </c>
      <c r="E2382" t="s">
        <v>7</v>
      </c>
      <c r="F2382" t="s">
        <v>9</v>
      </c>
      <c r="G2382">
        <v>4105</v>
      </c>
    </row>
    <row r="2383" spans="1:7" x14ac:dyDescent="0.25">
      <c r="A2383">
        <v>1044</v>
      </c>
      <c r="B2383">
        <v>52382</v>
      </c>
      <c r="C2383" s="2">
        <v>45506.569856618873</v>
      </c>
      <c r="D2383">
        <v>24</v>
      </c>
      <c r="E2383" t="s">
        <v>7</v>
      </c>
      <c r="F2383" t="s">
        <v>12</v>
      </c>
      <c r="G2383">
        <v>3538</v>
      </c>
    </row>
    <row r="2384" spans="1:7" x14ac:dyDescent="0.25">
      <c r="A2384">
        <v>1097</v>
      </c>
      <c r="B2384">
        <v>52383</v>
      </c>
      <c r="C2384" s="2">
        <v>45506.813271090359</v>
      </c>
      <c r="D2384">
        <v>39</v>
      </c>
      <c r="E2384" t="s">
        <v>7</v>
      </c>
      <c r="F2384" t="s">
        <v>11</v>
      </c>
      <c r="G2384">
        <v>3791</v>
      </c>
    </row>
    <row r="2385" spans="1:7" x14ac:dyDescent="0.25">
      <c r="A2385">
        <v>1554</v>
      </c>
      <c r="B2385">
        <v>52384</v>
      </c>
      <c r="C2385" s="2">
        <v>45507.056685561853</v>
      </c>
      <c r="D2385">
        <v>34</v>
      </c>
      <c r="E2385" t="s">
        <v>7</v>
      </c>
      <c r="F2385" t="s">
        <v>10</v>
      </c>
      <c r="G2385">
        <v>3966</v>
      </c>
    </row>
    <row r="2386" spans="1:7" x14ac:dyDescent="0.25">
      <c r="A2386">
        <v>1227</v>
      </c>
      <c r="B2386">
        <v>52385</v>
      </c>
      <c r="C2386" s="2">
        <v>45507.300100033332</v>
      </c>
      <c r="D2386">
        <v>35</v>
      </c>
      <c r="E2386" t="s">
        <v>7</v>
      </c>
      <c r="F2386" t="s">
        <v>11</v>
      </c>
      <c r="G2386">
        <v>2727</v>
      </c>
    </row>
    <row r="2387" spans="1:7" x14ac:dyDescent="0.25">
      <c r="A2387">
        <v>1436</v>
      </c>
      <c r="B2387">
        <v>52386</v>
      </c>
      <c r="C2387" s="2">
        <v>45507.543514504818</v>
      </c>
      <c r="D2387">
        <v>58</v>
      </c>
      <c r="E2387" t="s">
        <v>7</v>
      </c>
      <c r="F2387" t="s">
        <v>10</v>
      </c>
      <c r="G2387">
        <v>2381</v>
      </c>
    </row>
    <row r="2388" spans="1:7" x14ac:dyDescent="0.25">
      <c r="A2388">
        <v>1379</v>
      </c>
      <c r="B2388">
        <v>52387</v>
      </c>
      <c r="C2388" s="2">
        <v>45507.786928976318</v>
      </c>
      <c r="D2388">
        <v>27</v>
      </c>
      <c r="E2388" t="s">
        <v>8</v>
      </c>
      <c r="F2388" t="s">
        <v>9</v>
      </c>
      <c r="G2388">
        <v>3964</v>
      </c>
    </row>
    <row r="2389" spans="1:7" x14ac:dyDescent="0.25">
      <c r="A2389">
        <v>1178</v>
      </c>
      <c r="B2389">
        <v>52388</v>
      </c>
      <c r="C2389" s="2">
        <v>45508.030343447812</v>
      </c>
      <c r="D2389">
        <v>27</v>
      </c>
      <c r="E2389" t="s">
        <v>8</v>
      </c>
      <c r="F2389" t="s">
        <v>11</v>
      </c>
      <c r="G2389">
        <v>554</v>
      </c>
    </row>
    <row r="2390" spans="1:7" x14ac:dyDescent="0.25">
      <c r="A2390">
        <v>1427</v>
      </c>
      <c r="B2390">
        <v>52389</v>
      </c>
      <c r="C2390" s="2">
        <v>45508.273757919313</v>
      </c>
      <c r="D2390">
        <v>24</v>
      </c>
      <c r="E2390" t="s">
        <v>7</v>
      </c>
      <c r="F2390" t="s">
        <v>12</v>
      </c>
      <c r="G2390">
        <v>2831</v>
      </c>
    </row>
    <row r="2391" spans="1:7" x14ac:dyDescent="0.25">
      <c r="A2391">
        <v>1307</v>
      </c>
      <c r="B2391">
        <v>52390</v>
      </c>
      <c r="C2391" s="2">
        <v>45508.517172390777</v>
      </c>
      <c r="D2391">
        <v>55</v>
      </c>
      <c r="E2391" t="s">
        <v>7</v>
      </c>
      <c r="F2391" t="s">
        <v>12</v>
      </c>
      <c r="G2391">
        <v>1721</v>
      </c>
    </row>
    <row r="2392" spans="1:7" x14ac:dyDescent="0.25">
      <c r="A2392">
        <v>1504</v>
      </c>
      <c r="B2392">
        <v>52391</v>
      </c>
      <c r="C2392" s="2">
        <v>45508.760586862278</v>
      </c>
      <c r="D2392">
        <v>44</v>
      </c>
      <c r="E2392" t="s">
        <v>7</v>
      </c>
      <c r="F2392" t="s">
        <v>10</v>
      </c>
      <c r="G2392">
        <v>2872</v>
      </c>
    </row>
    <row r="2393" spans="1:7" x14ac:dyDescent="0.25">
      <c r="A2393">
        <v>1268</v>
      </c>
      <c r="B2393">
        <v>52392</v>
      </c>
      <c r="C2393" s="2">
        <v>45509.004001333771</v>
      </c>
      <c r="D2393">
        <v>50</v>
      </c>
      <c r="E2393" t="s">
        <v>8</v>
      </c>
      <c r="F2393" t="s">
        <v>12</v>
      </c>
      <c r="G2393">
        <v>3378</v>
      </c>
    </row>
    <row r="2394" spans="1:7" x14ac:dyDescent="0.25">
      <c r="A2394">
        <v>1586</v>
      </c>
      <c r="B2394">
        <v>52393</v>
      </c>
      <c r="C2394" s="2">
        <v>45509.247415805257</v>
      </c>
      <c r="D2394">
        <v>18</v>
      </c>
      <c r="E2394" t="s">
        <v>8</v>
      </c>
      <c r="F2394" t="s">
        <v>11</v>
      </c>
      <c r="G2394">
        <v>2537</v>
      </c>
    </row>
    <row r="2395" spans="1:7" x14ac:dyDescent="0.25">
      <c r="A2395">
        <v>1008</v>
      </c>
      <c r="B2395">
        <v>52394</v>
      </c>
      <c r="C2395" s="2">
        <v>45509.490830276751</v>
      </c>
      <c r="D2395">
        <v>61</v>
      </c>
      <c r="E2395" t="s">
        <v>7</v>
      </c>
      <c r="F2395" t="s">
        <v>9</v>
      </c>
      <c r="G2395">
        <v>828</v>
      </c>
    </row>
    <row r="2396" spans="1:7" x14ac:dyDescent="0.25">
      <c r="A2396">
        <v>1508</v>
      </c>
      <c r="B2396">
        <v>52395</v>
      </c>
      <c r="C2396" s="2">
        <v>45509.734244748237</v>
      </c>
      <c r="D2396">
        <v>51</v>
      </c>
      <c r="E2396" t="s">
        <v>8</v>
      </c>
      <c r="F2396" t="s">
        <v>10</v>
      </c>
      <c r="G2396">
        <v>2879</v>
      </c>
    </row>
    <row r="2397" spans="1:7" x14ac:dyDescent="0.25">
      <c r="A2397">
        <v>1476</v>
      </c>
      <c r="B2397">
        <v>52396</v>
      </c>
      <c r="C2397" s="2">
        <v>45509.97765921973</v>
      </c>
      <c r="D2397">
        <v>21</v>
      </c>
      <c r="E2397" t="s">
        <v>7</v>
      </c>
      <c r="F2397" t="s">
        <v>11</v>
      </c>
      <c r="G2397">
        <v>4622</v>
      </c>
    </row>
    <row r="2398" spans="1:7" x14ac:dyDescent="0.25">
      <c r="A2398">
        <v>1297</v>
      </c>
      <c r="B2398">
        <v>52397</v>
      </c>
      <c r="C2398" s="2">
        <v>45510.221073691217</v>
      </c>
      <c r="D2398">
        <v>34</v>
      </c>
      <c r="E2398" t="s">
        <v>7</v>
      </c>
      <c r="F2398" t="s">
        <v>10</v>
      </c>
      <c r="G2398">
        <v>1638</v>
      </c>
    </row>
    <row r="2399" spans="1:7" x14ac:dyDescent="0.25">
      <c r="A2399">
        <v>1164</v>
      </c>
      <c r="B2399">
        <v>52398</v>
      </c>
      <c r="C2399" s="2">
        <v>45510.464488162717</v>
      </c>
      <c r="D2399">
        <v>21</v>
      </c>
      <c r="E2399" t="s">
        <v>7</v>
      </c>
      <c r="F2399" t="s">
        <v>9</v>
      </c>
      <c r="G2399">
        <v>1621</v>
      </c>
    </row>
    <row r="2400" spans="1:7" x14ac:dyDescent="0.25">
      <c r="A2400">
        <v>1485</v>
      </c>
      <c r="B2400">
        <v>52399</v>
      </c>
      <c r="C2400" s="2">
        <v>45510.707902634203</v>
      </c>
      <c r="D2400">
        <v>60</v>
      </c>
      <c r="E2400" t="s">
        <v>7</v>
      </c>
      <c r="F2400" t="s">
        <v>10</v>
      </c>
      <c r="G2400">
        <v>1326</v>
      </c>
    </row>
    <row r="2401" spans="1:7" x14ac:dyDescent="0.25">
      <c r="A2401">
        <v>1597</v>
      </c>
      <c r="B2401">
        <v>52400</v>
      </c>
      <c r="C2401" s="2">
        <v>45510.951317105697</v>
      </c>
      <c r="D2401">
        <v>43</v>
      </c>
      <c r="E2401" t="s">
        <v>7</v>
      </c>
      <c r="F2401" t="s">
        <v>12</v>
      </c>
      <c r="G2401">
        <v>2883</v>
      </c>
    </row>
    <row r="2402" spans="1:7" x14ac:dyDescent="0.25">
      <c r="A2402">
        <v>1072</v>
      </c>
      <c r="B2402">
        <v>52401</v>
      </c>
      <c r="C2402" s="2">
        <v>45511.19473157719</v>
      </c>
      <c r="D2402">
        <v>21</v>
      </c>
      <c r="E2402" t="s">
        <v>7</v>
      </c>
      <c r="F2402" t="s">
        <v>12</v>
      </c>
      <c r="G2402">
        <v>1980</v>
      </c>
    </row>
    <row r="2403" spans="1:7" x14ac:dyDescent="0.25">
      <c r="A2403">
        <v>1567</v>
      </c>
      <c r="B2403">
        <v>52402</v>
      </c>
      <c r="C2403" s="2">
        <v>45511.438146048677</v>
      </c>
      <c r="D2403">
        <v>18</v>
      </c>
      <c r="E2403" t="s">
        <v>7</v>
      </c>
      <c r="F2403" t="s">
        <v>10</v>
      </c>
      <c r="G2403">
        <v>1731</v>
      </c>
    </row>
    <row r="2404" spans="1:7" x14ac:dyDescent="0.25">
      <c r="A2404">
        <v>1559</v>
      </c>
      <c r="B2404">
        <v>52403</v>
      </c>
      <c r="C2404" s="2">
        <v>45511.681560520163</v>
      </c>
      <c r="D2404">
        <v>24</v>
      </c>
      <c r="E2404" t="s">
        <v>8</v>
      </c>
      <c r="F2404" t="s">
        <v>9</v>
      </c>
      <c r="G2404">
        <v>2114</v>
      </c>
    </row>
    <row r="2405" spans="1:7" x14ac:dyDescent="0.25">
      <c r="A2405">
        <v>1238</v>
      </c>
      <c r="B2405">
        <v>52404</v>
      </c>
      <c r="C2405" s="2">
        <v>45511.924974991663</v>
      </c>
      <c r="D2405">
        <v>47</v>
      </c>
      <c r="E2405" t="s">
        <v>7</v>
      </c>
      <c r="F2405" t="s">
        <v>9</v>
      </c>
      <c r="G2405">
        <v>1432</v>
      </c>
    </row>
    <row r="2406" spans="1:7" x14ac:dyDescent="0.25">
      <c r="A2406">
        <v>1104</v>
      </c>
      <c r="B2406">
        <v>52405</v>
      </c>
      <c r="C2406" s="2">
        <v>45512.16838946315</v>
      </c>
      <c r="D2406">
        <v>26</v>
      </c>
      <c r="E2406" t="s">
        <v>8</v>
      </c>
      <c r="F2406" t="s">
        <v>12</v>
      </c>
      <c r="G2406">
        <v>2156</v>
      </c>
    </row>
    <row r="2407" spans="1:7" x14ac:dyDescent="0.25">
      <c r="A2407">
        <v>1210</v>
      </c>
      <c r="B2407">
        <v>52406</v>
      </c>
      <c r="C2407" s="2">
        <v>45512.411803934643</v>
      </c>
      <c r="D2407">
        <v>52</v>
      </c>
      <c r="E2407" t="s">
        <v>7</v>
      </c>
      <c r="F2407" t="s">
        <v>9</v>
      </c>
      <c r="G2407">
        <v>592</v>
      </c>
    </row>
    <row r="2408" spans="1:7" x14ac:dyDescent="0.25">
      <c r="A2408">
        <v>1554</v>
      </c>
      <c r="B2408">
        <v>52407</v>
      </c>
      <c r="C2408" s="2">
        <v>45512.655218406137</v>
      </c>
      <c r="D2408">
        <v>25</v>
      </c>
      <c r="E2408" t="s">
        <v>7</v>
      </c>
      <c r="F2408" t="s">
        <v>10</v>
      </c>
      <c r="G2408">
        <v>1025</v>
      </c>
    </row>
    <row r="2409" spans="1:7" x14ac:dyDescent="0.25">
      <c r="A2409">
        <v>1468</v>
      </c>
      <c r="B2409">
        <v>52408</v>
      </c>
      <c r="C2409" s="2">
        <v>45512.898632877623</v>
      </c>
      <c r="D2409">
        <v>41</v>
      </c>
      <c r="E2409" t="s">
        <v>8</v>
      </c>
      <c r="F2409" t="s">
        <v>11</v>
      </c>
      <c r="G2409">
        <v>3163</v>
      </c>
    </row>
    <row r="2410" spans="1:7" x14ac:dyDescent="0.25">
      <c r="A2410">
        <v>1454</v>
      </c>
      <c r="B2410">
        <v>52409</v>
      </c>
      <c r="C2410" s="2">
        <v>45513.142047349109</v>
      </c>
      <c r="D2410">
        <v>36</v>
      </c>
      <c r="E2410" t="s">
        <v>8</v>
      </c>
      <c r="F2410" t="s">
        <v>10</v>
      </c>
      <c r="G2410">
        <v>2595</v>
      </c>
    </row>
    <row r="2411" spans="1:7" x14ac:dyDescent="0.25">
      <c r="A2411">
        <v>1268</v>
      </c>
      <c r="B2411">
        <v>52410</v>
      </c>
      <c r="C2411" s="2">
        <v>45513.385461820602</v>
      </c>
      <c r="D2411">
        <v>53</v>
      </c>
      <c r="E2411" t="s">
        <v>7</v>
      </c>
      <c r="F2411" t="s">
        <v>12</v>
      </c>
      <c r="G2411">
        <v>4345</v>
      </c>
    </row>
    <row r="2412" spans="1:7" x14ac:dyDescent="0.25">
      <c r="A2412">
        <v>1386</v>
      </c>
      <c r="B2412">
        <v>52411</v>
      </c>
      <c r="C2412" s="2">
        <v>45513.628876292103</v>
      </c>
      <c r="D2412">
        <v>60</v>
      </c>
      <c r="E2412" t="s">
        <v>8</v>
      </c>
      <c r="F2412" t="s">
        <v>12</v>
      </c>
      <c r="G2412">
        <v>1992</v>
      </c>
    </row>
    <row r="2413" spans="1:7" x14ac:dyDescent="0.25">
      <c r="A2413">
        <v>1387</v>
      </c>
      <c r="B2413">
        <v>52412</v>
      </c>
      <c r="C2413" s="2">
        <v>45513.872290763567</v>
      </c>
      <c r="D2413">
        <v>44</v>
      </c>
      <c r="E2413" t="s">
        <v>7</v>
      </c>
      <c r="F2413" t="s">
        <v>12</v>
      </c>
      <c r="G2413">
        <v>3264</v>
      </c>
    </row>
    <row r="2414" spans="1:7" x14ac:dyDescent="0.25">
      <c r="A2414">
        <v>1259</v>
      </c>
      <c r="B2414">
        <v>52413</v>
      </c>
      <c r="C2414" s="2">
        <v>45514.115705235068</v>
      </c>
      <c r="D2414">
        <v>49</v>
      </c>
      <c r="E2414" t="s">
        <v>7</v>
      </c>
      <c r="F2414" t="s">
        <v>9</v>
      </c>
      <c r="G2414">
        <v>1563</v>
      </c>
    </row>
    <row r="2415" spans="1:7" x14ac:dyDescent="0.25">
      <c r="A2415">
        <v>1283</v>
      </c>
      <c r="B2415">
        <v>52414</v>
      </c>
      <c r="C2415" s="2">
        <v>45514.359119706562</v>
      </c>
      <c r="D2415">
        <v>31</v>
      </c>
      <c r="E2415" t="s">
        <v>8</v>
      </c>
      <c r="F2415" t="s">
        <v>10</v>
      </c>
      <c r="G2415">
        <v>2548</v>
      </c>
    </row>
    <row r="2416" spans="1:7" x14ac:dyDescent="0.25">
      <c r="A2416">
        <v>1040</v>
      </c>
      <c r="B2416">
        <v>52415</v>
      </c>
      <c r="C2416" s="2">
        <v>45514.602534178062</v>
      </c>
      <c r="D2416">
        <v>35</v>
      </c>
      <c r="E2416" t="s">
        <v>8</v>
      </c>
      <c r="F2416" t="s">
        <v>11</v>
      </c>
      <c r="G2416">
        <v>3751</v>
      </c>
    </row>
    <row r="2417" spans="1:7" x14ac:dyDescent="0.25">
      <c r="A2417">
        <v>1486</v>
      </c>
      <c r="B2417">
        <v>52416</v>
      </c>
      <c r="C2417" s="2">
        <v>45514.845948649549</v>
      </c>
      <c r="D2417">
        <v>45</v>
      </c>
      <c r="E2417" t="s">
        <v>8</v>
      </c>
      <c r="F2417" t="s">
        <v>10</v>
      </c>
      <c r="G2417">
        <v>3828</v>
      </c>
    </row>
    <row r="2418" spans="1:7" x14ac:dyDescent="0.25">
      <c r="A2418">
        <v>1220</v>
      </c>
      <c r="B2418">
        <v>52417</v>
      </c>
      <c r="C2418" s="2">
        <v>45515.089363121027</v>
      </c>
      <c r="D2418">
        <v>46</v>
      </c>
      <c r="E2418" t="s">
        <v>8</v>
      </c>
      <c r="F2418" t="s">
        <v>11</v>
      </c>
      <c r="G2418">
        <v>3536</v>
      </c>
    </row>
    <row r="2419" spans="1:7" x14ac:dyDescent="0.25">
      <c r="A2419">
        <v>1129</v>
      </c>
      <c r="B2419">
        <v>52418</v>
      </c>
      <c r="C2419" s="2">
        <v>45515.332777592521</v>
      </c>
      <c r="D2419">
        <v>33</v>
      </c>
      <c r="E2419" t="s">
        <v>7</v>
      </c>
      <c r="F2419" t="s">
        <v>10</v>
      </c>
      <c r="G2419">
        <v>1765</v>
      </c>
    </row>
    <row r="2420" spans="1:7" x14ac:dyDescent="0.25">
      <c r="A2420">
        <v>1520</v>
      </c>
      <c r="B2420">
        <v>52419</v>
      </c>
      <c r="C2420" s="2">
        <v>45515.576192064007</v>
      </c>
      <c r="D2420">
        <v>52</v>
      </c>
      <c r="E2420" t="s">
        <v>8</v>
      </c>
      <c r="F2420" t="s">
        <v>12</v>
      </c>
      <c r="G2420">
        <v>3867</v>
      </c>
    </row>
    <row r="2421" spans="1:7" x14ac:dyDescent="0.25">
      <c r="A2421">
        <v>1260</v>
      </c>
      <c r="B2421">
        <v>52420</v>
      </c>
      <c r="C2421" s="2">
        <v>45515.819606535508</v>
      </c>
      <c r="D2421">
        <v>64</v>
      </c>
      <c r="E2421" t="s">
        <v>8</v>
      </c>
      <c r="F2421" t="s">
        <v>11</v>
      </c>
      <c r="G2421">
        <v>2413</v>
      </c>
    </row>
    <row r="2422" spans="1:7" x14ac:dyDescent="0.25">
      <c r="A2422">
        <v>1366</v>
      </c>
      <c r="B2422">
        <v>52421</v>
      </c>
      <c r="C2422" s="2">
        <v>45516.063021007001</v>
      </c>
      <c r="D2422">
        <v>48</v>
      </c>
      <c r="E2422" t="s">
        <v>8</v>
      </c>
      <c r="F2422" t="s">
        <v>10</v>
      </c>
      <c r="G2422">
        <v>4296</v>
      </c>
    </row>
    <row r="2423" spans="1:7" x14ac:dyDescent="0.25">
      <c r="A2423">
        <v>1544</v>
      </c>
      <c r="B2423">
        <v>52422</v>
      </c>
      <c r="C2423" s="2">
        <v>45516.306435478487</v>
      </c>
      <c r="D2423">
        <v>21</v>
      </c>
      <c r="E2423" t="s">
        <v>8</v>
      </c>
      <c r="F2423" t="s">
        <v>9</v>
      </c>
      <c r="G2423">
        <v>1219</v>
      </c>
    </row>
    <row r="2424" spans="1:7" x14ac:dyDescent="0.25">
      <c r="A2424">
        <v>1524</v>
      </c>
      <c r="B2424">
        <v>52423</v>
      </c>
      <c r="C2424" s="2">
        <v>45516.549849949974</v>
      </c>
      <c r="D2424">
        <v>54</v>
      </c>
      <c r="E2424" t="s">
        <v>8</v>
      </c>
      <c r="F2424" t="s">
        <v>9</v>
      </c>
      <c r="G2424">
        <v>1484</v>
      </c>
    </row>
    <row r="2425" spans="1:7" x14ac:dyDescent="0.25">
      <c r="A2425">
        <v>1016</v>
      </c>
      <c r="B2425">
        <v>52424</v>
      </c>
      <c r="C2425" s="2">
        <v>45516.793264421467</v>
      </c>
      <c r="D2425">
        <v>34</v>
      </c>
      <c r="E2425" t="s">
        <v>7</v>
      </c>
      <c r="F2425" t="s">
        <v>10</v>
      </c>
      <c r="G2425">
        <v>262</v>
      </c>
    </row>
    <row r="2426" spans="1:7" x14ac:dyDescent="0.25">
      <c r="A2426">
        <v>1129</v>
      </c>
      <c r="B2426">
        <v>52425</v>
      </c>
      <c r="C2426" s="2">
        <v>45517.03667889296</v>
      </c>
      <c r="D2426">
        <v>56</v>
      </c>
      <c r="E2426" t="s">
        <v>7</v>
      </c>
      <c r="F2426" t="s">
        <v>12</v>
      </c>
      <c r="G2426">
        <v>2730</v>
      </c>
    </row>
    <row r="2427" spans="1:7" x14ac:dyDescent="0.25">
      <c r="A2427">
        <v>1575</v>
      </c>
      <c r="B2427">
        <v>52426</v>
      </c>
      <c r="C2427" s="2">
        <v>45517.280093364447</v>
      </c>
      <c r="D2427">
        <v>63</v>
      </c>
      <c r="E2427" t="s">
        <v>8</v>
      </c>
      <c r="F2427" t="s">
        <v>11</v>
      </c>
      <c r="G2427">
        <v>3592</v>
      </c>
    </row>
    <row r="2428" spans="1:7" x14ac:dyDescent="0.25">
      <c r="A2428">
        <v>1109</v>
      </c>
      <c r="B2428">
        <v>52427</v>
      </c>
      <c r="C2428" s="2">
        <v>45517.52350783594</v>
      </c>
      <c r="D2428">
        <v>43</v>
      </c>
      <c r="E2428" t="s">
        <v>8</v>
      </c>
      <c r="F2428" t="s">
        <v>10</v>
      </c>
      <c r="G2428">
        <v>3472</v>
      </c>
    </row>
    <row r="2429" spans="1:7" x14ac:dyDescent="0.25">
      <c r="A2429">
        <v>1533</v>
      </c>
      <c r="B2429">
        <v>52428</v>
      </c>
      <c r="C2429" s="2">
        <v>45517.766922307434</v>
      </c>
      <c r="D2429">
        <v>56</v>
      </c>
      <c r="E2429" t="s">
        <v>7</v>
      </c>
      <c r="F2429" t="s">
        <v>9</v>
      </c>
      <c r="G2429">
        <v>2469</v>
      </c>
    </row>
    <row r="2430" spans="1:7" x14ac:dyDescent="0.25">
      <c r="A2430">
        <v>1269</v>
      </c>
      <c r="B2430">
        <v>52429</v>
      </c>
      <c r="C2430" s="2">
        <v>45518.010336778927</v>
      </c>
      <c r="D2430">
        <v>58</v>
      </c>
      <c r="E2430" t="s">
        <v>8</v>
      </c>
      <c r="F2430" t="s">
        <v>11</v>
      </c>
      <c r="G2430">
        <v>4447</v>
      </c>
    </row>
    <row r="2431" spans="1:7" x14ac:dyDescent="0.25">
      <c r="A2431">
        <v>1162</v>
      </c>
      <c r="B2431">
        <v>52430</v>
      </c>
      <c r="C2431" s="2">
        <v>45518.253751250413</v>
      </c>
      <c r="D2431">
        <v>21</v>
      </c>
      <c r="E2431" t="s">
        <v>7</v>
      </c>
      <c r="F2431" t="s">
        <v>9</v>
      </c>
      <c r="G2431">
        <v>843</v>
      </c>
    </row>
    <row r="2432" spans="1:7" x14ac:dyDescent="0.25">
      <c r="A2432">
        <v>1260</v>
      </c>
      <c r="B2432">
        <v>52431</v>
      </c>
      <c r="C2432" s="2">
        <v>45518.497165721899</v>
      </c>
      <c r="D2432">
        <v>47</v>
      </c>
      <c r="E2432" t="s">
        <v>7</v>
      </c>
      <c r="F2432" t="s">
        <v>9</v>
      </c>
      <c r="G2432">
        <v>4921</v>
      </c>
    </row>
    <row r="2433" spans="1:7" x14ac:dyDescent="0.25">
      <c r="A2433">
        <v>1102</v>
      </c>
      <c r="B2433">
        <v>52432</v>
      </c>
      <c r="C2433" s="2">
        <v>45518.740580193393</v>
      </c>
      <c r="D2433">
        <v>47</v>
      </c>
      <c r="E2433" t="s">
        <v>8</v>
      </c>
      <c r="F2433" t="s">
        <v>10</v>
      </c>
      <c r="G2433">
        <v>416</v>
      </c>
    </row>
    <row r="2434" spans="1:7" x14ac:dyDescent="0.25">
      <c r="A2434">
        <v>1506</v>
      </c>
      <c r="B2434">
        <v>52433</v>
      </c>
      <c r="C2434" s="2">
        <v>45518.983994664894</v>
      </c>
      <c r="D2434">
        <v>39</v>
      </c>
      <c r="E2434" t="s">
        <v>7</v>
      </c>
      <c r="F2434" t="s">
        <v>9</v>
      </c>
      <c r="G2434">
        <v>395</v>
      </c>
    </row>
    <row r="2435" spans="1:7" x14ac:dyDescent="0.25">
      <c r="A2435">
        <v>1571</v>
      </c>
      <c r="B2435">
        <v>52434</v>
      </c>
      <c r="C2435" s="2">
        <v>45519.22740913638</v>
      </c>
      <c r="D2435">
        <v>28</v>
      </c>
      <c r="E2435" t="s">
        <v>8</v>
      </c>
      <c r="F2435" t="s">
        <v>11</v>
      </c>
      <c r="G2435">
        <v>4064</v>
      </c>
    </row>
    <row r="2436" spans="1:7" x14ac:dyDescent="0.25">
      <c r="A2436">
        <v>1247</v>
      </c>
      <c r="B2436">
        <v>52435</v>
      </c>
      <c r="C2436" s="2">
        <v>45519.470823607859</v>
      </c>
      <c r="D2436">
        <v>19</v>
      </c>
      <c r="E2436" t="s">
        <v>8</v>
      </c>
      <c r="F2436" t="s">
        <v>12</v>
      </c>
      <c r="G2436">
        <v>3473</v>
      </c>
    </row>
    <row r="2437" spans="1:7" x14ac:dyDescent="0.25">
      <c r="A2437">
        <v>1537</v>
      </c>
      <c r="B2437">
        <v>52436</v>
      </c>
      <c r="C2437" s="2">
        <v>45519.714238079352</v>
      </c>
      <c r="D2437">
        <v>61</v>
      </c>
      <c r="E2437" t="s">
        <v>7</v>
      </c>
      <c r="F2437" t="s">
        <v>10</v>
      </c>
      <c r="G2437">
        <v>2894</v>
      </c>
    </row>
    <row r="2438" spans="1:7" x14ac:dyDescent="0.25">
      <c r="A2438">
        <v>1131</v>
      </c>
      <c r="B2438">
        <v>52437</v>
      </c>
      <c r="C2438" s="2">
        <v>45519.957652550853</v>
      </c>
      <c r="D2438">
        <v>29</v>
      </c>
      <c r="E2438" t="s">
        <v>7</v>
      </c>
      <c r="F2438" t="s">
        <v>11</v>
      </c>
      <c r="G2438">
        <v>3412</v>
      </c>
    </row>
    <row r="2439" spans="1:7" x14ac:dyDescent="0.25">
      <c r="A2439">
        <v>1353</v>
      </c>
      <c r="B2439">
        <v>52438</v>
      </c>
      <c r="C2439" s="2">
        <v>45520.201067022339</v>
      </c>
      <c r="D2439">
        <v>47</v>
      </c>
      <c r="E2439" t="s">
        <v>8</v>
      </c>
      <c r="F2439" t="s">
        <v>10</v>
      </c>
      <c r="G2439">
        <v>2955</v>
      </c>
    </row>
    <row r="2440" spans="1:7" x14ac:dyDescent="0.25">
      <c r="A2440">
        <v>1196</v>
      </c>
      <c r="B2440">
        <v>52439</v>
      </c>
      <c r="C2440" s="2">
        <v>45520.444481493832</v>
      </c>
      <c r="D2440">
        <v>53</v>
      </c>
      <c r="E2440" t="s">
        <v>7</v>
      </c>
      <c r="F2440" t="s">
        <v>9</v>
      </c>
      <c r="G2440">
        <v>1721</v>
      </c>
    </row>
    <row r="2441" spans="1:7" x14ac:dyDescent="0.25">
      <c r="A2441">
        <v>1382</v>
      </c>
      <c r="B2441">
        <v>52440</v>
      </c>
      <c r="C2441" s="2">
        <v>45520.687895965311</v>
      </c>
      <c r="D2441">
        <v>35</v>
      </c>
      <c r="E2441" t="s">
        <v>8</v>
      </c>
      <c r="F2441" t="s">
        <v>9</v>
      </c>
      <c r="G2441">
        <v>1280</v>
      </c>
    </row>
    <row r="2442" spans="1:7" x14ac:dyDescent="0.25">
      <c r="A2442">
        <v>1227</v>
      </c>
      <c r="B2442">
        <v>52441</v>
      </c>
      <c r="C2442" s="2">
        <v>45520.931310436798</v>
      </c>
      <c r="D2442">
        <v>43</v>
      </c>
      <c r="E2442" t="s">
        <v>7</v>
      </c>
      <c r="F2442" t="s">
        <v>11</v>
      </c>
      <c r="G2442">
        <v>921</v>
      </c>
    </row>
    <row r="2443" spans="1:7" x14ac:dyDescent="0.25">
      <c r="A2443">
        <v>1476</v>
      </c>
      <c r="B2443">
        <v>52442</v>
      </c>
      <c r="C2443" s="2">
        <v>45521.174724908298</v>
      </c>
      <c r="D2443">
        <v>24</v>
      </c>
      <c r="E2443" t="s">
        <v>7</v>
      </c>
      <c r="F2443" t="s">
        <v>11</v>
      </c>
      <c r="G2443">
        <v>1762</v>
      </c>
    </row>
    <row r="2444" spans="1:7" x14ac:dyDescent="0.25">
      <c r="A2444">
        <v>1477</v>
      </c>
      <c r="B2444">
        <v>52443</v>
      </c>
      <c r="C2444" s="2">
        <v>45521.418139379792</v>
      </c>
      <c r="D2444">
        <v>18</v>
      </c>
      <c r="E2444" t="s">
        <v>8</v>
      </c>
      <c r="F2444" t="s">
        <v>12</v>
      </c>
      <c r="G2444">
        <v>839</v>
      </c>
    </row>
    <row r="2445" spans="1:7" x14ac:dyDescent="0.25">
      <c r="A2445">
        <v>1265</v>
      </c>
      <c r="B2445">
        <v>52444</v>
      </c>
      <c r="C2445" s="2">
        <v>45521.661553851271</v>
      </c>
      <c r="D2445">
        <v>43</v>
      </c>
      <c r="E2445" t="s">
        <v>8</v>
      </c>
      <c r="F2445" t="s">
        <v>11</v>
      </c>
      <c r="G2445">
        <v>4460</v>
      </c>
    </row>
    <row r="2446" spans="1:7" x14ac:dyDescent="0.25">
      <c r="A2446">
        <v>1372</v>
      </c>
      <c r="B2446">
        <v>52445</v>
      </c>
      <c r="C2446" s="2">
        <v>45521.904968322757</v>
      </c>
      <c r="D2446">
        <v>40</v>
      </c>
      <c r="E2446" t="s">
        <v>8</v>
      </c>
      <c r="F2446" t="s">
        <v>11</v>
      </c>
      <c r="G2446">
        <v>4510</v>
      </c>
    </row>
    <row r="2447" spans="1:7" x14ac:dyDescent="0.25">
      <c r="A2447">
        <v>1486</v>
      </c>
      <c r="B2447">
        <v>52446</v>
      </c>
      <c r="C2447" s="2">
        <v>45522.148382794257</v>
      </c>
      <c r="D2447">
        <v>43</v>
      </c>
      <c r="E2447" t="s">
        <v>7</v>
      </c>
      <c r="F2447" t="s">
        <v>10</v>
      </c>
      <c r="G2447">
        <v>3987</v>
      </c>
    </row>
    <row r="2448" spans="1:7" x14ac:dyDescent="0.25">
      <c r="A2448">
        <v>1434</v>
      </c>
      <c r="B2448">
        <v>52447</v>
      </c>
      <c r="C2448" s="2">
        <v>45522.391797265751</v>
      </c>
      <c r="D2448">
        <v>62</v>
      </c>
      <c r="E2448" t="s">
        <v>8</v>
      </c>
      <c r="F2448" t="s">
        <v>9</v>
      </c>
      <c r="G2448">
        <v>3936</v>
      </c>
    </row>
    <row r="2449" spans="1:7" x14ac:dyDescent="0.25">
      <c r="A2449">
        <v>1211</v>
      </c>
      <c r="B2449">
        <v>52448</v>
      </c>
      <c r="C2449" s="2">
        <v>45522.635211737237</v>
      </c>
      <c r="D2449">
        <v>23</v>
      </c>
      <c r="E2449" t="s">
        <v>8</v>
      </c>
      <c r="F2449" t="s">
        <v>11</v>
      </c>
      <c r="G2449">
        <v>289</v>
      </c>
    </row>
    <row r="2450" spans="1:7" x14ac:dyDescent="0.25">
      <c r="A2450">
        <v>1572</v>
      </c>
      <c r="B2450">
        <v>52449</v>
      </c>
      <c r="C2450" s="2">
        <v>45522.878626208723</v>
      </c>
      <c r="D2450">
        <v>23</v>
      </c>
      <c r="E2450" t="s">
        <v>7</v>
      </c>
      <c r="F2450" t="s">
        <v>12</v>
      </c>
      <c r="G2450">
        <v>3121</v>
      </c>
    </row>
    <row r="2451" spans="1:7" x14ac:dyDescent="0.25">
      <c r="A2451">
        <v>1377</v>
      </c>
      <c r="B2451">
        <v>52450</v>
      </c>
      <c r="C2451" s="2">
        <v>45523.122040680217</v>
      </c>
      <c r="D2451">
        <v>61</v>
      </c>
      <c r="E2451" t="s">
        <v>7</v>
      </c>
      <c r="F2451" t="s">
        <v>11</v>
      </c>
      <c r="G2451">
        <v>1451</v>
      </c>
    </row>
    <row r="2452" spans="1:7" x14ac:dyDescent="0.25">
      <c r="A2452">
        <v>1395</v>
      </c>
      <c r="B2452">
        <v>52451</v>
      </c>
      <c r="C2452" s="2">
        <v>45523.36545515171</v>
      </c>
      <c r="D2452">
        <v>25</v>
      </c>
      <c r="E2452" t="s">
        <v>8</v>
      </c>
      <c r="F2452" t="s">
        <v>9</v>
      </c>
      <c r="G2452">
        <v>1302</v>
      </c>
    </row>
    <row r="2453" spans="1:7" x14ac:dyDescent="0.25">
      <c r="A2453">
        <v>1450</v>
      </c>
      <c r="B2453">
        <v>52452</v>
      </c>
      <c r="C2453" s="2">
        <v>45523.608869623196</v>
      </c>
      <c r="D2453">
        <v>41</v>
      </c>
      <c r="E2453" t="s">
        <v>8</v>
      </c>
      <c r="F2453" t="s">
        <v>11</v>
      </c>
      <c r="G2453">
        <v>4903</v>
      </c>
    </row>
    <row r="2454" spans="1:7" x14ac:dyDescent="0.25">
      <c r="A2454">
        <v>1364</v>
      </c>
      <c r="B2454">
        <v>52453</v>
      </c>
      <c r="C2454" s="2">
        <v>45523.85228409469</v>
      </c>
      <c r="D2454">
        <v>39</v>
      </c>
      <c r="E2454" t="s">
        <v>8</v>
      </c>
      <c r="F2454" t="s">
        <v>10</v>
      </c>
      <c r="G2454">
        <v>548</v>
      </c>
    </row>
    <row r="2455" spans="1:7" x14ac:dyDescent="0.25">
      <c r="A2455">
        <v>1457</v>
      </c>
      <c r="B2455">
        <v>52454</v>
      </c>
      <c r="C2455" s="2">
        <v>45524.095698566183</v>
      </c>
      <c r="D2455">
        <v>36</v>
      </c>
      <c r="E2455" t="s">
        <v>8</v>
      </c>
      <c r="F2455" t="s">
        <v>9</v>
      </c>
      <c r="G2455">
        <v>4113</v>
      </c>
    </row>
    <row r="2456" spans="1:7" x14ac:dyDescent="0.25">
      <c r="A2456">
        <v>1226</v>
      </c>
      <c r="B2456">
        <v>52455</v>
      </c>
      <c r="C2456" s="2">
        <v>45524.339113037677</v>
      </c>
      <c r="D2456">
        <v>54</v>
      </c>
      <c r="E2456" t="s">
        <v>7</v>
      </c>
      <c r="F2456" t="s">
        <v>11</v>
      </c>
      <c r="G2456">
        <v>4252</v>
      </c>
    </row>
    <row r="2457" spans="1:7" x14ac:dyDescent="0.25">
      <c r="A2457">
        <v>1131</v>
      </c>
      <c r="B2457">
        <v>52456</v>
      </c>
      <c r="C2457" s="2">
        <v>45524.58252750917</v>
      </c>
      <c r="D2457">
        <v>35</v>
      </c>
      <c r="E2457" t="s">
        <v>7</v>
      </c>
      <c r="F2457" t="s">
        <v>10</v>
      </c>
      <c r="G2457">
        <v>3141</v>
      </c>
    </row>
    <row r="2458" spans="1:7" x14ac:dyDescent="0.25">
      <c r="A2458">
        <v>1588</v>
      </c>
      <c r="B2458">
        <v>52457</v>
      </c>
      <c r="C2458" s="2">
        <v>45524.825941980664</v>
      </c>
      <c r="D2458">
        <v>48</v>
      </c>
      <c r="E2458" t="s">
        <v>8</v>
      </c>
      <c r="F2458" t="s">
        <v>9</v>
      </c>
      <c r="G2458">
        <v>445</v>
      </c>
    </row>
    <row r="2459" spans="1:7" x14ac:dyDescent="0.25">
      <c r="A2459">
        <v>1476</v>
      </c>
      <c r="B2459">
        <v>52458</v>
      </c>
      <c r="C2459" s="2">
        <v>45525.069356452143</v>
      </c>
      <c r="D2459">
        <v>54</v>
      </c>
      <c r="E2459" t="s">
        <v>8</v>
      </c>
      <c r="F2459" t="s">
        <v>11</v>
      </c>
      <c r="G2459">
        <v>471</v>
      </c>
    </row>
    <row r="2460" spans="1:7" x14ac:dyDescent="0.25">
      <c r="A2460">
        <v>1277</v>
      </c>
      <c r="B2460">
        <v>52459</v>
      </c>
      <c r="C2460" s="2">
        <v>45525.312770923643</v>
      </c>
      <c r="D2460">
        <v>47</v>
      </c>
      <c r="E2460" t="s">
        <v>8</v>
      </c>
      <c r="F2460" t="s">
        <v>10</v>
      </c>
      <c r="G2460">
        <v>2230</v>
      </c>
    </row>
    <row r="2461" spans="1:7" x14ac:dyDescent="0.25">
      <c r="A2461">
        <v>1156</v>
      </c>
      <c r="B2461">
        <v>52460</v>
      </c>
      <c r="C2461" s="2">
        <v>45525.556185395129</v>
      </c>
      <c r="D2461">
        <v>59</v>
      </c>
      <c r="E2461" t="s">
        <v>7</v>
      </c>
      <c r="F2461" t="s">
        <v>12</v>
      </c>
      <c r="G2461">
        <v>4698</v>
      </c>
    </row>
    <row r="2462" spans="1:7" x14ac:dyDescent="0.25">
      <c r="A2462">
        <v>1218</v>
      </c>
      <c r="B2462">
        <v>52461</v>
      </c>
      <c r="C2462" s="2">
        <v>45525.799599866623</v>
      </c>
      <c r="D2462">
        <v>50</v>
      </c>
      <c r="E2462" t="s">
        <v>8</v>
      </c>
      <c r="F2462" t="s">
        <v>10</v>
      </c>
      <c r="G2462">
        <v>3387</v>
      </c>
    </row>
    <row r="2463" spans="1:7" x14ac:dyDescent="0.25">
      <c r="A2463">
        <v>1190</v>
      </c>
      <c r="B2463">
        <v>52462</v>
      </c>
      <c r="C2463" s="2">
        <v>45526.043014338102</v>
      </c>
      <c r="D2463">
        <v>27</v>
      </c>
      <c r="E2463" t="s">
        <v>8</v>
      </c>
      <c r="F2463" t="s">
        <v>12</v>
      </c>
      <c r="G2463">
        <v>3706</v>
      </c>
    </row>
    <row r="2464" spans="1:7" x14ac:dyDescent="0.25">
      <c r="A2464">
        <v>1417</v>
      </c>
      <c r="B2464">
        <v>52463</v>
      </c>
      <c r="C2464" s="2">
        <v>45526.286428809603</v>
      </c>
      <c r="D2464">
        <v>54</v>
      </c>
      <c r="E2464" t="s">
        <v>7</v>
      </c>
      <c r="F2464" t="s">
        <v>11</v>
      </c>
      <c r="G2464">
        <v>1665</v>
      </c>
    </row>
    <row r="2465" spans="1:7" x14ac:dyDescent="0.25">
      <c r="A2465">
        <v>1546</v>
      </c>
      <c r="B2465">
        <v>52464</v>
      </c>
      <c r="C2465" s="2">
        <v>45526.529843281089</v>
      </c>
      <c r="D2465">
        <v>29</v>
      </c>
      <c r="E2465" t="s">
        <v>7</v>
      </c>
      <c r="F2465" t="s">
        <v>10</v>
      </c>
      <c r="G2465">
        <v>1395</v>
      </c>
    </row>
    <row r="2466" spans="1:7" x14ac:dyDescent="0.25">
      <c r="A2466">
        <v>1041</v>
      </c>
      <c r="B2466">
        <v>52465</v>
      </c>
      <c r="C2466" s="2">
        <v>45526.773257752582</v>
      </c>
      <c r="D2466">
        <v>47</v>
      </c>
      <c r="E2466" t="s">
        <v>8</v>
      </c>
      <c r="F2466" t="s">
        <v>12</v>
      </c>
      <c r="G2466">
        <v>3287</v>
      </c>
    </row>
    <row r="2467" spans="1:7" x14ac:dyDescent="0.25">
      <c r="A2467">
        <v>1307</v>
      </c>
      <c r="B2467">
        <v>52466</v>
      </c>
      <c r="C2467" s="2">
        <v>45527.016672224083</v>
      </c>
      <c r="D2467">
        <v>44</v>
      </c>
      <c r="E2467" t="s">
        <v>8</v>
      </c>
      <c r="F2467" t="s">
        <v>9</v>
      </c>
      <c r="G2467">
        <v>3208</v>
      </c>
    </row>
    <row r="2468" spans="1:7" x14ac:dyDescent="0.25">
      <c r="A2468">
        <v>1338</v>
      </c>
      <c r="B2468">
        <v>52467</v>
      </c>
      <c r="C2468" s="2">
        <v>45527.260086695547</v>
      </c>
      <c r="D2468">
        <v>56</v>
      </c>
      <c r="E2468" t="s">
        <v>7</v>
      </c>
      <c r="F2468" t="s">
        <v>10</v>
      </c>
      <c r="G2468">
        <v>4023</v>
      </c>
    </row>
    <row r="2469" spans="1:7" x14ac:dyDescent="0.25">
      <c r="A2469">
        <v>1314</v>
      </c>
      <c r="B2469">
        <v>52468</v>
      </c>
      <c r="C2469" s="2">
        <v>45527.503501167048</v>
      </c>
      <c r="D2469">
        <v>26</v>
      </c>
      <c r="E2469" t="s">
        <v>8</v>
      </c>
      <c r="F2469" t="s">
        <v>11</v>
      </c>
      <c r="G2469">
        <v>1814</v>
      </c>
    </row>
    <row r="2470" spans="1:7" x14ac:dyDescent="0.25">
      <c r="A2470">
        <v>1075</v>
      </c>
      <c r="B2470">
        <v>52469</v>
      </c>
      <c r="C2470" s="2">
        <v>45527.746915638541</v>
      </c>
      <c r="D2470">
        <v>38</v>
      </c>
      <c r="E2470" t="s">
        <v>8</v>
      </c>
      <c r="F2470" t="s">
        <v>9</v>
      </c>
      <c r="G2470">
        <v>1326</v>
      </c>
    </row>
    <row r="2471" spans="1:7" x14ac:dyDescent="0.25">
      <c r="A2471">
        <v>1279</v>
      </c>
      <c r="B2471">
        <v>52470</v>
      </c>
      <c r="C2471" s="2">
        <v>45527.990330110028</v>
      </c>
      <c r="D2471">
        <v>29</v>
      </c>
      <c r="E2471" t="s">
        <v>7</v>
      </c>
      <c r="F2471" t="s">
        <v>12</v>
      </c>
      <c r="G2471">
        <v>4579</v>
      </c>
    </row>
    <row r="2472" spans="1:7" x14ac:dyDescent="0.25">
      <c r="A2472">
        <v>1176</v>
      </c>
      <c r="B2472">
        <v>52471</v>
      </c>
      <c r="C2472" s="2">
        <v>45528.233744581506</v>
      </c>
      <c r="D2472">
        <v>46</v>
      </c>
      <c r="E2472" t="s">
        <v>7</v>
      </c>
      <c r="F2472" t="s">
        <v>10</v>
      </c>
      <c r="G2472">
        <v>716</v>
      </c>
    </row>
    <row r="2473" spans="1:7" x14ac:dyDescent="0.25">
      <c r="A2473">
        <v>1273</v>
      </c>
      <c r="B2473">
        <v>52472</v>
      </c>
      <c r="C2473" s="2">
        <v>45528.477159053007</v>
      </c>
      <c r="D2473">
        <v>50</v>
      </c>
      <c r="E2473" t="s">
        <v>7</v>
      </c>
      <c r="F2473" t="s">
        <v>10</v>
      </c>
      <c r="G2473">
        <v>2865</v>
      </c>
    </row>
    <row r="2474" spans="1:7" x14ac:dyDescent="0.25">
      <c r="A2474">
        <v>1289</v>
      </c>
      <c r="B2474">
        <v>52473</v>
      </c>
      <c r="C2474" s="2">
        <v>45528.720573524501</v>
      </c>
      <c r="D2474">
        <v>60</v>
      </c>
      <c r="E2474" t="s">
        <v>8</v>
      </c>
      <c r="F2474" t="s">
        <v>11</v>
      </c>
      <c r="G2474">
        <v>1501</v>
      </c>
    </row>
    <row r="2475" spans="1:7" x14ac:dyDescent="0.25">
      <c r="A2475">
        <v>1272</v>
      </c>
      <c r="B2475">
        <v>52474</v>
      </c>
      <c r="C2475" s="2">
        <v>45528.963987995987</v>
      </c>
      <c r="D2475">
        <v>32</v>
      </c>
      <c r="E2475" t="s">
        <v>7</v>
      </c>
      <c r="F2475" t="s">
        <v>9</v>
      </c>
      <c r="G2475">
        <v>811</v>
      </c>
    </row>
    <row r="2476" spans="1:7" x14ac:dyDescent="0.25">
      <c r="A2476">
        <v>1066</v>
      </c>
      <c r="B2476">
        <v>52475</v>
      </c>
      <c r="C2476" s="2">
        <v>45529.207402467488</v>
      </c>
      <c r="D2476">
        <v>19</v>
      </c>
      <c r="E2476" t="s">
        <v>7</v>
      </c>
      <c r="F2476" t="s">
        <v>10</v>
      </c>
      <c r="G2476">
        <v>949</v>
      </c>
    </row>
    <row r="2477" spans="1:7" x14ac:dyDescent="0.25">
      <c r="A2477">
        <v>1483</v>
      </c>
      <c r="B2477">
        <v>52476</v>
      </c>
      <c r="C2477" s="2">
        <v>45529.450816938966</v>
      </c>
      <c r="D2477">
        <v>56</v>
      </c>
      <c r="E2477" t="s">
        <v>8</v>
      </c>
      <c r="F2477" t="s">
        <v>10</v>
      </c>
      <c r="G2477">
        <v>2056</v>
      </c>
    </row>
    <row r="2478" spans="1:7" x14ac:dyDescent="0.25">
      <c r="A2478">
        <v>1248</v>
      </c>
      <c r="B2478">
        <v>52477</v>
      </c>
      <c r="C2478" s="2">
        <v>45529.69423141046</v>
      </c>
      <c r="D2478">
        <v>61</v>
      </c>
      <c r="E2478" t="s">
        <v>8</v>
      </c>
      <c r="F2478" t="s">
        <v>9</v>
      </c>
      <c r="G2478">
        <v>599</v>
      </c>
    </row>
    <row r="2479" spans="1:7" x14ac:dyDescent="0.25">
      <c r="A2479">
        <v>1156</v>
      </c>
      <c r="B2479">
        <v>52478</v>
      </c>
      <c r="C2479" s="2">
        <v>45529.937645881953</v>
      </c>
      <c r="D2479">
        <v>35</v>
      </c>
      <c r="E2479" t="s">
        <v>7</v>
      </c>
      <c r="F2479" t="s">
        <v>10</v>
      </c>
      <c r="G2479">
        <v>1726</v>
      </c>
    </row>
    <row r="2480" spans="1:7" x14ac:dyDescent="0.25">
      <c r="A2480">
        <v>1047</v>
      </c>
      <c r="B2480">
        <v>52479</v>
      </c>
      <c r="C2480" s="2">
        <v>45530.181060353447</v>
      </c>
      <c r="D2480">
        <v>20</v>
      </c>
      <c r="E2480" t="s">
        <v>7</v>
      </c>
      <c r="F2480" t="s">
        <v>9</v>
      </c>
      <c r="G2480">
        <v>2224</v>
      </c>
    </row>
    <row r="2481" spans="1:7" x14ac:dyDescent="0.25">
      <c r="A2481">
        <v>1454</v>
      </c>
      <c r="B2481">
        <v>52480</v>
      </c>
      <c r="C2481" s="2">
        <v>45530.424474824933</v>
      </c>
      <c r="D2481">
        <v>24</v>
      </c>
      <c r="E2481" t="s">
        <v>8</v>
      </c>
      <c r="F2481" t="s">
        <v>9</v>
      </c>
      <c r="G2481">
        <v>519</v>
      </c>
    </row>
    <row r="2482" spans="1:7" x14ac:dyDescent="0.25">
      <c r="A2482">
        <v>1201</v>
      </c>
      <c r="B2482">
        <v>52481</v>
      </c>
      <c r="C2482" s="2">
        <v>45530.667889296426</v>
      </c>
      <c r="D2482">
        <v>60</v>
      </c>
      <c r="E2482" t="s">
        <v>8</v>
      </c>
      <c r="F2482" t="s">
        <v>9</v>
      </c>
      <c r="G2482">
        <v>535</v>
      </c>
    </row>
    <row r="2483" spans="1:7" x14ac:dyDescent="0.25">
      <c r="A2483">
        <v>1124</v>
      </c>
      <c r="B2483">
        <v>52482</v>
      </c>
      <c r="C2483" s="2">
        <v>45530.91130376792</v>
      </c>
      <c r="D2483">
        <v>35</v>
      </c>
      <c r="E2483" t="s">
        <v>7</v>
      </c>
      <c r="F2483" t="s">
        <v>11</v>
      </c>
      <c r="G2483">
        <v>2298</v>
      </c>
    </row>
    <row r="2484" spans="1:7" x14ac:dyDescent="0.25">
      <c r="A2484">
        <v>1001</v>
      </c>
      <c r="B2484">
        <v>52483</v>
      </c>
      <c r="C2484" s="2">
        <v>45531.154718239413</v>
      </c>
      <c r="D2484">
        <v>61</v>
      </c>
      <c r="E2484" t="s">
        <v>7</v>
      </c>
      <c r="F2484" t="s">
        <v>9</v>
      </c>
      <c r="G2484">
        <v>373</v>
      </c>
    </row>
    <row r="2485" spans="1:7" x14ac:dyDescent="0.25">
      <c r="A2485">
        <v>1191</v>
      </c>
      <c r="B2485">
        <v>52484</v>
      </c>
      <c r="C2485" s="2">
        <v>45531.3981327109</v>
      </c>
      <c r="D2485">
        <v>55</v>
      </c>
      <c r="E2485" t="s">
        <v>8</v>
      </c>
      <c r="F2485" t="s">
        <v>9</v>
      </c>
      <c r="G2485">
        <v>4219</v>
      </c>
    </row>
    <row r="2486" spans="1:7" x14ac:dyDescent="0.25">
      <c r="A2486">
        <v>1579</v>
      </c>
      <c r="B2486">
        <v>52485</v>
      </c>
      <c r="C2486" s="2">
        <v>45531.641547182393</v>
      </c>
      <c r="D2486">
        <v>54</v>
      </c>
      <c r="E2486" t="s">
        <v>7</v>
      </c>
      <c r="F2486" t="s">
        <v>12</v>
      </c>
      <c r="G2486">
        <v>1841</v>
      </c>
    </row>
    <row r="2487" spans="1:7" x14ac:dyDescent="0.25">
      <c r="A2487">
        <v>1516</v>
      </c>
      <c r="B2487">
        <v>52486</v>
      </c>
      <c r="C2487" s="2">
        <v>45531.884961653879</v>
      </c>
      <c r="D2487">
        <v>50</v>
      </c>
      <c r="E2487" t="s">
        <v>8</v>
      </c>
      <c r="F2487" t="s">
        <v>12</v>
      </c>
      <c r="G2487">
        <v>700</v>
      </c>
    </row>
    <row r="2488" spans="1:7" x14ac:dyDescent="0.25">
      <c r="A2488">
        <v>1442</v>
      </c>
      <c r="B2488">
        <v>52487</v>
      </c>
      <c r="C2488" s="2">
        <v>45532.128376125373</v>
      </c>
      <c r="D2488">
        <v>61</v>
      </c>
      <c r="E2488" t="s">
        <v>7</v>
      </c>
      <c r="F2488" t="s">
        <v>11</v>
      </c>
      <c r="G2488">
        <v>3846</v>
      </c>
    </row>
    <row r="2489" spans="1:7" x14ac:dyDescent="0.25">
      <c r="A2489">
        <v>1143</v>
      </c>
      <c r="B2489">
        <v>52488</v>
      </c>
      <c r="C2489" s="2">
        <v>45532.371790596873</v>
      </c>
      <c r="D2489">
        <v>48</v>
      </c>
      <c r="E2489" t="s">
        <v>8</v>
      </c>
      <c r="F2489" t="s">
        <v>9</v>
      </c>
      <c r="G2489">
        <v>2563</v>
      </c>
    </row>
    <row r="2490" spans="1:7" x14ac:dyDescent="0.25">
      <c r="A2490">
        <v>1191</v>
      </c>
      <c r="B2490">
        <v>52489</v>
      </c>
      <c r="C2490" s="2">
        <v>45532.615205068338</v>
      </c>
      <c r="D2490">
        <v>28</v>
      </c>
      <c r="E2490" t="s">
        <v>8</v>
      </c>
      <c r="F2490" t="s">
        <v>12</v>
      </c>
      <c r="G2490">
        <v>2056</v>
      </c>
    </row>
    <row r="2491" spans="1:7" x14ac:dyDescent="0.25">
      <c r="A2491">
        <v>1533</v>
      </c>
      <c r="B2491">
        <v>52490</v>
      </c>
      <c r="C2491" s="2">
        <v>45532.858619539838</v>
      </c>
      <c r="D2491">
        <v>21</v>
      </c>
      <c r="E2491" t="s">
        <v>7</v>
      </c>
      <c r="F2491" t="s">
        <v>12</v>
      </c>
      <c r="G2491">
        <v>3352</v>
      </c>
    </row>
    <row r="2492" spans="1:7" x14ac:dyDescent="0.25">
      <c r="A2492">
        <v>1227</v>
      </c>
      <c r="B2492">
        <v>52491</v>
      </c>
      <c r="C2492" s="2">
        <v>45533.102034011332</v>
      </c>
      <c r="D2492">
        <v>35</v>
      </c>
      <c r="E2492" t="s">
        <v>7</v>
      </c>
      <c r="F2492" t="s">
        <v>10</v>
      </c>
      <c r="G2492">
        <v>2096</v>
      </c>
    </row>
    <row r="2493" spans="1:7" x14ac:dyDescent="0.25">
      <c r="A2493">
        <v>1313</v>
      </c>
      <c r="B2493">
        <v>52492</v>
      </c>
      <c r="C2493" s="2">
        <v>45533.345448482833</v>
      </c>
      <c r="D2493">
        <v>21</v>
      </c>
      <c r="E2493" t="s">
        <v>8</v>
      </c>
      <c r="F2493" t="s">
        <v>9</v>
      </c>
      <c r="G2493">
        <v>1918</v>
      </c>
    </row>
    <row r="2494" spans="1:7" x14ac:dyDescent="0.25">
      <c r="A2494">
        <v>1302</v>
      </c>
      <c r="B2494">
        <v>52493</v>
      </c>
      <c r="C2494" s="2">
        <v>45533.588862954319</v>
      </c>
      <c r="D2494">
        <v>51</v>
      </c>
      <c r="E2494" t="s">
        <v>7</v>
      </c>
      <c r="F2494" t="s">
        <v>12</v>
      </c>
      <c r="G2494">
        <v>1978</v>
      </c>
    </row>
    <row r="2495" spans="1:7" x14ac:dyDescent="0.25">
      <c r="A2495">
        <v>1460</v>
      </c>
      <c r="B2495">
        <v>52494</v>
      </c>
      <c r="C2495" s="2">
        <v>45533.832277425798</v>
      </c>
      <c r="D2495">
        <v>46</v>
      </c>
      <c r="E2495" t="s">
        <v>7</v>
      </c>
      <c r="F2495" t="s">
        <v>11</v>
      </c>
      <c r="G2495">
        <v>4992</v>
      </c>
    </row>
    <row r="2496" spans="1:7" x14ac:dyDescent="0.25">
      <c r="A2496">
        <v>1401</v>
      </c>
      <c r="B2496">
        <v>52495</v>
      </c>
      <c r="C2496" s="2">
        <v>45534.075691897291</v>
      </c>
      <c r="D2496">
        <v>41</v>
      </c>
      <c r="E2496" t="s">
        <v>7</v>
      </c>
      <c r="F2496" t="s">
        <v>10</v>
      </c>
      <c r="G2496">
        <v>3257</v>
      </c>
    </row>
    <row r="2497" spans="1:7" x14ac:dyDescent="0.25">
      <c r="A2497">
        <v>1551</v>
      </c>
      <c r="B2497">
        <v>52496</v>
      </c>
      <c r="C2497" s="2">
        <v>45534.319106368777</v>
      </c>
      <c r="D2497">
        <v>39</v>
      </c>
      <c r="E2497" t="s">
        <v>8</v>
      </c>
      <c r="F2497" t="s">
        <v>10</v>
      </c>
      <c r="G2497">
        <v>2913</v>
      </c>
    </row>
    <row r="2498" spans="1:7" x14ac:dyDescent="0.25">
      <c r="A2498">
        <v>1393</v>
      </c>
      <c r="B2498">
        <v>52497</v>
      </c>
      <c r="C2498" s="2">
        <v>45534.562520840278</v>
      </c>
      <c r="D2498">
        <v>19</v>
      </c>
      <c r="E2498" t="s">
        <v>7</v>
      </c>
      <c r="F2498" t="s">
        <v>9</v>
      </c>
      <c r="G2498">
        <v>4028</v>
      </c>
    </row>
    <row r="2499" spans="1:7" x14ac:dyDescent="0.25">
      <c r="A2499">
        <v>1207</v>
      </c>
      <c r="B2499">
        <v>52498</v>
      </c>
      <c r="C2499" s="2">
        <v>45534.805935311757</v>
      </c>
      <c r="D2499">
        <v>61</v>
      </c>
      <c r="E2499" t="s">
        <v>7</v>
      </c>
      <c r="F2499" t="s">
        <v>9</v>
      </c>
      <c r="G2499">
        <v>4947</v>
      </c>
    </row>
    <row r="2500" spans="1:7" x14ac:dyDescent="0.25">
      <c r="A2500">
        <v>1210</v>
      </c>
      <c r="B2500">
        <v>52499</v>
      </c>
      <c r="C2500" s="2">
        <v>45535.04934978325</v>
      </c>
      <c r="D2500">
        <v>23</v>
      </c>
      <c r="E2500" t="s">
        <v>8</v>
      </c>
      <c r="F2500" t="s">
        <v>10</v>
      </c>
      <c r="G2500">
        <v>1294</v>
      </c>
    </row>
    <row r="2501" spans="1:7" x14ac:dyDescent="0.25">
      <c r="A2501">
        <v>1115</v>
      </c>
      <c r="B2501">
        <v>52500</v>
      </c>
      <c r="C2501" s="2">
        <v>45535.292764254737</v>
      </c>
      <c r="D2501">
        <v>59</v>
      </c>
      <c r="E2501" t="s">
        <v>7</v>
      </c>
      <c r="F2501" t="s">
        <v>11</v>
      </c>
      <c r="G2501">
        <v>245</v>
      </c>
    </row>
    <row r="2502" spans="1:7" x14ac:dyDescent="0.25">
      <c r="A2502">
        <v>1251</v>
      </c>
      <c r="B2502">
        <v>52501</v>
      </c>
      <c r="C2502" s="2">
        <v>45535.536178726237</v>
      </c>
      <c r="D2502">
        <v>42</v>
      </c>
      <c r="E2502" t="s">
        <v>7</v>
      </c>
      <c r="F2502" t="s">
        <v>9</v>
      </c>
      <c r="G2502">
        <v>1645</v>
      </c>
    </row>
    <row r="2503" spans="1:7" x14ac:dyDescent="0.25">
      <c r="A2503">
        <v>1219</v>
      </c>
      <c r="B2503">
        <v>52502</v>
      </c>
      <c r="C2503" s="2">
        <v>45535.779593197731</v>
      </c>
      <c r="D2503">
        <v>38</v>
      </c>
      <c r="E2503" t="s">
        <v>8</v>
      </c>
      <c r="F2503" t="s">
        <v>9</v>
      </c>
      <c r="G2503">
        <v>2396</v>
      </c>
    </row>
    <row r="2504" spans="1:7" x14ac:dyDescent="0.25">
      <c r="A2504">
        <v>1407</v>
      </c>
      <c r="B2504">
        <v>52503</v>
      </c>
      <c r="C2504" s="2">
        <v>45536.02300766921</v>
      </c>
      <c r="D2504">
        <v>33</v>
      </c>
      <c r="E2504" t="s">
        <v>8</v>
      </c>
      <c r="F2504" t="s">
        <v>10</v>
      </c>
      <c r="G2504">
        <v>3401</v>
      </c>
    </row>
    <row r="2505" spans="1:7" x14ac:dyDescent="0.25">
      <c r="A2505">
        <v>1443</v>
      </c>
      <c r="B2505">
        <v>52504</v>
      </c>
      <c r="C2505" s="2">
        <v>45536.266422140703</v>
      </c>
      <c r="D2505">
        <v>48</v>
      </c>
      <c r="E2505" t="s">
        <v>7</v>
      </c>
      <c r="F2505" t="s">
        <v>10</v>
      </c>
      <c r="G2505">
        <v>655</v>
      </c>
    </row>
    <row r="2506" spans="1:7" x14ac:dyDescent="0.25">
      <c r="A2506">
        <v>1354</v>
      </c>
      <c r="B2506">
        <v>52505</v>
      </c>
      <c r="C2506" s="2">
        <v>45536.509836612197</v>
      </c>
      <c r="D2506">
        <v>31</v>
      </c>
      <c r="E2506" t="s">
        <v>7</v>
      </c>
      <c r="F2506" t="s">
        <v>9</v>
      </c>
      <c r="G2506">
        <v>1862</v>
      </c>
    </row>
    <row r="2507" spans="1:7" x14ac:dyDescent="0.25">
      <c r="A2507">
        <v>1558</v>
      </c>
      <c r="B2507">
        <v>52506</v>
      </c>
      <c r="C2507" s="2">
        <v>45536.75325108369</v>
      </c>
      <c r="D2507">
        <v>56</v>
      </c>
      <c r="E2507" t="s">
        <v>8</v>
      </c>
      <c r="F2507" t="s">
        <v>12</v>
      </c>
      <c r="G2507">
        <v>3124</v>
      </c>
    </row>
    <row r="2508" spans="1:7" x14ac:dyDescent="0.25">
      <c r="A2508">
        <v>1550</v>
      </c>
      <c r="B2508">
        <v>52507</v>
      </c>
      <c r="C2508" s="2">
        <v>45536.996665555183</v>
      </c>
      <c r="D2508">
        <v>45</v>
      </c>
      <c r="E2508" t="s">
        <v>8</v>
      </c>
      <c r="F2508" t="s">
        <v>9</v>
      </c>
      <c r="G2508">
        <v>1165</v>
      </c>
    </row>
    <row r="2509" spans="1:7" x14ac:dyDescent="0.25">
      <c r="A2509">
        <v>1142</v>
      </c>
      <c r="B2509">
        <v>52508</v>
      </c>
      <c r="C2509" s="2">
        <v>45537.24008002667</v>
      </c>
      <c r="D2509">
        <v>49</v>
      </c>
      <c r="E2509" t="s">
        <v>7</v>
      </c>
      <c r="F2509" t="s">
        <v>12</v>
      </c>
      <c r="G2509">
        <v>1728</v>
      </c>
    </row>
    <row r="2510" spans="1:7" x14ac:dyDescent="0.25">
      <c r="A2510">
        <v>1501</v>
      </c>
      <c r="B2510">
        <v>52509</v>
      </c>
      <c r="C2510" s="2">
        <v>45537.483494498163</v>
      </c>
      <c r="D2510">
        <v>45</v>
      </c>
      <c r="E2510" t="s">
        <v>7</v>
      </c>
      <c r="F2510" t="s">
        <v>10</v>
      </c>
      <c r="G2510">
        <v>3176</v>
      </c>
    </row>
    <row r="2511" spans="1:7" x14ac:dyDescent="0.25">
      <c r="A2511">
        <v>1547</v>
      </c>
      <c r="B2511">
        <v>52510</v>
      </c>
      <c r="C2511" s="2">
        <v>45537.726908969649</v>
      </c>
      <c r="D2511">
        <v>26</v>
      </c>
      <c r="E2511" t="s">
        <v>7</v>
      </c>
      <c r="F2511" t="s">
        <v>12</v>
      </c>
      <c r="G2511">
        <v>3271</v>
      </c>
    </row>
    <row r="2512" spans="1:7" x14ac:dyDescent="0.25">
      <c r="A2512">
        <v>1542</v>
      </c>
      <c r="B2512">
        <v>52511</v>
      </c>
      <c r="C2512" s="2">
        <v>45537.970323441143</v>
      </c>
      <c r="D2512">
        <v>62</v>
      </c>
      <c r="E2512" t="s">
        <v>8</v>
      </c>
      <c r="F2512" t="s">
        <v>11</v>
      </c>
      <c r="G2512">
        <v>2721</v>
      </c>
    </row>
    <row r="2513" spans="1:7" x14ac:dyDescent="0.25">
      <c r="A2513">
        <v>1507</v>
      </c>
      <c r="B2513">
        <v>52512</v>
      </c>
      <c r="C2513" s="2">
        <v>45538.213737912629</v>
      </c>
      <c r="D2513">
        <v>39</v>
      </c>
      <c r="E2513" t="s">
        <v>7</v>
      </c>
      <c r="F2513" t="s">
        <v>10</v>
      </c>
      <c r="G2513">
        <v>1326</v>
      </c>
    </row>
    <row r="2514" spans="1:7" x14ac:dyDescent="0.25">
      <c r="A2514">
        <v>1596</v>
      </c>
      <c r="B2514">
        <v>52513</v>
      </c>
      <c r="C2514" s="2">
        <v>45538.457152384122</v>
      </c>
      <c r="D2514">
        <v>49</v>
      </c>
      <c r="E2514" t="s">
        <v>8</v>
      </c>
      <c r="F2514" t="s">
        <v>9</v>
      </c>
      <c r="G2514">
        <v>3604</v>
      </c>
    </row>
    <row r="2515" spans="1:7" x14ac:dyDescent="0.25">
      <c r="A2515">
        <v>1281</v>
      </c>
      <c r="B2515">
        <v>52514</v>
      </c>
      <c r="C2515" s="2">
        <v>45538.700566855623</v>
      </c>
      <c r="D2515">
        <v>22</v>
      </c>
      <c r="E2515" t="s">
        <v>8</v>
      </c>
      <c r="F2515" t="s">
        <v>9</v>
      </c>
      <c r="G2515">
        <v>4692</v>
      </c>
    </row>
    <row r="2516" spans="1:7" x14ac:dyDescent="0.25">
      <c r="A2516">
        <v>1424</v>
      </c>
      <c r="B2516">
        <v>52515</v>
      </c>
      <c r="C2516" s="2">
        <v>45538.943981327109</v>
      </c>
      <c r="D2516">
        <v>40</v>
      </c>
      <c r="E2516" t="s">
        <v>8</v>
      </c>
      <c r="F2516" t="s">
        <v>10</v>
      </c>
      <c r="G2516">
        <v>2543</v>
      </c>
    </row>
    <row r="2517" spans="1:7" x14ac:dyDescent="0.25">
      <c r="A2517">
        <v>1270</v>
      </c>
      <c r="B2517">
        <v>52516</v>
      </c>
      <c r="C2517" s="2">
        <v>45539.187395798603</v>
      </c>
      <c r="D2517">
        <v>22</v>
      </c>
      <c r="E2517" t="s">
        <v>7</v>
      </c>
      <c r="F2517" t="s">
        <v>10</v>
      </c>
      <c r="G2517">
        <v>306</v>
      </c>
    </row>
    <row r="2518" spans="1:7" x14ac:dyDescent="0.25">
      <c r="A2518">
        <v>1154</v>
      </c>
      <c r="B2518">
        <v>52517</v>
      </c>
      <c r="C2518" s="2">
        <v>45539.430810270082</v>
      </c>
      <c r="D2518">
        <v>59</v>
      </c>
      <c r="E2518" t="s">
        <v>7</v>
      </c>
      <c r="F2518" t="s">
        <v>11</v>
      </c>
      <c r="G2518">
        <v>2777</v>
      </c>
    </row>
    <row r="2519" spans="1:7" x14ac:dyDescent="0.25">
      <c r="A2519">
        <v>1083</v>
      </c>
      <c r="B2519">
        <v>52518</v>
      </c>
      <c r="C2519" s="2">
        <v>45539.674224741582</v>
      </c>
      <c r="D2519">
        <v>49</v>
      </c>
      <c r="E2519" t="s">
        <v>7</v>
      </c>
      <c r="F2519" t="s">
        <v>10</v>
      </c>
      <c r="G2519">
        <v>3354</v>
      </c>
    </row>
    <row r="2520" spans="1:7" x14ac:dyDescent="0.25">
      <c r="A2520">
        <v>1426</v>
      </c>
      <c r="B2520">
        <v>52519</v>
      </c>
      <c r="C2520" s="2">
        <v>45539.917639213068</v>
      </c>
      <c r="D2520">
        <v>27</v>
      </c>
      <c r="E2520" t="s">
        <v>8</v>
      </c>
      <c r="F2520" t="s">
        <v>9</v>
      </c>
      <c r="G2520">
        <v>4583</v>
      </c>
    </row>
    <row r="2521" spans="1:7" x14ac:dyDescent="0.25">
      <c r="A2521">
        <v>1275</v>
      </c>
      <c r="B2521">
        <v>52520</v>
      </c>
      <c r="C2521" s="2">
        <v>45540.161053684562</v>
      </c>
      <c r="D2521">
        <v>56</v>
      </c>
      <c r="E2521" t="s">
        <v>7</v>
      </c>
      <c r="F2521" t="s">
        <v>11</v>
      </c>
      <c r="G2521">
        <v>4253</v>
      </c>
    </row>
    <row r="2522" spans="1:7" x14ac:dyDescent="0.25">
      <c r="A2522">
        <v>1284</v>
      </c>
      <c r="B2522">
        <v>52521</v>
      </c>
      <c r="C2522" s="2">
        <v>45540.404468156041</v>
      </c>
      <c r="D2522">
        <v>32</v>
      </c>
      <c r="E2522" t="s">
        <v>8</v>
      </c>
      <c r="F2522" t="s">
        <v>9</v>
      </c>
      <c r="G2522">
        <v>414</v>
      </c>
    </row>
    <row r="2523" spans="1:7" x14ac:dyDescent="0.25">
      <c r="A2523">
        <v>1173</v>
      </c>
      <c r="B2523">
        <v>52522</v>
      </c>
      <c r="C2523" s="2">
        <v>45540.647882627527</v>
      </c>
      <c r="D2523">
        <v>24</v>
      </c>
      <c r="E2523" t="s">
        <v>8</v>
      </c>
      <c r="F2523" t="s">
        <v>12</v>
      </c>
      <c r="G2523">
        <v>4639</v>
      </c>
    </row>
    <row r="2524" spans="1:7" x14ac:dyDescent="0.25">
      <c r="A2524">
        <v>1327</v>
      </c>
      <c r="B2524">
        <v>52523</v>
      </c>
      <c r="C2524" s="2">
        <v>45540.891297099028</v>
      </c>
      <c r="D2524">
        <v>46</v>
      </c>
      <c r="E2524" t="s">
        <v>8</v>
      </c>
      <c r="F2524" t="s">
        <v>10</v>
      </c>
      <c r="G2524">
        <v>4489</v>
      </c>
    </row>
    <row r="2525" spans="1:7" x14ac:dyDescent="0.25">
      <c r="A2525">
        <v>1063</v>
      </c>
      <c r="B2525">
        <v>52524</v>
      </c>
      <c r="C2525" s="2">
        <v>45541.134711570521</v>
      </c>
      <c r="D2525">
        <v>64</v>
      </c>
      <c r="E2525" t="s">
        <v>8</v>
      </c>
      <c r="F2525" t="s">
        <v>12</v>
      </c>
      <c r="G2525">
        <v>4453</v>
      </c>
    </row>
    <row r="2526" spans="1:7" x14ac:dyDescent="0.25">
      <c r="A2526">
        <v>1073</v>
      </c>
      <c r="B2526">
        <v>52525</v>
      </c>
      <c r="C2526" s="2">
        <v>45541.378126042007</v>
      </c>
      <c r="D2526">
        <v>20</v>
      </c>
      <c r="E2526" t="s">
        <v>8</v>
      </c>
      <c r="F2526" t="s">
        <v>9</v>
      </c>
      <c r="G2526">
        <v>664</v>
      </c>
    </row>
    <row r="2527" spans="1:7" x14ac:dyDescent="0.25">
      <c r="A2527">
        <v>1375</v>
      </c>
      <c r="B2527">
        <v>52526</v>
      </c>
      <c r="C2527" s="2">
        <v>45541.621540513494</v>
      </c>
      <c r="D2527">
        <v>36</v>
      </c>
      <c r="E2527" t="s">
        <v>8</v>
      </c>
      <c r="F2527" t="s">
        <v>12</v>
      </c>
      <c r="G2527">
        <v>2572</v>
      </c>
    </row>
    <row r="2528" spans="1:7" x14ac:dyDescent="0.25">
      <c r="A2528">
        <v>1508</v>
      </c>
      <c r="B2528">
        <v>52527</v>
      </c>
      <c r="C2528" s="2">
        <v>45541.864954984987</v>
      </c>
      <c r="D2528">
        <v>27</v>
      </c>
      <c r="E2528" t="s">
        <v>7</v>
      </c>
      <c r="F2528" t="s">
        <v>12</v>
      </c>
      <c r="G2528">
        <v>791</v>
      </c>
    </row>
    <row r="2529" spans="1:7" x14ac:dyDescent="0.25">
      <c r="A2529">
        <v>1398</v>
      </c>
      <c r="B2529">
        <v>52528</v>
      </c>
      <c r="C2529" s="2">
        <v>45542.10836945648</v>
      </c>
      <c r="D2529">
        <v>45</v>
      </c>
      <c r="E2529" t="s">
        <v>8</v>
      </c>
      <c r="F2529" t="s">
        <v>9</v>
      </c>
      <c r="G2529">
        <v>2388</v>
      </c>
    </row>
    <row r="2530" spans="1:7" x14ac:dyDescent="0.25">
      <c r="A2530">
        <v>1120</v>
      </c>
      <c r="B2530">
        <v>52529</v>
      </c>
      <c r="C2530" s="2">
        <v>45542.351783927967</v>
      </c>
      <c r="D2530">
        <v>46</v>
      </c>
      <c r="E2530" t="s">
        <v>7</v>
      </c>
      <c r="F2530" t="s">
        <v>9</v>
      </c>
      <c r="G2530">
        <v>1083</v>
      </c>
    </row>
    <row r="2531" spans="1:7" x14ac:dyDescent="0.25">
      <c r="A2531">
        <v>1437</v>
      </c>
      <c r="B2531">
        <v>52530</v>
      </c>
      <c r="C2531" s="2">
        <v>45542.595198399453</v>
      </c>
      <c r="D2531">
        <v>32</v>
      </c>
      <c r="E2531" t="s">
        <v>8</v>
      </c>
      <c r="F2531" t="s">
        <v>10</v>
      </c>
      <c r="G2531">
        <v>4358</v>
      </c>
    </row>
    <row r="2532" spans="1:7" x14ac:dyDescent="0.25">
      <c r="A2532">
        <v>1465</v>
      </c>
      <c r="B2532">
        <v>52531</v>
      </c>
      <c r="C2532" s="2">
        <v>45542.838612870954</v>
      </c>
      <c r="D2532">
        <v>52</v>
      </c>
      <c r="E2532" t="s">
        <v>7</v>
      </c>
      <c r="F2532" t="s">
        <v>12</v>
      </c>
      <c r="G2532">
        <v>503</v>
      </c>
    </row>
    <row r="2533" spans="1:7" x14ac:dyDescent="0.25">
      <c r="A2533">
        <v>1286</v>
      </c>
      <c r="B2533">
        <v>52532</v>
      </c>
      <c r="C2533" s="2">
        <v>45543.08202734244</v>
      </c>
      <c r="D2533">
        <v>23</v>
      </c>
      <c r="E2533" t="s">
        <v>7</v>
      </c>
      <c r="F2533" t="s">
        <v>11</v>
      </c>
      <c r="G2533">
        <v>4691</v>
      </c>
    </row>
    <row r="2534" spans="1:7" x14ac:dyDescent="0.25">
      <c r="A2534">
        <v>1265</v>
      </c>
      <c r="B2534">
        <v>52533</v>
      </c>
      <c r="C2534" s="2">
        <v>45543.325441813933</v>
      </c>
      <c r="D2534">
        <v>29</v>
      </c>
      <c r="E2534" t="s">
        <v>7</v>
      </c>
      <c r="F2534" t="s">
        <v>11</v>
      </c>
      <c r="G2534">
        <v>533</v>
      </c>
    </row>
    <row r="2535" spans="1:7" x14ac:dyDescent="0.25">
      <c r="A2535">
        <v>1320</v>
      </c>
      <c r="B2535">
        <v>52534</v>
      </c>
      <c r="C2535" s="2">
        <v>45543.568856285427</v>
      </c>
      <c r="D2535">
        <v>64</v>
      </c>
      <c r="E2535" t="s">
        <v>7</v>
      </c>
      <c r="F2535" t="s">
        <v>9</v>
      </c>
      <c r="G2535">
        <v>3033</v>
      </c>
    </row>
    <row r="2536" spans="1:7" x14ac:dyDescent="0.25">
      <c r="A2536">
        <v>1376</v>
      </c>
      <c r="B2536">
        <v>52535</v>
      </c>
      <c r="C2536" s="2">
        <v>45543.812270756913</v>
      </c>
      <c r="D2536">
        <v>55</v>
      </c>
      <c r="E2536" t="s">
        <v>8</v>
      </c>
      <c r="F2536" t="s">
        <v>9</v>
      </c>
      <c r="G2536">
        <v>4706</v>
      </c>
    </row>
    <row r="2537" spans="1:7" x14ac:dyDescent="0.25">
      <c r="A2537">
        <v>1089</v>
      </c>
      <c r="B2537">
        <v>52536</v>
      </c>
      <c r="C2537" s="2">
        <v>45544.055685228413</v>
      </c>
      <c r="D2537">
        <v>30</v>
      </c>
      <c r="E2537" t="s">
        <v>8</v>
      </c>
      <c r="F2537" t="s">
        <v>12</v>
      </c>
      <c r="G2537">
        <v>2531</v>
      </c>
    </row>
    <row r="2538" spans="1:7" x14ac:dyDescent="0.25">
      <c r="A2538">
        <v>1203</v>
      </c>
      <c r="B2538">
        <v>52537</v>
      </c>
      <c r="C2538" s="2">
        <v>45544.299099699892</v>
      </c>
      <c r="D2538">
        <v>46</v>
      </c>
      <c r="E2538" t="s">
        <v>8</v>
      </c>
      <c r="F2538" t="s">
        <v>9</v>
      </c>
      <c r="G2538">
        <v>4761</v>
      </c>
    </row>
    <row r="2539" spans="1:7" x14ac:dyDescent="0.25">
      <c r="A2539">
        <v>1334</v>
      </c>
      <c r="B2539">
        <v>52538</v>
      </c>
      <c r="C2539" s="2">
        <v>45544.542514171393</v>
      </c>
      <c r="D2539">
        <v>36</v>
      </c>
      <c r="E2539" t="s">
        <v>8</v>
      </c>
      <c r="F2539" t="s">
        <v>11</v>
      </c>
      <c r="G2539">
        <v>279</v>
      </c>
    </row>
    <row r="2540" spans="1:7" x14ac:dyDescent="0.25">
      <c r="A2540">
        <v>1222</v>
      </c>
      <c r="B2540">
        <v>52539</v>
      </c>
      <c r="C2540" s="2">
        <v>45544.785928642872</v>
      </c>
      <c r="D2540">
        <v>20</v>
      </c>
      <c r="E2540" t="s">
        <v>7</v>
      </c>
      <c r="F2540" t="s">
        <v>10</v>
      </c>
      <c r="G2540">
        <v>3963</v>
      </c>
    </row>
    <row r="2541" spans="1:7" x14ac:dyDescent="0.25">
      <c r="A2541">
        <v>1041</v>
      </c>
      <c r="B2541">
        <v>52540</v>
      </c>
      <c r="C2541" s="2">
        <v>45545.029343114373</v>
      </c>
      <c r="D2541">
        <v>25</v>
      </c>
      <c r="E2541" t="s">
        <v>7</v>
      </c>
      <c r="F2541" t="s">
        <v>10</v>
      </c>
      <c r="G2541">
        <v>3031</v>
      </c>
    </row>
    <row r="2542" spans="1:7" x14ac:dyDescent="0.25">
      <c r="A2542">
        <v>1068</v>
      </c>
      <c r="B2542">
        <v>52541</v>
      </c>
      <c r="C2542" s="2">
        <v>45545.272757585859</v>
      </c>
      <c r="D2542">
        <v>25</v>
      </c>
      <c r="E2542" t="s">
        <v>7</v>
      </c>
      <c r="F2542" t="s">
        <v>12</v>
      </c>
      <c r="G2542">
        <v>2177</v>
      </c>
    </row>
    <row r="2543" spans="1:7" x14ac:dyDescent="0.25">
      <c r="A2543">
        <v>1514</v>
      </c>
      <c r="B2543">
        <v>52542</v>
      </c>
      <c r="C2543" s="2">
        <v>45545.516172057352</v>
      </c>
      <c r="D2543">
        <v>37</v>
      </c>
      <c r="E2543" t="s">
        <v>8</v>
      </c>
      <c r="F2543" t="s">
        <v>10</v>
      </c>
      <c r="G2543">
        <v>932</v>
      </c>
    </row>
    <row r="2544" spans="1:7" x14ac:dyDescent="0.25">
      <c r="A2544">
        <v>1598</v>
      </c>
      <c r="B2544">
        <v>52543</v>
      </c>
      <c r="C2544" s="2">
        <v>45545.759586528853</v>
      </c>
      <c r="D2544">
        <v>64</v>
      </c>
      <c r="E2544" t="s">
        <v>7</v>
      </c>
      <c r="F2544" t="s">
        <v>9</v>
      </c>
      <c r="G2544">
        <v>4176</v>
      </c>
    </row>
    <row r="2545" spans="1:7" x14ac:dyDescent="0.25">
      <c r="A2545">
        <v>1127</v>
      </c>
      <c r="B2545">
        <v>52544</v>
      </c>
      <c r="C2545" s="2">
        <v>45546.003001000317</v>
      </c>
      <c r="D2545">
        <v>21</v>
      </c>
      <c r="E2545" t="s">
        <v>8</v>
      </c>
      <c r="F2545" t="s">
        <v>9</v>
      </c>
      <c r="G2545">
        <v>2017</v>
      </c>
    </row>
    <row r="2546" spans="1:7" x14ac:dyDescent="0.25">
      <c r="A2546">
        <v>1255</v>
      </c>
      <c r="B2546">
        <v>52545</v>
      </c>
      <c r="C2546" s="2">
        <v>45546.246415471818</v>
      </c>
      <c r="D2546">
        <v>38</v>
      </c>
      <c r="E2546" t="s">
        <v>7</v>
      </c>
      <c r="F2546" t="s">
        <v>9</v>
      </c>
      <c r="G2546">
        <v>1584</v>
      </c>
    </row>
    <row r="2547" spans="1:7" x14ac:dyDescent="0.25">
      <c r="A2547">
        <v>1016</v>
      </c>
      <c r="B2547">
        <v>52546</v>
      </c>
      <c r="C2547" s="2">
        <v>45546.489829943312</v>
      </c>
      <c r="D2547">
        <v>20</v>
      </c>
      <c r="E2547" t="s">
        <v>7</v>
      </c>
      <c r="F2547" t="s">
        <v>9</v>
      </c>
      <c r="G2547">
        <v>2324</v>
      </c>
    </row>
    <row r="2548" spans="1:7" x14ac:dyDescent="0.25">
      <c r="A2548">
        <v>1477</v>
      </c>
      <c r="B2548">
        <v>52547</v>
      </c>
      <c r="C2548" s="2">
        <v>45546.733244414812</v>
      </c>
      <c r="D2548">
        <v>62</v>
      </c>
      <c r="E2548" t="s">
        <v>7</v>
      </c>
      <c r="F2548" t="s">
        <v>12</v>
      </c>
      <c r="G2548">
        <v>1398</v>
      </c>
    </row>
    <row r="2549" spans="1:7" x14ac:dyDescent="0.25">
      <c r="A2549">
        <v>1062</v>
      </c>
      <c r="B2549">
        <v>52548</v>
      </c>
      <c r="C2549" s="2">
        <v>45546.976658886277</v>
      </c>
      <c r="D2549">
        <v>25</v>
      </c>
      <c r="E2549" t="s">
        <v>7</v>
      </c>
      <c r="F2549" t="s">
        <v>10</v>
      </c>
      <c r="G2549">
        <v>2492</v>
      </c>
    </row>
    <row r="2550" spans="1:7" x14ac:dyDescent="0.25">
      <c r="A2550">
        <v>1432</v>
      </c>
      <c r="B2550">
        <v>52549</v>
      </c>
      <c r="C2550" s="2">
        <v>45547.220073357777</v>
      </c>
      <c r="D2550">
        <v>40</v>
      </c>
      <c r="E2550" t="s">
        <v>7</v>
      </c>
      <c r="F2550" t="s">
        <v>11</v>
      </c>
      <c r="G2550">
        <v>4417</v>
      </c>
    </row>
    <row r="2551" spans="1:7" x14ac:dyDescent="0.25">
      <c r="A2551">
        <v>1268</v>
      </c>
      <c r="B2551">
        <v>52550</v>
      </c>
      <c r="C2551" s="2">
        <v>45547.463487829271</v>
      </c>
      <c r="D2551">
        <v>33</v>
      </c>
      <c r="E2551" t="s">
        <v>8</v>
      </c>
      <c r="F2551" t="s">
        <v>10</v>
      </c>
      <c r="G2551">
        <v>384</v>
      </c>
    </row>
    <row r="2552" spans="1:7" x14ac:dyDescent="0.25">
      <c r="A2552">
        <v>1035</v>
      </c>
      <c r="B2552">
        <v>52551</v>
      </c>
      <c r="C2552" s="2">
        <v>45547.706902300757</v>
      </c>
      <c r="D2552">
        <v>30</v>
      </c>
      <c r="E2552" t="s">
        <v>7</v>
      </c>
      <c r="F2552" t="s">
        <v>9</v>
      </c>
      <c r="G2552">
        <v>4327</v>
      </c>
    </row>
    <row r="2553" spans="1:7" x14ac:dyDescent="0.25">
      <c r="A2553">
        <v>1576</v>
      </c>
      <c r="B2553">
        <v>52552</v>
      </c>
      <c r="C2553" s="2">
        <v>45547.950316772258</v>
      </c>
      <c r="D2553">
        <v>20</v>
      </c>
      <c r="E2553" t="s">
        <v>8</v>
      </c>
      <c r="F2553" t="s">
        <v>11</v>
      </c>
      <c r="G2553">
        <v>1197</v>
      </c>
    </row>
    <row r="2554" spans="1:7" x14ac:dyDescent="0.25">
      <c r="A2554">
        <v>1494</v>
      </c>
      <c r="B2554">
        <v>52553</v>
      </c>
      <c r="C2554" s="2">
        <v>45548.193731243737</v>
      </c>
      <c r="D2554">
        <v>26</v>
      </c>
      <c r="E2554" t="s">
        <v>8</v>
      </c>
      <c r="F2554" t="s">
        <v>12</v>
      </c>
      <c r="G2554">
        <v>2186</v>
      </c>
    </row>
    <row r="2555" spans="1:7" x14ac:dyDescent="0.25">
      <c r="A2555">
        <v>1562</v>
      </c>
      <c r="B2555">
        <v>52554</v>
      </c>
      <c r="C2555" s="2">
        <v>45548.43714571523</v>
      </c>
      <c r="D2555">
        <v>31</v>
      </c>
      <c r="E2555" t="s">
        <v>8</v>
      </c>
      <c r="F2555" t="s">
        <v>9</v>
      </c>
      <c r="G2555">
        <v>3009</v>
      </c>
    </row>
    <row r="2556" spans="1:7" x14ac:dyDescent="0.25">
      <c r="A2556">
        <v>1469</v>
      </c>
      <c r="B2556">
        <v>52555</v>
      </c>
      <c r="C2556" s="2">
        <v>45548.680560186724</v>
      </c>
      <c r="D2556">
        <v>30</v>
      </c>
      <c r="E2556" t="s">
        <v>8</v>
      </c>
      <c r="F2556" t="s">
        <v>9</v>
      </c>
      <c r="G2556">
        <v>4864</v>
      </c>
    </row>
    <row r="2557" spans="1:7" x14ac:dyDescent="0.25">
      <c r="A2557">
        <v>1325</v>
      </c>
      <c r="B2557">
        <v>52556</v>
      </c>
      <c r="C2557" s="2">
        <v>45548.923974658217</v>
      </c>
      <c r="D2557">
        <v>24</v>
      </c>
      <c r="E2557" t="s">
        <v>8</v>
      </c>
      <c r="F2557" t="s">
        <v>11</v>
      </c>
      <c r="G2557">
        <v>2557</v>
      </c>
    </row>
    <row r="2558" spans="1:7" x14ac:dyDescent="0.25">
      <c r="A2558">
        <v>1304</v>
      </c>
      <c r="B2558">
        <v>52557</v>
      </c>
      <c r="C2558" s="2">
        <v>45549.167389129703</v>
      </c>
      <c r="D2558">
        <v>32</v>
      </c>
      <c r="E2558" t="s">
        <v>8</v>
      </c>
      <c r="F2558" t="s">
        <v>12</v>
      </c>
      <c r="G2558">
        <v>1879</v>
      </c>
    </row>
    <row r="2559" spans="1:7" x14ac:dyDescent="0.25">
      <c r="A2559">
        <v>1276</v>
      </c>
      <c r="B2559">
        <v>52558</v>
      </c>
      <c r="C2559" s="2">
        <v>45549.410803601189</v>
      </c>
      <c r="D2559">
        <v>24</v>
      </c>
      <c r="E2559" t="s">
        <v>8</v>
      </c>
      <c r="F2559" t="s">
        <v>11</v>
      </c>
      <c r="G2559">
        <v>3239</v>
      </c>
    </row>
    <row r="2560" spans="1:7" x14ac:dyDescent="0.25">
      <c r="A2560">
        <v>1201</v>
      </c>
      <c r="B2560">
        <v>52559</v>
      </c>
      <c r="C2560" s="2">
        <v>45549.654218072683</v>
      </c>
      <c r="D2560">
        <v>55</v>
      </c>
      <c r="E2560" t="s">
        <v>8</v>
      </c>
      <c r="F2560" t="s">
        <v>12</v>
      </c>
      <c r="G2560">
        <v>2711</v>
      </c>
    </row>
    <row r="2561" spans="1:7" x14ac:dyDescent="0.25">
      <c r="A2561">
        <v>1445</v>
      </c>
      <c r="B2561">
        <v>52560</v>
      </c>
      <c r="C2561" s="2">
        <v>45549.897632544184</v>
      </c>
      <c r="D2561">
        <v>51</v>
      </c>
      <c r="E2561" t="s">
        <v>7</v>
      </c>
      <c r="F2561" t="s">
        <v>9</v>
      </c>
      <c r="G2561">
        <v>3727</v>
      </c>
    </row>
    <row r="2562" spans="1:7" x14ac:dyDescent="0.25">
      <c r="A2562">
        <v>1324</v>
      </c>
      <c r="B2562">
        <v>52561</v>
      </c>
      <c r="C2562" s="2">
        <v>45550.14104701567</v>
      </c>
      <c r="D2562">
        <v>58</v>
      </c>
      <c r="E2562" t="s">
        <v>7</v>
      </c>
      <c r="F2562" t="s">
        <v>10</v>
      </c>
      <c r="G2562">
        <v>3226</v>
      </c>
    </row>
    <row r="2563" spans="1:7" x14ac:dyDescent="0.25">
      <c r="A2563">
        <v>1035</v>
      </c>
      <c r="B2563">
        <v>52562</v>
      </c>
      <c r="C2563" s="2">
        <v>45550.384461487163</v>
      </c>
      <c r="D2563">
        <v>39</v>
      </c>
      <c r="E2563" t="s">
        <v>8</v>
      </c>
      <c r="F2563" t="s">
        <v>9</v>
      </c>
      <c r="G2563">
        <v>2945</v>
      </c>
    </row>
    <row r="2564" spans="1:7" x14ac:dyDescent="0.25">
      <c r="A2564">
        <v>1482</v>
      </c>
      <c r="B2564">
        <v>52563</v>
      </c>
      <c r="C2564" s="2">
        <v>45550.627875958649</v>
      </c>
      <c r="D2564">
        <v>41</v>
      </c>
      <c r="E2564" t="s">
        <v>8</v>
      </c>
      <c r="F2564" t="s">
        <v>10</v>
      </c>
      <c r="G2564">
        <v>4373</v>
      </c>
    </row>
    <row r="2565" spans="1:7" x14ac:dyDescent="0.25">
      <c r="A2565">
        <v>1480</v>
      </c>
      <c r="B2565">
        <v>52564</v>
      </c>
      <c r="C2565" s="2">
        <v>45550.871290430143</v>
      </c>
      <c r="D2565">
        <v>54</v>
      </c>
      <c r="E2565" t="s">
        <v>8</v>
      </c>
      <c r="F2565" t="s">
        <v>10</v>
      </c>
      <c r="G2565">
        <v>2781</v>
      </c>
    </row>
    <row r="2566" spans="1:7" x14ac:dyDescent="0.25">
      <c r="A2566">
        <v>1065</v>
      </c>
      <c r="B2566">
        <v>52565</v>
      </c>
      <c r="C2566" s="2">
        <v>45551.114704901629</v>
      </c>
      <c r="D2566">
        <v>61</v>
      </c>
      <c r="E2566" t="s">
        <v>7</v>
      </c>
      <c r="F2566" t="s">
        <v>12</v>
      </c>
      <c r="G2566">
        <v>4403</v>
      </c>
    </row>
    <row r="2567" spans="1:7" x14ac:dyDescent="0.25">
      <c r="A2567">
        <v>1008</v>
      </c>
      <c r="B2567">
        <v>52566</v>
      </c>
      <c r="C2567" s="2">
        <v>45551.358119373122</v>
      </c>
      <c r="D2567">
        <v>18</v>
      </c>
      <c r="E2567" t="s">
        <v>7</v>
      </c>
      <c r="F2567" t="s">
        <v>11</v>
      </c>
      <c r="G2567">
        <v>3011</v>
      </c>
    </row>
    <row r="2568" spans="1:7" x14ac:dyDescent="0.25">
      <c r="A2568">
        <v>1301</v>
      </c>
      <c r="B2568">
        <v>52567</v>
      </c>
      <c r="C2568" s="2">
        <v>45551.601533844609</v>
      </c>
      <c r="D2568">
        <v>27</v>
      </c>
      <c r="E2568" t="s">
        <v>8</v>
      </c>
      <c r="F2568" t="s">
        <v>12</v>
      </c>
      <c r="G2568">
        <v>4290</v>
      </c>
    </row>
    <row r="2569" spans="1:7" x14ac:dyDescent="0.25">
      <c r="A2569">
        <v>1343</v>
      </c>
      <c r="B2569">
        <v>52568</v>
      </c>
      <c r="C2569" s="2">
        <v>45551.844948316102</v>
      </c>
      <c r="D2569">
        <v>60</v>
      </c>
      <c r="E2569" t="s">
        <v>8</v>
      </c>
      <c r="F2569" t="s">
        <v>9</v>
      </c>
      <c r="G2569">
        <v>569</v>
      </c>
    </row>
    <row r="2570" spans="1:7" x14ac:dyDescent="0.25">
      <c r="A2570">
        <v>1431</v>
      </c>
      <c r="B2570">
        <v>52569</v>
      </c>
      <c r="C2570" s="2">
        <v>45552.088362787603</v>
      </c>
      <c r="D2570">
        <v>33</v>
      </c>
      <c r="E2570" t="s">
        <v>7</v>
      </c>
      <c r="F2570" t="s">
        <v>11</v>
      </c>
      <c r="G2570">
        <v>3943</v>
      </c>
    </row>
    <row r="2571" spans="1:7" x14ac:dyDescent="0.25">
      <c r="A2571">
        <v>1424</v>
      </c>
      <c r="B2571">
        <v>52570</v>
      </c>
      <c r="C2571" s="2">
        <v>45552.331777259089</v>
      </c>
      <c r="D2571">
        <v>63</v>
      </c>
      <c r="E2571" t="s">
        <v>7</v>
      </c>
      <c r="F2571" t="s">
        <v>10</v>
      </c>
      <c r="G2571">
        <v>2204</v>
      </c>
    </row>
    <row r="2572" spans="1:7" x14ac:dyDescent="0.25">
      <c r="A2572">
        <v>1332</v>
      </c>
      <c r="B2572">
        <v>52571</v>
      </c>
      <c r="C2572" s="2">
        <v>45552.575191730568</v>
      </c>
      <c r="D2572">
        <v>25</v>
      </c>
      <c r="E2572" t="s">
        <v>8</v>
      </c>
      <c r="F2572" t="s">
        <v>10</v>
      </c>
      <c r="G2572">
        <v>1903</v>
      </c>
    </row>
    <row r="2573" spans="1:7" x14ac:dyDescent="0.25">
      <c r="A2573">
        <v>1438</v>
      </c>
      <c r="B2573">
        <v>52572</v>
      </c>
      <c r="C2573" s="2">
        <v>45552.818606202061</v>
      </c>
      <c r="D2573">
        <v>42</v>
      </c>
      <c r="E2573" t="s">
        <v>8</v>
      </c>
      <c r="F2573" t="s">
        <v>9</v>
      </c>
      <c r="G2573">
        <v>3524</v>
      </c>
    </row>
    <row r="2574" spans="1:7" x14ac:dyDescent="0.25">
      <c r="A2574">
        <v>1588</v>
      </c>
      <c r="B2574">
        <v>52573</v>
      </c>
      <c r="C2574" s="2">
        <v>45553.062020673548</v>
      </c>
      <c r="D2574">
        <v>29</v>
      </c>
      <c r="E2574" t="s">
        <v>8</v>
      </c>
      <c r="F2574" t="s">
        <v>11</v>
      </c>
      <c r="G2574">
        <v>640</v>
      </c>
    </row>
    <row r="2575" spans="1:7" x14ac:dyDescent="0.25">
      <c r="A2575">
        <v>1174</v>
      </c>
      <c r="B2575">
        <v>52574</v>
      </c>
      <c r="C2575" s="2">
        <v>45553.305435145048</v>
      </c>
      <c r="D2575">
        <v>42</v>
      </c>
      <c r="E2575" t="s">
        <v>8</v>
      </c>
      <c r="F2575" t="s">
        <v>9</v>
      </c>
      <c r="G2575">
        <v>3457</v>
      </c>
    </row>
    <row r="2576" spans="1:7" x14ac:dyDescent="0.25">
      <c r="A2576">
        <v>1559</v>
      </c>
      <c r="B2576">
        <v>52575</v>
      </c>
      <c r="C2576" s="2">
        <v>45553.548849616527</v>
      </c>
      <c r="D2576">
        <v>34</v>
      </c>
      <c r="E2576" t="s">
        <v>7</v>
      </c>
      <c r="F2576" t="s">
        <v>9</v>
      </c>
      <c r="G2576">
        <v>3106</v>
      </c>
    </row>
    <row r="2577" spans="1:7" x14ac:dyDescent="0.25">
      <c r="A2577">
        <v>1527</v>
      </c>
      <c r="B2577">
        <v>52576</v>
      </c>
      <c r="C2577" s="2">
        <v>45553.792264088021</v>
      </c>
      <c r="D2577">
        <v>43</v>
      </c>
      <c r="E2577" t="s">
        <v>7</v>
      </c>
      <c r="F2577" t="s">
        <v>12</v>
      </c>
      <c r="G2577">
        <v>426</v>
      </c>
    </row>
    <row r="2578" spans="1:7" x14ac:dyDescent="0.25">
      <c r="A2578">
        <v>1026</v>
      </c>
      <c r="B2578">
        <v>52577</v>
      </c>
      <c r="C2578" s="2">
        <v>45554.035678559507</v>
      </c>
      <c r="D2578">
        <v>63</v>
      </c>
      <c r="E2578" t="s">
        <v>8</v>
      </c>
      <c r="F2578" t="s">
        <v>9</v>
      </c>
      <c r="G2578">
        <v>2601</v>
      </c>
    </row>
    <row r="2579" spans="1:7" x14ac:dyDescent="0.25">
      <c r="A2579">
        <v>1406</v>
      </c>
      <c r="B2579">
        <v>52578</v>
      </c>
      <c r="C2579" s="2">
        <v>45554.279093031008</v>
      </c>
      <c r="D2579">
        <v>31</v>
      </c>
      <c r="E2579" t="s">
        <v>8</v>
      </c>
      <c r="F2579" t="s">
        <v>11</v>
      </c>
      <c r="G2579">
        <v>4918</v>
      </c>
    </row>
    <row r="2580" spans="1:7" x14ac:dyDescent="0.25">
      <c r="A2580">
        <v>1232</v>
      </c>
      <c r="B2580">
        <v>52579</v>
      </c>
      <c r="C2580" s="2">
        <v>45554.522507502501</v>
      </c>
      <c r="D2580">
        <v>58</v>
      </c>
      <c r="E2580" t="s">
        <v>8</v>
      </c>
      <c r="F2580" t="s">
        <v>9</v>
      </c>
      <c r="G2580">
        <v>1224</v>
      </c>
    </row>
    <row r="2581" spans="1:7" x14ac:dyDescent="0.25">
      <c r="A2581">
        <v>1533</v>
      </c>
      <c r="B2581">
        <v>52580</v>
      </c>
      <c r="C2581" s="2">
        <v>45554.76592197398</v>
      </c>
      <c r="D2581">
        <v>53</v>
      </c>
      <c r="E2581" t="s">
        <v>7</v>
      </c>
      <c r="F2581" t="s">
        <v>11</v>
      </c>
      <c r="G2581">
        <v>3691</v>
      </c>
    </row>
    <row r="2582" spans="1:7" x14ac:dyDescent="0.25">
      <c r="A2582">
        <v>1550</v>
      </c>
      <c r="B2582">
        <v>52581</v>
      </c>
      <c r="C2582" s="2">
        <v>45555.009336445473</v>
      </c>
      <c r="D2582">
        <v>40</v>
      </c>
      <c r="E2582" t="s">
        <v>8</v>
      </c>
      <c r="F2582" t="s">
        <v>10</v>
      </c>
      <c r="G2582">
        <v>4456</v>
      </c>
    </row>
    <row r="2583" spans="1:7" x14ac:dyDescent="0.25">
      <c r="A2583">
        <v>1505</v>
      </c>
      <c r="B2583">
        <v>52582</v>
      </c>
      <c r="C2583" s="2">
        <v>45555.252750916967</v>
      </c>
      <c r="D2583">
        <v>60</v>
      </c>
      <c r="E2583" t="s">
        <v>8</v>
      </c>
      <c r="F2583" t="s">
        <v>9</v>
      </c>
      <c r="G2583">
        <v>1070</v>
      </c>
    </row>
    <row r="2584" spans="1:7" x14ac:dyDescent="0.25">
      <c r="A2584">
        <v>1179</v>
      </c>
      <c r="B2584">
        <v>52583</v>
      </c>
      <c r="C2584" s="2">
        <v>45555.49616538846</v>
      </c>
      <c r="D2584">
        <v>23</v>
      </c>
      <c r="E2584" t="s">
        <v>8</v>
      </c>
      <c r="F2584" t="s">
        <v>11</v>
      </c>
      <c r="G2584">
        <v>3399</v>
      </c>
    </row>
    <row r="2585" spans="1:7" x14ac:dyDescent="0.25">
      <c r="A2585">
        <v>1132</v>
      </c>
      <c r="B2585">
        <v>52584</v>
      </c>
      <c r="C2585" s="2">
        <v>45555.739579859939</v>
      </c>
      <c r="D2585">
        <v>64</v>
      </c>
      <c r="E2585" t="s">
        <v>7</v>
      </c>
      <c r="F2585" t="s">
        <v>10</v>
      </c>
      <c r="G2585">
        <v>1945</v>
      </c>
    </row>
    <row r="2586" spans="1:7" x14ac:dyDescent="0.25">
      <c r="A2586">
        <v>1455</v>
      </c>
      <c r="B2586">
        <v>52585</v>
      </c>
      <c r="C2586" s="2">
        <v>45555.982994331433</v>
      </c>
      <c r="D2586">
        <v>22</v>
      </c>
      <c r="E2586" t="s">
        <v>8</v>
      </c>
      <c r="F2586" t="s">
        <v>11</v>
      </c>
      <c r="G2586">
        <v>643</v>
      </c>
    </row>
    <row r="2587" spans="1:7" x14ac:dyDescent="0.25">
      <c r="A2587">
        <v>1348</v>
      </c>
      <c r="B2587">
        <v>52586</v>
      </c>
      <c r="C2587" s="2">
        <v>45556.226408802933</v>
      </c>
      <c r="D2587">
        <v>60</v>
      </c>
      <c r="E2587" t="s">
        <v>7</v>
      </c>
      <c r="F2587" t="s">
        <v>10</v>
      </c>
      <c r="G2587">
        <v>4758</v>
      </c>
    </row>
    <row r="2588" spans="1:7" x14ac:dyDescent="0.25">
      <c r="A2588">
        <v>1540</v>
      </c>
      <c r="B2588">
        <v>52587</v>
      </c>
      <c r="C2588" s="2">
        <v>45556.469823274419</v>
      </c>
      <c r="D2588">
        <v>42</v>
      </c>
      <c r="E2588" t="s">
        <v>8</v>
      </c>
      <c r="F2588" t="s">
        <v>12</v>
      </c>
      <c r="G2588">
        <v>672</v>
      </c>
    </row>
    <row r="2589" spans="1:7" x14ac:dyDescent="0.25">
      <c r="A2589">
        <v>1406</v>
      </c>
      <c r="B2589">
        <v>52588</v>
      </c>
      <c r="C2589" s="2">
        <v>45556.713237745913</v>
      </c>
      <c r="D2589">
        <v>35</v>
      </c>
      <c r="E2589" t="s">
        <v>8</v>
      </c>
      <c r="F2589" t="s">
        <v>9</v>
      </c>
      <c r="G2589">
        <v>279</v>
      </c>
    </row>
    <row r="2590" spans="1:7" x14ac:dyDescent="0.25">
      <c r="A2590">
        <v>1076</v>
      </c>
      <c r="B2590">
        <v>52589</v>
      </c>
      <c r="C2590" s="2">
        <v>45556.956652217399</v>
      </c>
      <c r="D2590">
        <v>30</v>
      </c>
      <c r="E2590" t="s">
        <v>8</v>
      </c>
      <c r="F2590" t="s">
        <v>9</v>
      </c>
      <c r="G2590">
        <v>439</v>
      </c>
    </row>
    <row r="2591" spans="1:7" x14ac:dyDescent="0.25">
      <c r="A2591">
        <v>1579</v>
      </c>
      <c r="B2591">
        <v>52590</v>
      </c>
      <c r="C2591" s="2">
        <v>45557.200066688893</v>
      </c>
      <c r="D2591">
        <v>60</v>
      </c>
      <c r="E2591" t="s">
        <v>7</v>
      </c>
      <c r="F2591" t="s">
        <v>10</v>
      </c>
      <c r="G2591">
        <v>4852</v>
      </c>
    </row>
    <row r="2592" spans="1:7" x14ac:dyDescent="0.25">
      <c r="A2592">
        <v>1492</v>
      </c>
      <c r="B2592">
        <v>52591</v>
      </c>
      <c r="C2592" s="2">
        <v>45557.443481160379</v>
      </c>
      <c r="D2592">
        <v>31</v>
      </c>
      <c r="E2592" t="s">
        <v>8</v>
      </c>
      <c r="F2592" t="s">
        <v>12</v>
      </c>
      <c r="G2592">
        <v>789</v>
      </c>
    </row>
    <row r="2593" spans="1:7" x14ac:dyDescent="0.25">
      <c r="A2593">
        <v>1194</v>
      </c>
      <c r="B2593">
        <v>52592</v>
      </c>
      <c r="C2593" s="2">
        <v>45557.686895631872</v>
      </c>
      <c r="D2593">
        <v>45</v>
      </c>
      <c r="E2593" t="s">
        <v>8</v>
      </c>
      <c r="F2593" t="s">
        <v>11</v>
      </c>
      <c r="G2593">
        <v>1560</v>
      </c>
    </row>
    <row r="2594" spans="1:7" x14ac:dyDescent="0.25">
      <c r="A2594">
        <v>1162</v>
      </c>
      <c r="B2594">
        <v>52593</v>
      </c>
      <c r="C2594" s="2">
        <v>45557.930310103358</v>
      </c>
      <c r="D2594">
        <v>35</v>
      </c>
      <c r="E2594" t="s">
        <v>7</v>
      </c>
      <c r="F2594" t="s">
        <v>12</v>
      </c>
      <c r="G2594">
        <v>2084</v>
      </c>
    </row>
    <row r="2595" spans="1:7" x14ac:dyDescent="0.25">
      <c r="A2595">
        <v>1347</v>
      </c>
      <c r="B2595">
        <v>52594</v>
      </c>
      <c r="C2595" s="2">
        <v>45558.173724574852</v>
      </c>
      <c r="D2595">
        <v>45</v>
      </c>
      <c r="E2595" t="s">
        <v>7</v>
      </c>
      <c r="F2595" t="s">
        <v>11</v>
      </c>
      <c r="G2595">
        <v>2516</v>
      </c>
    </row>
    <row r="2596" spans="1:7" x14ac:dyDescent="0.25">
      <c r="A2596">
        <v>1361</v>
      </c>
      <c r="B2596">
        <v>52595</v>
      </c>
      <c r="C2596" s="2">
        <v>45558.417139046353</v>
      </c>
      <c r="D2596">
        <v>44</v>
      </c>
      <c r="E2596" t="s">
        <v>7</v>
      </c>
      <c r="F2596" t="s">
        <v>11</v>
      </c>
      <c r="G2596">
        <v>4630</v>
      </c>
    </row>
    <row r="2597" spans="1:7" x14ac:dyDescent="0.25">
      <c r="A2597">
        <v>1584</v>
      </c>
      <c r="B2597">
        <v>52596</v>
      </c>
      <c r="C2597" s="2">
        <v>45558.660553517839</v>
      </c>
      <c r="D2597">
        <v>49</v>
      </c>
      <c r="E2597" t="s">
        <v>8</v>
      </c>
      <c r="F2597" t="s">
        <v>9</v>
      </c>
      <c r="G2597">
        <v>511</v>
      </c>
    </row>
    <row r="2598" spans="1:7" x14ac:dyDescent="0.25">
      <c r="A2598">
        <v>1087</v>
      </c>
      <c r="B2598">
        <v>52597</v>
      </c>
      <c r="C2598" s="2">
        <v>45558.903967989332</v>
      </c>
      <c r="D2598">
        <v>64</v>
      </c>
      <c r="E2598" t="s">
        <v>7</v>
      </c>
      <c r="F2598" t="s">
        <v>10</v>
      </c>
      <c r="G2598">
        <v>1276</v>
      </c>
    </row>
    <row r="2599" spans="1:7" x14ac:dyDescent="0.25">
      <c r="A2599">
        <v>1262</v>
      </c>
      <c r="B2599">
        <v>52598</v>
      </c>
      <c r="C2599" s="2">
        <v>45559.147382460811</v>
      </c>
      <c r="D2599">
        <v>26</v>
      </c>
      <c r="E2599" t="s">
        <v>8</v>
      </c>
      <c r="F2599" t="s">
        <v>9</v>
      </c>
      <c r="G2599">
        <v>233</v>
      </c>
    </row>
    <row r="2600" spans="1:7" x14ac:dyDescent="0.25">
      <c r="A2600">
        <v>1214</v>
      </c>
      <c r="B2600">
        <v>52599</v>
      </c>
      <c r="C2600" s="2">
        <v>45559.390796932297</v>
      </c>
      <c r="D2600">
        <v>57</v>
      </c>
      <c r="E2600" t="s">
        <v>7</v>
      </c>
      <c r="F2600" t="s">
        <v>9</v>
      </c>
      <c r="G2600">
        <v>2041</v>
      </c>
    </row>
    <row r="2601" spans="1:7" x14ac:dyDescent="0.25">
      <c r="A2601">
        <v>1573</v>
      </c>
      <c r="B2601">
        <v>52600</v>
      </c>
      <c r="C2601" s="2">
        <v>45559.634211403798</v>
      </c>
      <c r="D2601">
        <v>49</v>
      </c>
      <c r="E2601" t="s">
        <v>7</v>
      </c>
      <c r="F2601" t="s">
        <v>9</v>
      </c>
      <c r="G2601">
        <v>4681</v>
      </c>
    </row>
    <row r="2602" spans="1:7" x14ac:dyDescent="0.25">
      <c r="A2602">
        <v>1262</v>
      </c>
      <c r="B2602">
        <v>52601</v>
      </c>
      <c r="C2602" s="2">
        <v>45559.877625875291</v>
      </c>
      <c r="D2602">
        <v>37</v>
      </c>
      <c r="E2602" t="s">
        <v>7</v>
      </c>
      <c r="F2602" t="s">
        <v>11</v>
      </c>
      <c r="G2602">
        <v>448</v>
      </c>
    </row>
    <row r="2603" spans="1:7" x14ac:dyDescent="0.25">
      <c r="A2603">
        <v>1283</v>
      </c>
      <c r="B2603">
        <v>52602</v>
      </c>
      <c r="C2603" s="2">
        <v>45560.12104034677</v>
      </c>
      <c r="D2603">
        <v>45</v>
      </c>
      <c r="E2603" t="s">
        <v>8</v>
      </c>
      <c r="F2603" t="s">
        <v>9</v>
      </c>
      <c r="G2603">
        <v>1334</v>
      </c>
    </row>
    <row r="2604" spans="1:7" x14ac:dyDescent="0.25">
      <c r="A2604">
        <v>1467</v>
      </c>
      <c r="B2604">
        <v>52603</v>
      </c>
      <c r="C2604" s="2">
        <v>45560.364454818256</v>
      </c>
      <c r="D2604">
        <v>50</v>
      </c>
      <c r="E2604" t="s">
        <v>8</v>
      </c>
      <c r="F2604" t="s">
        <v>11</v>
      </c>
      <c r="G2604">
        <v>575</v>
      </c>
    </row>
    <row r="2605" spans="1:7" x14ac:dyDescent="0.25">
      <c r="A2605">
        <v>1380</v>
      </c>
      <c r="B2605">
        <v>52604</v>
      </c>
      <c r="C2605" s="2">
        <v>45560.607869289757</v>
      </c>
      <c r="D2605">
        <v>21</v>
      </c>
      <c r="E2605" t="s">
        <v>8</v>
      </c>
      <c r="F2605" t="s">
        <v>10</v>
      </c>
      <c r="G2605">
        <v>923</v>
      </c>
    </row>
    <row r="2606" spans="1:7" x14ac:dyDescent="0.25">
      <c r="A2606">
        <v>1362</v>
      </c>
      <c r="B2606">
        <v>52605</v>
      </c>
      <c r="C2606" s="2">
        <v>45560.851283761251</v>
      </c>
      <c r="D2606">
        <v>63</v>
      </c>
      <c r="E2606" t="s">
        <v>8</v>
      </c>
      <c r="F2606" t="s">
        <v>11</v>
      </c>
      <c r="G2606">
        <v>2113</v>
      </c>
    </row>
    <row r="2607" spans="1:7" x14ac:dyDescent="0.25">
      <c r="A2607">
        <v>1449</v>
      </c>
      <c r="B2607">
        <v>52606</v>
      </c>
      <c r="C2607" s="2">
        <v>45561.094698232737</v>
      </c>
      <c r="D2607">
        <v>51</v>
      </c>
      <c r="E2607" t="s">
        <v>8</v>
      </c>
      <c r="F2607" t="s">
        <v>11</v>
      </c>
      <c r="G2607">
        <v>4497</v>
      </c>
    </row>
    <row r="2608" spans="1:7" x14ac:dyDescent="0.25">
      <c r="A2608">
        <v>1441</v>
      </c>
      <c r="B2608">
        <v>52607</v>
      </c>
      <c r="C2608" s="2">
        <v>45561.338112704223</v>
      </c>
      <c r="D2608">
        <v>20</v>
      </c>
      <c r="E2608" t="s">
        <v>8</v>
      </c>
      <c r="F2608" t="s">
        <v>12</v>
      </c>
      <c r="G2608">
        <v>2692</v>
      </c>
    </row>
    <row r="2609" spans="1:7" x14ac:dyDescent="0.25">
      <c r="A2609">
        <v>1093</v>
      </c>
      <c r="B2609">
        <v>52608</v>
      </c>
      <c r="C2609" s="2">
        <v>45561.581527175716</v>
      </c>
      <c r="D2609">
        <v>43</v>
      </c>
      <c r="E2609" t="s">
        <v>8</v>
      </c>
      <c r="F2609" t="s">
        <v>9</v>
      </c>
      <c r="G2609">
        <v>2142</v>
      </c>
    </row>
    <row r="2610" spans="1:7" x14ac:dyDescent="0.25">
      <c r="A2610">
        <v>1424</v>
      </c>
      <c r="B2610">
        <v>52609</v>
      </c>
      <c r="C2610" s="2">
        <v>45561.82494164721</v>
      </c>
      <c r="D2610">
        <v>25</v>
      </c>
      <c r="E2610" t="s">
        <v>8</v>
      </c>
      <c r="F2610" t="s">
        <v>9</v>
      </c>
      <c r="G2610">
        <v>4204</v>
      </c>
    </row>
    <row r="2611" spans="1:7" x14ac:dyDescent="0.25">
      <c r="A2611">
        <v>1142</v>
      </c>
      <c r="B2611">
        <v>52610</v>
      </c>
      <c r="C2611" s="2">
        <v>45562.068356118703</v>
      </c>
      <c r="D2611">
        <v>23</v>
      </c>
      <c r="E2611" t="s">
        <v>8</v>
      </c>
      <c r="F2611" t="s">
        <v>9</v>
      </c>
      <c r="G2611">
        <v>2544</v>
      </c>
    </row>
    <row r="2612" spans="1:7" x14ac:dyDescent="0.25">
      <c r="A2612">
        <v>1291</v>
      </c>
      <c r="B2612">
        <v>52611</v>
      </c>
      <c r="C2612" s="2">
        <v>45562.311770590197</v>
      </c>
      <c r="D2612">
        <v>33</v>
      </c>
      <c r="E2612" t="s">
        <v>7</v>
      </c>
      <c r="F2612" t="s">
        <v>9</v>
      </c>
      <c r="G2612">
        <v>1531</v>
      </c>
    </row>
    <row r="2613" spans="1:7" x14ac:dyDescent="0.25">
      <c r="A2613">
        <v>1432</v>
      </c>
      <c r="B2613">
        <v>52612</v>
      </c>
      <c r="C2613" s="2">
        <v>45562.555185061683</v>
      </c>
      <c r="D2613">
        <v>41</v>
      </c>
      <c r="E2613" t="s">
        <v>7</v>
      </c>
      <c r="F2613" t="s">
        <v>12</v>
      </c>
      <c r="G2613">
        <v>4788</v>
      </c>
    </row>
    <row r="2614" spans="1:7" x14ac:dyDescent="0.25">
      <c r="A2614">
        <v>1049</v>
      </c>
      <c r="B2614">
        <v>52613</v>
      </c>
      <c r="C2614" s="2">
        <v>45562.798599533169</v>
      </c>
      <c r="D2614">
        <v>56</v>
      </c>
      <c r="E2614" t="s">
        <v>8</v>
      </c>
      <c r="F2614" t="s">
        <v>12</v>
      </c>
      <c r="G2614">
        <v>537</v>
      </c>
    </row>
    <row r="2615" spans="1:7" x14ac:dyDescent="0.25">
      <c r="A2615">
        <v>1302</v>
      </c>
      <c r="B2615">
        <v>52614</v>
      </c>
      <c r="C2615" s="2">
        <v>45563.042014004663</v>
      </c>
      <c r="D2615">
        <v>47</v>
      </c>
      <c r="E2615" t="s">
        <v>8</v>
      </c>
      <c r="F2615" t="s">
        <v>12</v>
      </c>
      <c r="G2615">
        <v>2065</v>
      </c>
    </row>
    <row r="2616" spans="1:7" x14ac:dyDescent="0.25">
      <c r="A2616">
        <v>1190</v>
      </c>
      <c r="B2616">
        <v>52615</v>
      </c>
      <c r="C2616" s="2">
        <v>45563.285428476163</v>
      </c>
      <c r="D2616">
        <v>62</v>
      </c>
      <c r="E2616" t="s">
        <v>8</v>
      </c>
      <c r="F2616" t="s">
        <v>12</v>
      </c>
      <c r="G2616">
        <v>3337</v>
      </c>
    </row>
    <row r="2617" spans="1:7" x14ac:dyDescent="0.25">
      <c r="A2617">
        <v>1136</v>
      </c>
      <c r="B2617">
        <v>52616</v>
      </c>
      <c r="C2617" s="2">
        <v>45563.528842947642</v>
      </c>
      <c r="D2617">
        <v>30</v>
      </c>
      <c r="E2617" t="s">
        <v>8</v>
      </c>
      <c r="F2617" t="s">
        <v>9</v>
      </c>
      <c r="G2617">
        <v>991</v>
      </c>
    </row>
    <row r="2618" spans="1:7" x14ac:dyDescent="0.25">
      <c r="A2618">
        <v>1555</v>
      </c>
      <c r="B2618">
        <v>52617</v>
      </c>
      <c r="C2618" s="2">
        <v>45563.772257419128</v>
      </c>
      <c r="D2618">
        <v>22</v>
      </c>
      <c r="E2618" t="s">
        <v>7</v>
      </c>
      <c r="F2618" t="s">
        <v>11</v>
      </c>
      <c r="G2618">
        <v>3811</v>
      </c>
    </row>
    <row r="2619" spans="1:7" x14ac:dyDescent="0.25">
      <c r="A2619">
        <v>1404</v>
      </c>
      <c r="B2619">
        <v>52618</v>
      </c>
      <c r="C2619" s="2">
        <v>45564.015671890622</v>
      </c>
      <c r="D2619">
        <v>42</v>
      </c>
      <c r="E2619" t="s">
        <v>7</v>
      </c>
      <c r="F2619" t="s">
        <v>10</v>
      </c>
      <c r="G2619">
        <v>3900</v>
      </c>
    </row>
    <row r="2620" spans="1:7" x14ac:dyDescent="0.25">
      <c r="A2620">
        <v>1341</v>
      </c>
      <c r="B2620">
        <v>52619</v>
      </c>
      <c r="C2620" s="2">
        <v>45564.259086362123</v>
      </c>
      <c r="D2620">
        <v>37</v>
      </c>
      <c r="E2620" t="s">
        <v>8</v>
      </c>
      <c r="F2620" t="s">
        <v>12</v>
      </c>
      <c r="G2620">
        <v>1716</v>
      </c>
    </row>
    <row r="2621" spans="1:7" x14ac:dyDescent="0.25">
      <c r="A2621">
        <v>1318</v>
      </c>
      <c r="B2621">
        <v>52620</v>
      </c>
      <c r="C2621" s="2">
        <v>45564.502500833609</v>
      </c>
      <c r="D2621">
        <v>35</v>
      </c>
      <c r="E2621" t="s">
        <v>7</v>
      </c>
      <c r="F2621" t="s">
        <v>11</v>
      </c>
      <c r="G2621">
        <v>4153</v>
      </c>
    </row>
    <row r="2622" spans="1:7" x14ac:dyDescent="0.25">
      <c r="A2622">
        <v>1363</v>
      </c>
      <c r="B2622">
        <v>52621</v>
      </c>
      <c r="C2622" s="2">
        <v>45564.745915305088</v>
      </c>
      <c r="D2622">
        <v>64</v>
      </c>
      <c r="E2622" t="s">
        <v>7</v>
      </c>
      <c r="F2622" t="s">
        <v>12</v>
      </c>
      <c r="G2622">
        <v>4108</v>
      </c>
    </row>
    <row r="2623" spans="1:7" x14ac:dyDescent="0.25">
      <c r="A2623">
        <v>1382</v>
      </c>
      <c r="B2623">
        <v>52622</v>
      </c>
      <c r="C2623" s="2">
        <v>45564.989329776588</v>
      </c>
      <c r="D2623">
        <v>35</v>
      </c>
      <c r="E2623" t="s">
        <v>8</v>
      </c>
      <c r="F2623" t="s">
        <v>9</v>
      </c>
      <c r="G2623">
        <v>2873</v>
      </c>
    </row>
    <row r="2624" spans="1:7" x14ac:dyDescent="0.25">
      <c r="A2624">
        <v>1233</v>
      </c>
      <c r="B2624">
        <v>52623</v>
      </c>
      <c r="C2624" s="2">
        <v>45565.232744248082</v>
      </c>
      <c r="D2624">
        <v>19</v>
      </c>
      <c r="E2624" t="s">
        <v>8</v>
      </c>
      <c r="F2624" t="s">
        <v>9</v>
      </c>
      <c r="G2624">
        <v>2322</v>
      </c>
    </row>
    <row r="2625" spans="1:7" x14ac:dyDescent="0.25">
      <c r="A2625">
        <v>1344</v>
      </c>
      <c r="B2625">
        <v>52624</v>
      </c>
      <c r="C2625" s="2">
        <v>45565.476158719583</v>
      </c>
      <c r="D2625">
        <v>27</v>
      </c>
      <c r="E2625" t="s">
        <v>8</v>
      </c>
      <c r="F2625" t="s">
        <v>11</v>
      </c>
      <c r="G2625">
        <v>3985</v>
      </c>
    </row>
    <row r="2626" spans="1:7" x14ac:dyDescent="0.25">
      <c r="A2626">
        <v>1549</v>
      </c>
      <c r="B2626">
        <v>52625</v>
      </c>
      <c r="C2626" s="2">
        <v>45565.719573191047</v>
      </c>
      <c r="D2626">
        <v>62</v>
      </c>
      <c r="E2626" t="s">
        <v>8</v>
      </c>
      <c r="F2626" t="s">
        <v>11</v>
      </c>
      <c r="G2626">
        <v>258</v>
      </c>
    </row>
    <row r="2627" spans="1:7" x14ac:dyDescent="0.25">
      <c r="A2627">
        <v>1553</v>
      </c>
      <c r="B2627">
        <v>52626</v>
      </c>
      <c r="C2627" s="2">
        <v>45565.962987662548</v>
      </c>
      <c r="D2627">
        <v>64</v>
      </c>
      <c r="E2627" t="s">
        <v>7</v>
      </c>
      <c r="F2627" t="s">
        <v>11</v>
      </c>
      <c r="G2627">
        <v>2633</v>
      </c>
    </row>
    <row r="2628" spans="1:7" x14ac:dyDescent="0.25">
      <c r="A2628">
        <v>1529</v>
      </c>
      <c r="B2628">
        <v>52627</v>
      </c>
      <c r="C2628" s="2">
        <v>45566.206402134041</v>
      </c>
      <c r="D2628">
        <v>29</v>
      </c>
      <c r="E2628" t="s">
        <v>8</v>
      </c>
      <c r="F2628" t="s">
        <v>9</v>
      </c>
      <c r="G2628">
        <v>2262</v>
      </c>
    </row>
    <row r="2629" spans="1:7" x14ac:dyDescent="0.25">
      <c r="A2629">
        <v>1571</v>
      </c>
      <c r="B2629">
        <v>52628</v>
      </c>
      <c r="C2629" s="2">
        <v>45566.449816605527</v>
      </c>
      <c r="D2629">
        <v>64</v>
      </c>
      <c r="E2629" t="s">
        <v>7</v>
      </c>
      <c r="F2629" t="s">
        <v>9</v>
      </c>
      <c r="G2629">
        <v>1454</v>
      </c>
    </row>
    <row r="2630" spans="1:7" x14ac:dyDescent="0.25">
      <c r="A2630">
        <v>1183</v>
      </c>
      <c r="B2630">
        <v>52629</v>
      </c>
      <c r="C2630" s="2">
        <v>45566.693231077028</v>
      </c>
      <c r="D2630">
        <v>30</v>
      </c>
      <c r="E2630" t="s">
        <v>8</v>
      </c>
      <c r="F2630" t="s">
        <v>10</v>
      </c>
      <c r="G2630">
        <v>3888</v>
      </c>
    </row>
    <row r="2631" spans="1:7" x14ac:dyDescent="0.25">
      <c r="A2631">
        <v>1041</v>
      </c>
      <c r="B2631">
        <v>52630</v>
      </c>
      <c r="C2631" s="2">
        <v>45566.936645548507</v>
      </c>
      <c r="D2631">
        <v>64</v>
      </c>
      <c r="E2631" t="s">
        <v>7</v>
      </c>
      <c r="F2631" t="s">
        <v>11</v>
      </c>
      <c r="G2631">
        <v>3948</v>
      </c>
    </row>
    <row r="2632" spans="1:7" x14ac:dyDescent="0.25">
      <c r="A2632">
        <v>1551</v>
      </c>
      <c r="B2632">
        <v>52631</v>
      </c>
      <c r="C2632" s="2">
        <v>45567.18006002</v>
      </c>
      <c r="D2632">
        <v>28</v>
      </c>
      <c r="E2632" t="s">
        <v>8</v>
      </c>
      <c r="F2632" t="s">
        <v>10</v>
      </c>
      <c r="G2632">
        <v>4330</v>
      </c>
    </row>
    <row r="2633" spans="1:7" x14ac:dyDescent="0.25">
      <c r="A2633">
        <v>1397</v>
      </c>
      <c r="B2633">
        <v>52632</v>
      </c>
      <c r="C2633" s="2">
        <v>45567.423474491487</v>
      </c>
      <c r="D2633">
        <v>36</v>
      </c>
      <c r="E2633" t="s">
        <v>8</v>
      </c>
      <c r="F2633" t="s">
        <v>12</v>
      </c>
      <c r="G2633">
        <v>4457</v>
      </c>
    </row>
    <row r="2634" spans="1:7" x14ac:dyDescent="0.25">
      <c r="A2634">
        <v>1494</v>
      </c>
      <c r="B2634">
        <v>52633</v>
      </c>
      <c r="C2634" s="2">
        <v>45567.666888962987</v>
      </c>
      <c r="D2634">
        <v>52</v>
      </c>
      <c r="E2634" t="s">
        <v>7</v>
      </c>
      <c r="F2634" t="s">
        <v>10</v>
      </c>
      <c r="G2634">
        <v>3229</v>
      </c>
    </row>
    <row r="2635" spans="1:7" x14ac:dyDescent="0.25">
      <c r="A2635">
        <v>1333</v>
      </c>
      <c r="B2635">
        <v>52634</v>
      </c>
      <c r="C2635" s="2">
        <v>45567.910303434473</v>
      </c>
      <c r="D2635">
        <v>56</v>
      </c>
      <c r="E2635" t="s">
        <v>7</v>
      </c>
      <c r="F2635" t="s">
        <v>12</v>
      </c>
      <c r="G2635">
        <v>3046</v>
      </c>
    </row>
    <row r="2636" spans="1:7" x14ac:dyDescent="0.25">
      <c r="A2636">
        <v>1127</v>
      </c>
      <c r="B2636">
        <v>52635</v>
      </c>
      <c r="C2636" s="2">
        <v>45568.15371790596</v>
      </c>
      <c r="D2636">
        <v>43</v>
      </c>
      <c r="E2636" t="s">
        <v>7</v>
      </c>
      <c r="F2636" t="s">
        <v>12</v>
      </c>
      <c r="G2636">
        <v>670</v>
      </c>
    </row>
    <row r="2637" spans="1:7" x14ac:dyDescent="0.25">
      <c r="A2637">
        <v>1558</v>
      </c>
      <c r="B2637">
        <v>52636</v>
      </c>
      <c r="C2637" s="2">
        <v>45568.397132377453</v>
      </c>
      <c r="D2637">
        <v>63</v>
      </c>
      <c r="E2637" t="s">
        <v>8</v>
      </c>
      <c r="F2637" t="s">
        <v>10</v>
      </c>
      <c r="G2637">
        <v>4235</v>
      </c>
    </row>
    <row r="2638" spans="1:7" x14ac:dyDescent="0.25">
      <c r="A2638">
        <v>1557</v>
      </c>
      <c r="B2638">
        <v>52637</v>
      </c>
      <c r="C2638" s="2">
        <v>45568.640546848947</v>
      </c>
      <c r="D2638">
        <v>31</v>
      </c>
      <c r="E2638" t="s">
        <v>7</v>
      </c>
      <c r="F2638" t="s">
        <v>11</v>
      </c>
      <c r="G2638">
        <v>3099</v>
      </c>
    </row>
    <row r="2639" spans="1:7" x14ac:dyDescent="0.25">
      <c r="A2639">
        <v>1001</v>
      </c>
      <c r="B2639">
        <v>52638</v>
      </c>
      <c r="C2639" s="2">
        <v>45568.88396132044</v>
      </c>
      <c r="D2639">
        <v>62</v>
      </c>
      <c r="E2639" t="s">
        <v>7</v>
      </c>
      <c r="F2639" t="s">
        <v>12</v>
      </c>
      <c r="G2639">
        <v>1646</v>
      </c>
    </row>
    <row r="2640" spans="1:7" x14ac:dyDescent="0.25">
      <c r="A2640">
        <v>1168</v>
      </c>
      <c r="B2640">
        <v>52639</v>
      </c>
      <c r="C2640" s="2">
        <v>45569.127375791919</v>
      </c>
      <c r="D2640">
        <v>61</v>
      </c>
      <c r="E2640" t="s">
        <v>7</v>
      </c>
      <c r="F2640" t="s">
        <v>11</v>
      </c>
      <c r="G2640">
        <v>4643</v>
      </c>
    </row>
    <row r="2641" spans="1:7" x14ac:dyDescent="0.25">
      <c r="A2641">
        <v>1019</v>
      </c>
      <c r="B2641">
        <v>52640</v>
      </c>
      <c r="C2641" s="2">
        <v>45569.370790263412</v>
      </c>
      <c r="D2641">
        <v>41</v>
      </c>
      <c r="E2641" t="s">
        <v>7</v>
      </c>
      <c r="F2641" t="s">
        <v>9</v>
      </c>
      <c r="G2641">
        <v>4989</v>
      </c>
    </row>
    <row r="2642" spans="1:7" x14ac:dyDescent="0.25">
      <c r="A2642">
        <v>1332</v>
      </c>
      <c r="B2642">
        <v>52641</v>
      </c>
      <c r="C2642" s="2">
        <v>45569.614204734913</v>
      </c>
      <c r="D2642">
        <v>58</v>
      </c>
      <c r="E2642" t="s">
        <v>7</v>
      </c>
      <c r="F2642" t="s">
        <v>12</v>
      </c>
      <c r="G2642">
        <v>1112</v>
      </c>
    </row>
    <row r="2643" spans="1:7" x14ac:dyDescent="0.25">
      <c r="A2643">
        <v>1584</v>
      </c>
      <c r="B2643">
        <v>52642</v>
      </c>
      <c r="C2643" s="2">
        <v>45569.857619206399</v>
      </c>
      <c r="D2643">
        <v>18</v>
      </c>
      <c r="E2643" t="s">
        <v>7</v>
      </c>
      <c r="F2643" t="s">
        <v>9</v>
      </c>
      <c r="G2643">
        <v>4442</v>
      </c>
    </row>
    <row r="2644" spans="1:7" x14ac:dyDescent="0.25">
      <c r="A2644">
        <v>1456</v>
      </c>
      <c r="B2644">
        <v>52643</v>
      </c>
      <c r="C2644" s="2">
        <v>45570.101033677893</v>
      </c>
      <c r="D2644">
        <v>60</v>
      </c>
      <c r="E2644" t="s">
        <v>7</v>
      </c>
      <c r="F2644" t="s">
        <v>10</v>
      </c>
      <c r="G2644">
        <v>1911</v>
      </c>
    </row>
    <row r="2645" spans="1:7" x14ac:dyDescent="0.25">
      <c r="A2645">
        <v>1109</v>
      </c>
      <c r="B2645">
        <v>52644</v>
      </c>
      <c r="C2645" s="2">
        <v>45570.344448149372</v>
      </c>
      <c r="D2645">
        <v>39</v>
      </c>
      <c r="E2645" t="s">
        <v>7</v>
      </c>
      <c r="F2645" t="s">
        <v>11</v>
      </c>
      <c r="G2645">
        <v>874</v>
      </c>
    </row>
    <row r="2646" spans="1:7" x14ac:dyDescent="0.25">
      <c r="A2646">
        <v>1268</v>
      </c>
      <c r="B2646">
        <v>52645</v>
      </c>
      <c r="C2646" s="2">
        <v>45570.587862620872</v>
      </c>
      <c r="D2646">
        <v>40</v>
      </c>
      <c r="E2646" t="s">
        <v>7</v>
      </c>
      <c r="F2646" t="s">
        <v>10</v>
      </c>
      <c r="G2646">
        <v>1639</v>
      </c>
    </row>
    <row r="2647" spans="1:7" x14ac:dyDescent="0.25">
      <c r="A2647">
        <v>1445</v>
      </c>
      <c r="B2647">
        <v>52646</v>
      </c>
      <c r="C2647" s="2">
        <v>45570.831277092359</v>
      </c>
      <c r="D2647">
        <v>36</v>
      </c>
      <c r="E2647" t="s">
        <v>8</v>
      </c>
      <c r="F2647" t="s">
        <v>12</v>
      </c>
      <c r="G2647">
        <v>2934</v>
      </c>
    </row>
    <row r="2648" spans="1:7" x14ac:dyDescent="0.25">
      <c r="A2648">
        <v>1240</v>
      </c>
      <c r="B2648">
        <v>52647</v>
      </c>
      <c r="C2648" s="2">
        <v>45571.074691563852</v>
      </c>
      <c r="D2648">
        <v>35</v>
      </c>
      <c r="E2648" t="s">
        <v>8</v>
      </c>
      <c r="F2648" t="s">
        <v>9</v>
      </c>
      <c r="G2648">
        <v>3830</v>
      </c>
    </row>
    <row r="2649" spans="1:7" x14ac:dyDescent="0.25">
      <c r="A2649">
        <v>1301</v>
      </c>
      <c r="B2649">
        <v>52648</v>
      </c>
      <c r="C2649" s="2">
        <v>45571.318106035338</v>
      </c>
      <c r="D2649">
        <v>29</v>
      </c>
      <c r="E2649" t="s">
        <v>7</v>
      </c>
      <c r="F2649" t="s">
        <v>12</v>
      </c>
      <c r="G2649">
        <v>885</v>
      </c>
    </row>
    <row r="2650" spans="1:7" x14ac:dyDescent="0.25">
      <c r="A2650">
        <v>1103</v>
      </c>
      <c r="B2650">
        <v>52649</v>
      </c>
      <c r="C2650" s="2">
        <v>45571.561520506832</v>
      </c>
      <c r="D2650">
        <v>45</v>
      </c>
      <c r="E2650" t="s">
        <v>8</v>
      </c>
      <c r="F2650" t="s">
        <v>10</v>
      </c>
      <c r="G2650">
        <v>1326</v>
      </c>
    </row>
    <row r="2651" spans="1:7" x14ac:dyDescent="0.25">
      <c r="A2651">
        <v>1250</v>
      </c>
      <c r="B2651">
        <v>52650</v>
      </c>
      <c r="C2651" s="2">
        <v>45571.804934978332</v>
      </c>
      <c r="D2651">
        <v>45</v>
      </c>
      <c r="E2651" t="s">
        <v>8</v>
      </c>
      <c r="F2651" t="s">
        <v>11</v>
      </c>
      <c r="G2651">
        <v>4416</v>
      </c>
    </row>
    <row r="2652" spans="1:7" x14ac:dyDescent="0.25">
      <c r="A2652">
        <v>1453</v>
      </c>
      <c r="B2652">
        <v>52651</v>
      </c>
      <c r="C2652" s="2">
        <v>45572.048349449811</v>
      </c>
      <c r="D2652">
        <v>50</v>
      </c>
      <c r="E2652" t="s">
        <v>7</v>
      </c>
      <c r="F2652" t="s">
        <v>11</v>
      </c>
      <c r="G2652">
        <v>2666</v>
      </c>
    </row>
    <row r="2653" spans="1:7" x14ac:dyDescent="0.25">
      <c r="A2653">
        <v>1520</v>
      </c>
      <c r="B2653">
        <v>52652</v>
      </c>
      <c r="C2653" s="2">
        <v>45572.291763921297</v>
      </c>
      <c r="D2653">
        <v>36</v>
      </c>
      <c r="E2653" t="s">
        <v>7</v>
      </c>
      <c r="F2653" t="s">
        <v>12</v>
      </c>
      <c r="G2653">
        <v>2597</v>
      </c>
    </row>
    <row r="2654" spans="1:7" x14ac:dyDescent="0.25">
      <c r="A2654">
        <v>1153</v>
      </c>
      <c r="B2654">
        <v>52653</v>
      </c>
      <c r="C2654" s="2">
        <v>45572.535178392791</v>
      </c>
      <c r="D2654">
        <v>45</v>
      </c>
      <c r="E2654" t="s">
        <v>7</v>
      </c>
      <c r="F2654" t="s">
        <v>12</v>
      </c>
      <c r="G2654">
        <v>4337</v>
      </c>
    </row>
    <row r="2655" spans="1:7" x14ac:dyDescent="0.25">
      <c r="A2655">
        <v>1174</v>
      </c>
      <c r="B2655">
        <v>52654</v>
      </c>
      <c r="C2655" s="2">
        <v>45572.778592864277</v>
      </c>
      <c r="D2655">
        <v>54</v>
      </c>
      <c r="E2655" t="s">
        <v>7</v>
      </c>
      <c r="F2655" t="s">
        <v>9</v>
      </c>
      <c r="G2655">
        <v>3638</v>
      </c>
    </row>
    <row r="2656" spans="1:7" x14ac:dyDescent="0.25">
      <c r="A2656">
        <v>1343</v>
      </c>
      <c r="B2656">
        <v>52655</v>
      </c>
      <c r="C2656" s="2">
        <v>45573.022007335778</v>
      </c>
      <c r="D2656">
        <v>43</v>
      </c>
      <c r="E2656" t="s">
        <v>7</v>
      </c>
      <c r="F2656" t="s">
        <v>10</v>
      </c>
      <c r="G2656">
        <v>4324</v>
      </c>
    </row>
    <row r="2657" spans="1:7" x14ac:dyDescent="0.25">
      <c r="A2657">
        <v>1431</v>
      </c>
      <c r="B2657">
        <v>52656</v>
      </c>
      <c r="C2657" s="2">
        <v>45573.265421807271</v>
      </c>
      <c r="D2657">
        <v>52</v>
      </c>
      <c r="E2657" t="s">
        <v>7</v>
      </c>
      <c r="F2657" t="s">
        <v>12</v>
      </c>
      <c r="G2657">
        <v>1165</v>
      </c>
    </row>
    <row r="2658" spans="1:7" x14ac:dyDescent="0.25">
      <c r="A2658">
        <v>1324</v>
      </c>
      <c r="B2658">
        <v>52657</v>
      </c>
      <c r="C2658" s="2">
        <v>45573.50883627875</v>
      </c>
      <c r="D2658">
        <v>51</v>
      </c>
      <c r="E2658" t="s">
        <v>8</v>
      </c>
      <c r="F2658" t="s">
        <v>9</v>
      </c>
      <c r="G2658">
        <v>1119</v>
      </c>
    </row>
    <row r="2659" spans="1:7" x14ac:dyDescent="0.25">
      <c r="A2659">
        <v>1420</v>
      </c>
      <c r="B2659">
        <v>52658</v>
      </c>
      <c r="C2659" s="2">
        <v>45573.752250750244</v>
      </c>
      <c r="D2659">
        <v>52</v>
      </c>
      <c r="E2659" t="s">
        <v>7</v>
      </c>
      <c r="F2659" t="s">
        <v>12</v>
      </c>
      <c r="G2659">
        <v>3072</v>
      </c>
    </row>
    <row r="2660" spans="1:7" x14ac:dyDescent="0.25">
      <c r="A2660">
        <v>1594</v>
      </c>
      <c r="B2660">
        <v>52659</v>
      </c>
      <c r="C2660" s="2">
        <v>45573.995665221737</v>
      </c>
      <c r="D2660">
        <v>57</v>
      </c>
      <c r="E2660" t="s">
        <v>8</v>
      </c>
      <c r="F2660" t="s">
        <v>11</v>
      </c>
      <c r="G2660">
        <v>1708</v>
      </c>
    </row>
    <row r="2661" spans="1:7" x14ac:dyDescent="0.25">
      <c r="A2661">
        <v>1485</v>
      </c>
      <c r="B2661">
        <v>52660</v>
      </c>
      <c r="C2661" s="2">
        <v>45574.23907969323</v>
      </c>
      <c r="D2661">
        <v>33</v>
      </c>
      <c r="E2661" t="s">
        <v>7</v>
      </c>
      <c r="F2661" t="s">
        <v>9</v>
      </c>
      <c r="G2661">
        <v>1412</v>
      </c>
    </row>
    <row r="2662" spans="1:7" x14ac:dyDescent="0.25">
      <c r="A2662">
        <v>1412</v>
      </c>
      <c r="B2662">
        <v>52661</v>
      </c>
      <c r="C2662" s="2">
        <v>45574.482494164709</v>
      </c>
      <c r="D2662">
        <v>55</v>
      </c>
      <c r="E2662" t="s">
        <v>7</v>
      </c>
      <c r="F2662" t="s">
        <v>9</v>
      </c>
      <c r="G2662">
        <v>1071</v>
      </c>
    </row>
    <row r="2663" spans="1:7" x14ac:dyDescent="0.25">
      <c r="A2663">
        <v>1084</v>
      </c>
      <c r="B2663">
        <v>52662</v>
      </c>
      <c r="C2663" s="2">
        <v>45574.725908636203</v>
      </c>
      <c r="D2663">
        <v>30</v>
      </c>
      <c r="E2663" t="s">
        <v>8</v>
      </c>
      <c r="F2663" t="s">
        <v>12</v>
      </c>
      <c r="G2663">
        <v>4590</v>
      </c>
    </row>
    <row r="2664" spans="1:7" x14ac:dyDescent="0.25">
      <c r="A2664">
        <v>1113</v>
      </c>
      <c r="B2664">
        <v>52663</v>
      </c>
      <c r="C2664" s="2">
        <v>45574.969323107704</v>
      </c>
      <c r="D2664">
        <v>40</v>
      </c>
      <c r="E2664" t="s">
        <v>7</v>
      </c>
      <c r="F2664" t="s">
        <v>10</v>
      </c>
      <c r="G2664">
        <v>3454</v>
      </c>
    </row>
    <row r="2665" spans="1:7" x14ac:dyDescent="0.25">
      <c r="A2665">
        <v>1332</v>
      </c>
      <c r="B2665">
        <v>52664</v>
      </c>
      <c r="C2665" s="2">
        <v>45575.21273757919</v>
      </c>
      <c r="D2665">
        <v>39</v>
      </c>
      <c r="E2665" t="s">
        <v>7</v>
      </c>
      <c r="F2665" t="s">
        <v>11</v>
      </c>
      <c r="G2665">
        <v>1063</v>
      </c>
    </row>
    <row r="2666" spans="1:7" x14ac:dyDescent="0.25">
      <c r="A2666">
        <v>1378</v>
      </c>
      <c r="B2666">
        <v>52665</v>
      </c>
      <c r="C2666" s="2">
        <v>45575.456152050683</v>
      </c>
      <c r="D2666">
        <v>33</v>
      </c>
      <c r="E2666" t="s">
        <v>8</v>
      </c>
      <c r="F2666" t="s">
        <v>10</v>
      </c>
      <c r="G2666">
        <v>4153</v>
      </c>
    </row>
    <row r="2667" spans="1:7" x14ac:dyDescent="0.25">
      <c r="A2667">
        <v>1041</v>
      </c>
      <c r="B2667">
        <v>52666</v>
      </c>
      <c r="C2667" s="2">
        <v>45575.699566522162</v>
      </c>
      <c r="D2667">
        <v>45</v>
      </c>
      <c r="E2667" t="s">
        <v>7</v>
      </c>
      <c r="F2667" t="s">
        <v>9</v>
      </c>
      <c r="G2667">
        <v>3308</v>
      </c>
    </row>
    <row r="2668" spans="1:7" x14ac:dyDescent="0.25">
      <c r="A2668">
        <v>1105</v>
      </c>
      <c r="B2668">
        <v>52667</v>
      </c>
      <c r="C2668" s="2">
        <v>45575.942980993663</v>
      </c>
      <c r="D2668">
        <v>52</v>
      </c>
      <c r="E2668" t="s">
        <v>8</v>
      </c>
      <c r="F2668" t="s">
        <v>10</v>
      </c>
      <c r="G2668">
        <v>3255</v>
      </c>
    </row>
    <row r="2669" spans="1:7" x14ac:dyDescent="0.25">
      <c r="A2669">
        <v>1202</v>
      </c>
      <c r="B2669">
        <v>52668</v>
      </c>
      <c r="C2669" s="2">
        <v>45576.186395465149</v>
      </c>
      <c r="D2669">
        <v>62</v>
      </c>
      <c r="E2669" t="s">
        <v>7</v>
      </c>
      <c r="F2669" t="s">
        <v>9</v>
      </c>
      <c r="G2669">
        <v>4194</v>
      </c>
    </row>
    <row r="2670" spans="1:7" x14ac:dyDescent="0.25">
      <c r="A2670">
        <v>1450</v>
      </c>
      <c r="B2670">
        <v>52669</v>
      </c>
      <c r="C2670" s="2">
        <v>45576.429809936642</v>
      </c>
      <c r="D2670">
        <v>63</v>
      </c>
      <c r="E2670" t="s">
        <v>7</v>
      </c>
      <c r="F2670" t="s">
        <v>10</v>
      </c>
      <c r="G2670">
        <v>2882</v>
      </c>
    </row>
    <row r="2671" spans="1:7" x14ac:dyDescent="0.25">
      <c r="A2671">
        <v>1266</v>
      </c>
      <c r="B2671">
        <v>52670</v>
      </c>
      <c r="C2671" s="2">
        <v>45576.673224408129</v>
      </c>
      <c r="D2671">
        <v>25</v>
      </c>
      <c r="E2671" t="s">
        <v>8</v>
      </c>
      <c r="F2671" t="s">
        <v>12</v>
      </c>
      <c r="G2671">
        <v>4890</v>
      </c>
    </row>
    <row r="2672" spans="1:7" x14ac:dyDescent="0.25">
      <c r="A2672">
        <v>1210</v>
      </c>
      <c r="B2672">
        <v>52671</v>
      </c>
      <c r="C2672" s="2">
        <v>45576.916638879607</v>
      </c>
      <c r="D2672">
        <v>61</v>
      </c>
      <c r="E2672" t="s">
        <v>7</v>
      </c>
      <c r="F2672" t="s">
        <v>10</v>
      </c>
      <c r="G2672">
        <v>813</v>
      </c>
    </row>
    <row r="2673" spans="1:7" x14ac:dyDescent="0.25">
      <c r="A2673">
        <v>1563</v>
      </c>
      <c r="B2673">
        <v>52672</v>
      </c>
      <c r="C2673" s="2">
        <v>45577.160053351108</v>
      </c>
      <c r="D2673">
        <v>39</v>
      </c>
      <c r="E2673" t="s">
        <v>8</v>
      </c>
      <c r="F2673" t="s">
        <v>9</v>
      </c>
      <c r="G2673">
        <v>2072</v>
      </c>
    </row>
    <row r="2674" spans="1:7" x14ac:dyDescent="0.25">
      <c r="A2674">
        <v>1118</v>
      </c>
      <c r="B2674">
        <v>52673</v>
      </c>
      <c r="C2674" s="2">
        <v>45577.403467822602</v>
      </c>
      <c r="D2674">
        <v>38</v>
      </c>
      <c r="E2674" t="s">
        <v>8</v>
      </c>
      <c r="F2674" t="s">
        <v>11</v>
      </c>
      <c r="G2674">
        <v>3354</v>
      </c>
    </row>
    <row r="2675" spans="1:7" x14ac:dyDescent="0.25">
      <c r="A2675">
        <v>1377</v>
      </c>
      <c r="B2675">
        <v>52674</v>
      </c>
      <c r="C2675" s="2">
        <v>45577.646882294102</v>
      </c>
      <c r="D2675">
        <v>43</v>
      </c>
      <c r="E2675" t="s">
        <v>8</v>
      </c>
      <c r="F2675" t="s">
        <v>11</v>
      </c>
      <c r="G2675">
        <v>4760</v>
      </c>
    </row>
    <row r="2676" spans="1:7" x14ac:dyDescent="0.25">
      <c r="A2676">
        <v>1551</v>
      </c>
      <c r="B2676">
        <v>52675</v>
      </c>
      <c r="C2676" s="2">
        <v>45577.890296765581</v>
      </c>
      <c r="D2676">
        <v>57</v>
      </c>
      <c r="E2676" t="s">
        <v>7</v>
      </c>
      <c r="F2676" t="s">
        <v>11</v>
      </c>
      <c r="G2676">
        <v>3573</v>
      </c>
    </row>
    <row r="2677" spans="1:7" x14ac:dyDescent="0.25">
      <c r="A2677">
        <v>1540</v>
      </c>
      <c r="B2677">
        <v>52676</v>
      </c>
      <c r="C2677" s="2">
        <v>45578.133711237067</v>
      </c>
      <c r="D2677">
        <v>38</v>
      </c>
      <c r="E2677" t="s">
        <v>7</v>
      </c>
      <c r="F2677" t="s">
        <v>9</v>
      </c>
      <c r="G2677">
        <v>3391</v>
      </c>
    </row>
    <row r="2678" spans="1:7" x14ac:dyDescent="0.25">
      <c r="A2678">
        <v>1084</v>
      </c>
      <c r="B2678">
        <v>52677</v>
      </c>
      <c r="C2678" s="2">
        <v>45578.377125708568</v>
      </c>
      <c r="D2678">
        <v>42</v>
      </c>
      <c r="E2678" t="s">
        <v>8</v>
      </c>
      <c r="F2678" t="s">
        <v>10</v>
      </c>
      <c r="G2678">
        <v>767</v>
      </c>
    </row>
    <row r="2679" spans="1:7" x14ac:dyDescent="0.25">
      <c r="A2679">
        <v>1454</v>
      </c>
      <c r="B2679">
        <v>52678</v>
      </c>
      <c r="C2679" s="2">
        <v>45578.620540180047</v>
      </c>
      <c r="D2679">
        <v>58</v>
      </c>
      <c r="E2679" t="s">
        <v>7</v>
      </c>
      <c r="F2679" t="s">
        <v>11</v>
      </c>
      <c r="G2679">
        <v>4333</v>
      </c>
    </row>
    <row r="2680" spans="1:7" x14ac:dyDescent="0.25">
      <c r="A2680">
        <v>1514</v>
      </c>
      <c r="B2680">
        <v>52679</v>
      </c>
      <c r="C2680" s="2">
        <v>45578.863954651541</v>
      </c>
      <c r="D2680">
        <v>18</v>
      </c>
      <c r="E2680" t="s">
        <v>7</v>
      </c>
      <c r="F2680" t="s">
        <v>11</v>
      </c>
      <c r="G2680">
        <v>444</v>
      </c>
    </row>
    <row r="2681" spans="1:7" x14ac:dyDescent="0.25">
      <c r="A2681">
        <v>1387</v>
      </c>
      <c r="B2681">
        <v>52680</v>
      </c>
      <c r="C2681" s="2">
        <v>45579.107369123027</v>
      </c>
      <c r="D2681">
        <v>23</v>
      </c>
      <c r="E2681" t="s">
        <v>7</v>
      </c>
      <c r="F2681" t="s">
        <v>11</v>
      </c>
      <c r="G2681">
        <v>220</v>
      </c>
    </row>
    <row r="2682" spans="1:7" x14ac:dyDescent="0.25">
      <c r="A2682">
        <v>1350</v>
      </c>
      <c r="B2682">
        <v>52681</v>
      </c>
      <c r="C2682" s="2">
        <v>45579.350783594527</v>
      </c>
      <c r="D2682">
        <v>40</v>
      </c>
      <c r="E2682" t="s">
        <v>8</v>
      </c>
      <c r="F2682" t="s">
        <v>12</v>
      </c>
      <c r="G2682">
        <v>593</v>
      </c>
    </row>
    <row r="2683" spans="1:7" x14ac:dyDescent="0.25">
      <c r="A2683">
        <v>1296</v>
      </c>
      <c r="B2683">
        <v>52682</v>
      </c>
      <c r="C2683" s="2">
        <v>45579.594198066021</v>
      </c>
      <c r="D2683">
        <v>40</v>
      </c>
      <c r="E2683" t="s">
        <v>7</v>
      </c>
      <c r="F2683" t="s">
        <v>9</v>
      </c>
      <c r="G2683">
        <v>4014</v>
      </c>
    </row>
    <row r="2684" spans="1:7" x14ac:dyDescent="0.25">
      <c r="A2684">
        <v>1258</v>
      </c>
      <c r="B2684">
        <v>52683</v>
      </c>
      <c r="C2684" s="2">
        <v>45579.837612537507</v>
      </c>
      <c r="D2684">
        <v>60</v>
      </c>
      <c r="E2684" t="s">
        <v>8</v>
      </c>
      <c r="F2684" t="s">
        <v>9</v>
      </c>
      <c r="G2684">
        <v>2255</v>
      </c>
    </row>
    <row r="2685" spans="1:7" x14ac:dyDescent="0.25">
      <c r="A2685">
        <v>1081</v>
      </c>
      <c r="B2685">
        <v>52684</v>
      </c>
      <c r="C2685" s="2">
        <v>45580.081027008993</v>
      </c>
      <c r="D2685">
        <v>60</v>
      </c>
      <c r="E2685" t="s">
        <v>7</v>
      </c>
      <c r="F2685" t="s">
        <v>9</v>
      </c>
      <c r="G2685">
        <v>3715</v>
      </c>
    </row>
    <row r="2686" spans="1:7" x14ac:dyDescent="0.25">
      <c r="A2686">
        <v>1268</v>
      </c>
      <c r="B2686">
        <v>52685</v>
      </c>
      <c r="C2686" s="2">
        <v>45580.324441480487</v>
      </c>
      <c r="D2686">
        <v>40</v>
      </c>
      <c r="E2686" t="s">
        <v>7</v>
      </c>
      <c r="F2686" t="s">
        <v>9</v>
      </c>
      <c r="G2686">
        <v>2575</v>
      </c>
    </row>
    <row r="2687" spans="1:7" x14ac:dyDescent="0.25">
      <c r="A2687">
        <v>1419</v>
      </c>
      <c r="B2687">
        <v>52686</v>
      </c>
      <c r="C2687" s="2">
        <v>45580.56785595198</v>
      </c>
      <c r="D2687">
        <v>49</v>
      </c>
      <c r="E2687" t="s">
        <v>8</v>
      </c>
      <c r="F2687" t="s">
        <v>9</v>
      </c>
      <c r="G2687">
        <v>2110</v>
      </c>
    </row>
    <row r="2688" spans="1:7" x14ac:dyDescent="0.25">
      <c r="A2688">
        <v>1235</v>
      </c>
      <c r="B2688">
        <v>52687</v>
      </c>
      <c r="C2688" s="2">
        <v>45580.811270423474</v>
      </c>
      <c r="D2688">
        <v>47</v>
      </c>
      <c r="E2688" t="s">
        <v>7</v>
      </c>
      <c r="F2688" t="s">
        <v>12</v>
      </c>
      <c r="G2688">
        <v>489</v>
      </c>
    </row>
    <row r="2689" spans="1:7" x14ac:dyDescent="0.25">
      <c r="A2689">
        <v>1311</v>
      </c>
      <c r="B2689">
        <v>52688</v>
      </c>
      <c r="C2689" s="2">
        <v>45581.054684894953</v>
      </c>
      <c r="D2689">
        <v>30</v>
      </c>
      <c r="E2689" t="s">
        <v>8</v>
      </c>
      <c r="F2689" t="s">
        <v>10</v>
      </c>
      <c r="G2689">
        <v>2758</v>
      </c>
    </row>
    <row r="2690" spans="1:7" x14ac:dyDescent="0.25">
      <c r="A2690">
        <v>1357</v>
      </c>
      <c r="B2690">
        <v>52689</v>
      </c>
      <c r="C2690" s="2">
        <v>45581.298099366453</v>
      </c>
      <c r="D2690">
        <v>60</v>
      </c>
      <c r="E2690" t="s">
        <v>7</v>
      </c>
      <c r="F2690" t="s">
        <v>12</v>
      </c>
      <c r="G2690">
        <v>560</v>
      </c>
    </row>
    <row r="2691" spans="1:7" x14ac:dyDescent="0.25">
      <c r="A2691">
        <v>1213</v>
      </c>
      <c r="B2691">
        <v>52690</v>
      </c>
      <c r="C2691" s="2">
        <v>45581.541513837939</v>
      </c>
      <c r="D2691">
        <v>35</v>
      </c>
      <c r="E2691" t="s">
        <v>8</v>
      </c>
      <c r="F2691" t="s">
        <v>11</v>
      </c>
      <c r="G2691">
        <v>1822</v>
      </c>
    </row>
    <row r="2692" spans="1:7" x14ac:dyDescent="0.25">
      <c r="A2692">
        <v>1574</v>
      </c>
      <c r="B2692">
        <v>52691</v>
      </c>
      <c r="C2692" s="2">
        <v>45581.784928309433</v>
      </c>
      <c r="D2692">
        <v>40</v>
      </c>
      <c r="E2692" t="s">
        <v>7</v>
      </c>
      <c r="F2692" t="s">
        <v>12</v>
      </c>
      <c r="G2692">
        <v>4514</v>
      </c>
    </row>
    <row r="2693" spans="1:7" x14ac:dyDescent="0.25">
      <c r="A2693">
        <v>1049</v>
      </c>
      <c r="B2693">
        <v>52692</v>
      </c>
      <c r="C2693" s="2">
        <v>45582.028342780934</v>
      </c>
      <c r="D2693">
        <v>32</v>
      </c>
      <c r="E2693" t="s">
        <v>7</v>
      </c>
      <c r="F2693" t="s">
        <v>9</v>
      </c>
      <c r="G2693">
        <v>4294</v>
      </c>
    </row>
    <row r="2694" spans="1:7" x14ac:dyDescent="0.25">
      <c r="A2694">
        <v>1127</v>
      </c>
      <c r="B2694">
        <v>52693</v>
      </c>
      <c r="C2694" s="2">
        <v>45582.271757252412</v>
      </c>
      <c r="D2694">
        <v>50</v>
      </c>
      <c r="E2694" t="s">
        <v>7</v>
      </c>
      <c r="F2694" t="s">
        <v>12</v>
      </c>
      <c r="G2694">
        <v>2653</v>
      </c>
    </row>
    <row r="2695" spans="1:7" x14ac:dyDescent="0.25">
      <c r="A2695">
        <v>1223</v>
      </c>
      <c r="B2695">
        <v>52694</v>
      </c>
      <c r="C2695" s="2">
        <v>45582.515171723899</v>
      </c>
      <c r="D2695">
        <v>38</v>
      </c>
      <c r="E2695" t="s">
        <v>8</v>
      </c>
      <c r="F2695" t="s">
        <v>9</v>
      </c>
      <c r="G2695">
        <v>2215</v>
      </c>
    </row>
    <row r="2696" spans="1:7" x14ac:dyDescent="0.25">
      <c r="A2696">
        <v>1279</v>
      </c>
      <c r="B2696">
        <v>52695</v>
      </c>
      <c r="C2696" s="2">
        <v>45582.758586195392</v>
      </c>
      <c r="D2696">
        <v>56</v>
      </c>
      <c r="E2696" t="s">
        <v>8</v>
      </c>
      <c r="F2696" t="s">
        <v>12</v>
      </c>
      <c r="G2696">
        <v>2240</v>
      </c>
    </row>
    <row r="2697" spans="1:7" x14ac:dyDescent="0.25">
      <c r="A2697">
        <v>1408</v>
      </c>
      <c r="B2697">
        <v>52696</v>
      </c>
      <c r="C2697" s="2">
        <v>45583.002000666893</v>
      </c>
      <c r="D2697">
        <v>40</v>
      </c>
      <c r="E2697" t="s">
        <v>8</v>
      </c>
      <c r="F2697" t="s">
        <v>9</v>
      </c>
      <c r="G2697">
        <v>2244</v>
      </c>
    </row>
    <row r="2698" spans="1:7" x14ac:dyDescent="0.25">
      <c r="A2698">
        <v>1505</v>
      </c>
      <c r="B2698">
        <v>52697</v>
      </c>
      <c r="C2698" s="2">
        <v>45583.245415138357</v>
      </c>
      <c r="D2698">
        <v>44</v>
      </c>
      <c r="E2698" t="s">
        <v>7</v>
      </c>
      <c r="F2698" t="s">
        <v>11</v>
      </c>
      <c r="G2698">
        <v>3000</v>
      </c>
    </row>
    <row r="2699" spans="1:7" x14ac:dyDescent="0.25">
      <c r="A2699">
        <v>1294</v>
      </c>
      <c r="B2699">
        <v>52698</v>
      </c>
      <c r="C2699" s="2">
        <v>45583.488829609858</v>
      </c>
      <c r="D2699">
        <v>62</v>
      </c>
      <c r="E2699" t="s">
        <v>8</v>
      </c>
      <c r="F2699" t="s">
        <v>9</v>
      </c>
      <c r="G2699">
        <v>3170</v>
      </c>
    </row>
    <row r="2700" spans="1:7" x14ac:dyDescent="0.25">
      <c r="A2700">
        <v>1277</v>
      </c>
      <c r="B2700">
        <v>52699</v>
      </c>
      <c r="C2700" s="2">
        <v>45583.732244081351</v>
      </c>
      <c r="D2700">
        <v>61</v>
      </c>
      <c r="E2700" t="s">
        <v>8</v>
      </c>
      <c r="F2700" t="s">
        <v>12</v>
      </c>
      <c r="G2700">
        <v>1031</v>
      </c>
    </row>
    <row r="2701" spans="1:7" x14ac:dyDescent="0.25">
      <c r="A2701">
        <v>1438</v>
      </c>
      <c r="B2701">
        <v>52700</v>
      </c>
      <c r="C2701" s="2">
        <v>45583.975658552838</v>
      </c>
      <c r="D2701">
        <v>35</v>
      </c>
      <c r="E2701" t="s">
        <v>8</v>
      </c>
      <c r="F2701" t="s">
        <v>11</v>
      </c>
      <c r="G2701">
        <v>1993</v>
      </c>
    </row>
    <row r="2702" spans="1:7" x14ac:dyDescent="0.25">
      <c r="A2702">
        <v>1107</v>
      </c>
      <c r="B2702">
        <v>52701</v>
      </c>
      <c r="C2702" s="2">
        <v>45584.219073024338</v>
      </c>
      <c r="D2702">
        <v>41</v>
      </c>
      <c r="E2702" t="s">
        <v>8</v>
      </c>
      <c r="F2702" t="s">
        <v>12</v>
      </c>
      <c r="G2702">
        <v>3892</v>
      </c>
    </row>
    <row r="2703" spans="1:7" x14ac:dyDescent="0.25">
      <c r="A2703">
        <v>1420</v>
      </c>
      <c r="B2703">
        <v>52702</v>
      </c>
      <c r="C2703" s="2">
        <v>45584.462487495817</v>
      </c>
      <c r="D2703">
        <v>64</v>
      </c>
      <c r="E2703" t="s">
        <v>8</v>
      </c>
      <c r="F2703" t="s">
        <v>11</v>
      </c>
      <c r="G2703">
        <v>1991</v>
      </c>
    </row>
    <row r="2704" spans="1:7" x14ac:dyDescent="0.25">
      <c r="A2704">
        <v>1429</v>
      </c>
      <c r="B2704">
        <v>52703</v>
      </c>
      <c r="C2704" s="2">
        <v>45584.705901967318</v>
      </c>
      <c r="D2704">
        <v>57</v>
      </c>
      <c r="E2704" t="s">
        <v>8</v>
      </c>
      <c r="F2704" t="s">
        <v>10</v>
      </c>
      <c r="G2704">
        <v>3041</v>
      </c>
    </row>
    <row r="2705" spans="1:7" x14ac:dyDescent="0.25">
      <c r="A2705">
        <v>1375</v>
      </c>
      <c r="B2705">
        <v>52704</v>
      </c>
      <c r="C2705" s="2">
        <v>45584.949316438811</v>
      </c>
      <c r="D2705">
        <v>59</v>
      </c>
      <c r="E2705" t="s">
        <v>8</v>
      </c>
      <c r="F2705" t="s">
        <v>10</v>
      </c>
      <c r="G2705">
        <v>4890</v>
      </c>
    </row>
    <row r="2706" spans="1:7" x14ac:dyDescent="0.25">
      <c r="A2706">
        <v>1073</v>
      </c>
      <c r="B2706">
        <v>52705</v>
      </c>
      <c r="C2706" s="2">
        <v>45585.192730910298</v>
      </c>
      <c r="D2706">
        <v>24</v>
      </c>
      <c r="E2706" t="s">
        <v>8</v>
      </c>
      <c r="F2706" t="s">
        <v>10</v>
      </c>
      <c r="G2706">
        <v>2354</v>
      </c>
    </row>
    <row r="2707" spans="1:7" x14ac:dyDescent="0.25">
      <c r="A2707">
        <v>1030</v>
      </c>
      <c r="B2707">
        <v>52706</v>
      </c>
      <c r="C2707" s="2">
        <v>45585.436145381776</v>
      </c>
      <c r="D2707">
        <v>37</v>
      </c>
      <c r="E2707" t="s">
        <v>8</v>
      </c>
      <c r="F2707" t="s">
        <v>12</v>
      </c>
      <c r="G2707">
        <v>780</v>
      </c>
    </row>
    <row r="2708" spans="1:7" x14ac:dyDescent="0.25">
      <c r="A2708">
        <v>1188</v>
      </c>
      <c r="B2708">
        <v>52707</v>
      </c>
      <c r="C2708" s="2">
        <v>45585.679559853277</v>
      </c>
      <c r="D2708">
        <v>44</v>
      </c>
      <c r="E2708" t="s">
        <v>8</v>
      </c>
      <c r="F2708" t="s">
        <v>12</v>
      </c>
      <c r="G2708">
        <v>3053</v>
      </c>
    </row>
    <row r="2709" spans="1:7" x14ac:dyDescent="0.25">
      <c r="A2709">
        <v>1364</v>
      </c>
      <c r="B2709">
        <v>52708</v>
      </c>
      <c r="C2709" s="2">
        <v>45585.922974324771</v>
      </c>
      <c r="D2709">
        <v>23</v>
      </c>
      <c r="E2709" t="s">
        <v>7</v>
      </c>
      <c r="F2709" t="s">
        <v>11</v>
      </c>
      <c r="G2709">
        <v>2436</v>
      </c>
    </row>
    <row r="2710" spans="1:7" x14ac:dyDescent="0.25">
      <c r="A2710">
        <v>1451</v>
      </c>
      <c r="B2710">
        <v>52709</v>
      </c>
      <c r="C2710" s="2">
        <v>45586.166388796257</v>
      </c>
      <c r="D2710">
        <v>44</v>
      </c>
      <c r="E2710" t="s">
        <v>7</v>
      </c>
      <c r="F2710" t="s">
        <v>11</v>
      </c>
      <c r="G2710">
        <v>4376</v>
      </c>
    </row>
    <row r="2711" spans="1:7" x14ac:dyDescent="0.25">
      <c r="A2711">
        <v>1195</v>
      </c>
      <c r="B2711">
        <v>52710</v>
      </c>
      <c r="C2711" s="2">
        <v>45586.409803267758</v>
      </c>
      <c r="D2711">
        <v>26</v>
      </c>
      <c r="E2711" t="s">
        <v>8</v>
      </c>
      <c r="F2711" t="s">
        <v>11</v>
      </c>
      <c r="G2711">
        <v>2355</v>
      </c>
    </row>
    <row r="2712" spans="1:7" x14ac:dyDescent="0.25">
      <c r="A2712">
        <v>1156</v>
      </c>
      <c r="B2712">
        <v>52711</v>
      </c>
      <c r="C2712" s="2">
        <v>45586.653217739236</v>
      </c>
      <c r="D2712">
        <v>62</v>
      </c>
      <c r="E2712" t="s">
        <v>7</v>
      </c>
      <c r="F2712" t="s">
        <v>11</v>
      </c>
      <c r="G2712">
        <v>1544</v>
      </c>
    </row>
    <row r="2713" spans="1:7" x14ac:dyDescent="0.25">
      <c r="A2713">
        <v>1172</v>
      </c>
      <c r="B2713">
        <v>52712</v>
      </c>
      <c r="C2713" s="2">
        <v>45586.89663221073</v>
      </c>
      <c r="D2713">
        <v>48</v>
      </c>
      <c r="E2713" t="s">
        <v>7</v>
      </c>
      <c r="F2713" t="s">
        <v>9</v>
      </c>
      <c r="G2713">
        <v>545</v>
      </c>
    </row>
    <row r="2714" spans="1:7" x14ac:dyDescent="0.25">
      <c r="A2714">
        <v>1041</v>
      </c>
      <c r="B2714">
        <v>52713</v>
      </c>
      <c r="C2714" s="2">
        <v>45587.140046682223</v>
      </c>
      <c r="D2714">
        <v>38</v>
      </c>
      <c r="E2714" t="s">
        <v>8</v>
      </c>
      <c r="F2714" t="s">
        <v>10</v>
      </c>
      <c r="G2714">
        <v>2086</v>
      </c>
    </row>
    <row r="2715" spans="1:7" x14ac:dyDescent="0.25">
      <c r="A2715">
        <v>1063</v>
      </c>
      <c r="B2715">
        <v>52714</v>
      </c>
      <c r="C2715" s="2">
        <v>45587.383461153717</v>
      </c>
      <c r="D2715">
        <v>43</v>
      </c>
      <c r="E2715" t="s">
        <v>8</v>
      </c>
      <c r="F2715" t="s">
        <v>9</v>
      </c>
      <c r="G2715">
        <v>754</v>
      </c>
    </row>
    <row r="2716" spans="1:7" x14ac:dyDescent="0.25">
      <c r="A2716">
        <v>1023</v>
      </c>
      <c r="B2716">
        <v>52715</v>
      </c>
      <c r="C2716" s="2">
        <v>45587.62687562521</v>
      </c>
      <c r="D2716">
        <v>57</v>
      </c>
      <c r="E2716" t="s">
        <v>8</v>
      </c>
      <c r="F2716" t="s">
        <v>9</v>
      </c>
      <c r="G2716">
        <v>3970</v>
      </c>
    </row>
    <row r="2717" spans="1:7" x14ac:dyDescent="0.25">
      <c r="A2717">
        <v>1360</v>
      </c>
      <c r="B2717">
        <v>52716</v>
      </c>
      <c r="C2717" s="2">
        <v>45587.870290096689</v>
      </c>
      <c r="D2717">
        <v>62</v>
      </c>
      <c r="E2717" t="s">
        <v>7</v>
      </c>
      <c r="F2717" t="s">
        <v>9</v>
      </c>
      <c r="G2717">
        <v>4597</v>
      </c>
    </row>
    <row r="2718" spans="1:7" x14ac:dyDescent="0.25">
      <c r="A2718">
        <v>1075</v>
      </c>
      <c r="B2718">
        <v>52717</v>
      </c>
      <c r="C2718" s="2">
        <v>45588.113704568183</v>
      </c>
      <c r="D2718">
        <v>30</v>
      </c>
      <c r="E2718" t="s">
        <v>8</v>
      </c>
      <c r="F2718" t="s">
        <v>9</v>
      </c>
      <c r="G2718">
        <v>399</v>
      </c>
    </row>
    <row r="2719" spans="1:7" x14ac:dyDescent="0.25">
      <c r="A2719">
        <v>1560</v>
      </c>
      <c r="B2719">
        <v>52718</v>
      </c>
      <c r="C2719" s="2">
        <v>45588.357119039683</v>
      </c>
      <c r="D2719">
        <v>40</v>
      </c>
      <c r="E2719" t="s">
        <v>7</v>
      </c>
      <c r="F2719" t="s">
        <v>10</v>
      </c>
      <c r="G2719">
        <v>3140</v>
      </c>
    </row>
    <row r="2720" spans="1:7" x14ac:dyDescent="0.25">
      <c r="A2720">
        <v>1118</v>
      </c>
      <c r="B2720">
        <v>52719</v>
      </c>
      <c r="C2720" s="2">
        <v>45588.600533511169</v>
      </c>
      <c r="D2720">
        <v>37</v>
      </c>
      <c r="E2720" t="s">
        <v>8</v>
      </c>
      <c r="F2720" t="s">
        <v>9</v>
      </c>
      <c r="G2720">
        <v>3690</v>
      </c>
    </row>
    <row r="2721" spans="1:7" x14ac:dyDescent="0.25">
      <c r="A2721">
        <v>1380</v>
      </c>
      <c r="B2721">
        <v>52720</v>
      </c>
      <c r="C2721" s="2">
        <v>45588.843947982648</v>
      </c>
      <c r="D2721">
        <v>54</v>
      </c>
      <c r="E2721" t="s">
        <v>7</v>
      </c>
      <c r="F2721" t="s">
        <v>11</v>
      </c>
      <c r="G2721">
        <v>506</v>
      </c>
    </row>
    <row r="2722" spans="1:7" x14ac:dyDescent="0.25">
      <c r="A2722">
        <v>1290</v>
      </c>
      <c r="B2722">
        <v>52721</v>
      </c>
      <c r="C2722" s="2">
        <v>45589.087362454142</v>
      </c>
      <c r="D2722">
        <v>45</v>
      </c>
      <c r="E2722" t="s">
        <v>7</v>
      </c>
      <c r="F2722" t="s">
        <v>12</v>
      </c>
      <c r="G2722">
        <v>3275</v>
      </c>
    </row>
    <row r="2723" spans="1:7" x14ac:dyDescent="0.25">
      <c r="A2723">
        <v>1440</v>
      </c>
      <c r="B2723">
        <v>52722</v>
      </c>
      <c r="C2723" s="2">
        <v>45589.330776925643</v>
      </c>
      <c r="D2723">
        <v>34</v>
      </c>
      <c r="E2723" t="s">
        <v>8</v>
      </c>
      <c r="F2723" t="s">
        <v>11</v>
      </c>
      <c r="G2723">
        <v>1856</v>
      </c>
    </row>
    <row r="2724" spans="1:7" x14ac:dyDescent="0.25">
      <c r="A2724">
        <v>1007</v>
      </c>
      <c r="B2724">
        <v>52723</v>
      </c>
      <c r="C2724" s="2">
        <v>45589.574191397129</v>
      </c>
      <c r="D2724">
        <v>45</v>
      </c>
      <c r="E2724" t="s">
        <v>8</v>
      </c>
      <c r="F2724" t="s">
        <v>12</v>
      </c>
      <c r="G2724">
        <v>2892</v>
      </c>
    </row>
    <row r="2725" spans="1:7" x14ac:dyDescent="0.25">
      <c r="A2725">
        <v>1196</v>
      </c>
      <c r="B2725">
        <v>52724</v>
      </c>
      <c r="C2725" s="2">
        <v>45589.817605868622</v>
      </c>
      <c r="D2725">
        <v>58</v>
      </c>
      <c r="E2725" t="s">
        <v>7</v>
      </c>
      <c r="F2725" t="s">
        <v>11</v>
      </c>
      <c r="G2725">
        <v>1964</v>
      </c>
    </row>
    <row r="2726" spans="1:7" x14ac:dyDescent="0.25">
      <c r="A2726">
        <v>1421</v>
      </c>
      <c r="B2726">
        <v>52725</v>
      </c>
      <c r="C2726" s="2">
        <v>45590.061020340101</v>
      </c>
      <c r="D2726">
        <v>19</v>
      </c>
      <c r="E2726" t="s">
        <v>7</v>
      </c>
      <c r="F2726" t="s">
        <v>11</v>
      </c>
      <c r="G2726">
        <v>475</v>
      </c>
    </row>
    <row r="2727" spans="1:7" x14ac:dyDescent="0.25">
      <c r="A2727">
        <v>1568</v>
      </c>
      <c r="B2727">
        <v>52726</v>
      </c>
      <c r="C2727" s="2">
        <v>45590.304434811587</v>
      </c>
      <c r="D2727">
        <v>42</v>
      </c>
      <c r="E2727" t="s">
        <v>8</v>
      </c>
      <c r="F2727" t="s">
        <v>12</v>
      </c>
      <c r="G2727">
        <v>3561</v>
      </c>
    </row>
    <row r="2728" spans="1:7" x14ac:dyDescent="0.25">
      <c r="A2728">
        <v>1193</v>
      </c>
      <c r="B2728">
        <v>52727</v>
      </c>
      <c r="C2728" s="2">
        <v>45590.547849283088</v>
      </c>
      <c r="D2728">
        <v>58</v>
      </c>
      <c r="E2728" t="s">
        <v>8</v>
      </c>
      <c r="F2728" t="s">
        <v>10</v>
      </c>
      <c r="G2728">
        <v>1601</v>
      </c>
    </row>
    <row r="2729" spans="1:7" x14ac:dyDescent="0.25">
      <c r="A2729">
        <v>1559</v>
      </c>
      <c r="B2729">
        <v>52728</v>
      </c>
      <c r="C2729" s="2">
        <v>45590.791263754581</v>
      </c>
      <c r="D2729">
        <v>23</v>
      </c>
      <c r="E2729" t="s">
        <v>7</v>
      </c>
      <c r="F2729" t="s">
        <v>9</v>
      </c>
      <c r="G2729">
        <v>4933</v>
      </c>
    </row>
    <row r="2730" spans="1:7" x14ac:dyDescent="0.25">
      <c r="A2730">
        <v>1148</v>
      </c>
      <c r="B2730">
        <v>52729</v>
      </c>
      <c r="C2730" s="2">
        <v>45591.034678226068</v>
      </c>
      <c r="D2730">
        <v>28</v>
      </c>
      <c r="E2730" t="s">
        <v>8</v>
      </c>
      <c r="F2730" t="s">
        <v>11</v>
      </c>
      <c r="G2730">
        <v>1975</v>
      </c>
    </row>
    <row r="2731" spans="1:7" x14ac:dyDescent="0.25">
      <c r="A2731">
        <v>1202</v>
      </c>
      <c r="B2731">
        <v>52730</v>
      </c>
      <c r="C2731" s="2">
        <v>45591.278092697561</v>
      </c>
      <c r="D2731">
        <v>55</v>
      </c>
      <c r="E2731" t="s">
        <v>7</v>
      </c>
      <c r="F2731" t="s">
        <v>10</v>
      </c>
      <c r="G2731">
        <v>3581</v>
      </c>
    </row>
    <row r="2732" spans="1:7" x14ac:dyDescent="0.25">
      <c r="A2732">
        <v>1444</v>
      </c>
      <c r="B2732">
        <v>52731</v>
      </c>
      <c r="C2732" s="2">
        <v>45591.521507169047</v>
      </c>
      <c r="D2732">
        <v>23</v>
      </c>
      <c r="E2732" t="s">
        <v>8</v>
      </c>
      <c r="F2732" t="s">
        <v>9</v>
      </c>
      <c r="G2732">
        <v>4250</v>
      </c>
    </row>
    <row r="2733" spans="1:7" x14ac:dyDescent="0.25">
      <c r="A2733">
        <v>1419</v>
      </c>
      <c r="B2733">
        <v>52732</v>
      </c>
      <c r="C2733" s="2">
        <v>45591.764921640541</v>
      </c>
      <c r="D2733">
        <v>62</v>
      </c>
      <c r="E2733" t="s">
        <v>8</v>
      </c>
      <c r="F2733" t="s">
        <v>10</v>
      </c>
      <c r="G2733">
        <v>3660</v>
      </c>
    </row>
    <row r="2734" spans="1:7" x14ac:dyDescent="0.25">
      <c r="A2734">
        <v>1427</v>
      </c>
      <c r="B2734">
        <v>52733</v>
      </c>
      <c r="C2734" s="2">
        <v>45592.008336112027</v>
      </c>
      <c r="D2734">
        <v>28</v>
      </c>
      <c r="E2734" t="s">
        <v>8</v>
      </c>
      <c r="F2734" t="s">
        <v>10</v>
      </c>
      <c r="G2734">
        <v>2080</v>
      </c>
    </row>
    <row r="2735" spans="1:7" x14ac:dyDescent="0.25">
      <c r="A2735">
        <v>1479</v>
      </c>
      <c r="B2735">
        <v>52734</v>
      </c>
      <c r="C2735" s="2">
        <v>45592.25175058352</v>
      </c>
      <c r="D2735">
        <v>31</v>
      </c>
      <c r="E2735" t="s">
        <v>7</v>
      </c>
      <c r="F2735" t="s">
        <v>9</v>
      </c>
      <c r="G2735">
        <v>4035</v>
      </c>
    </row>
    <row r="2736" spans="1:7" x14ac:dyDescent="0.25">
      <c r="A2736">
        <v>1475</v>
      </c>
      <c r="B2736">
        <v>52735</v>
      </c>
      <c r="C2736" s="2">
        <v>45592.495165055007</v>
      </c>
      <c r="D2736">
        <v>19</v>
      </c>
      <c r="E2736" t="s">
        <v>8</v>
      </c>
      <c r="F2736" t="s">
        <v>11</v>
      </c>
      <c r="G2736">
        <v>4478</v>
      </c>
    </row>
    <row r="2737" spans="1:7" x14ac:dyDescent="0.25">
      <c r="A2737">
        <v>1126</v>
      </c>
      <c r="B2737">
        <v>52736</v>
      </c>
      <c r="C2737" s="2">
        <v>45592.738579526507</v>
      </c>
      <c r="D2737">
        <v>57</v>
      </c>
      <c r="E2737" t="s">
        <v>7</v>
      </c>
      <c r="F2737" t="s">
        <v>10</v>
      </c>
      <c r="G2737">
        <v>2044</v>
      </c>
    </row>
    <row r="2738" spans="1:7" x14ac:dyDescent="0.25">
      <c r="A2738">
        <v>1395</v>
      </c>
      <c r="B2738">
        <v>52737</v>
      </c>
      <c r="C2738" s="2">
        <v>45592.981993998001</v>
      </c>
      <c r="D2738">
        <v>20</v>
      </c>
      <c r="E2738" t="s">
        <v>8</v>
      </c>
      <c r="F2738" t="s">
        <v>11</v>
      </c>
      <c r="G2738">
        <v>3577</v>
      </c>
    </row>
    <row r="2739" spans="1:7" x14ac:dyDescent="0.25">
      <c r="A2739">
        <v>1576</v>
      </c>
      <c r="B2739">
        <v>52738</v>
      </c>
      <c r="C2739" s="2">
        <v>45593.22540846948</v>
      </c>
      <c r="D2739">
        <v>52</v>
      </c>
      <c r="E2739" t="s">
        <v>7</v>
      </c>
      <c r="F2739" t="s">
        <v>11</v>
      </c>
      <c r="G2739">
        <v>271</v>
      </c>
    </row>
    <row r="2740" spans="1:7" x14ac:dyDescent="0.25">
      <c r="A2740">
        <v>1325</v>
      </c>
      <c r="B2740">
        <v>52739</v>
      </c>
      <c r="C2740" s="2">
        <v>45593.468822940973</v>
      </c>
      <c r="D2740">
        <v>50</v>
      </c>
      <c r="E2740" t="s">
        <v>7</v>
      </c>
      <c r="F2740" t="s">
        <v>11</v>
      </c>
      <c r="G2740">
        <v>1876</v>
      </c>
    </row>
    <row r="2741" spans="1:7" x14ac:dyDescent="0.25">
      <c r="A2741">
        <v>1392</v>
      </c>
      <c r="B2741">
        <v>52740</v>
      </c>
      <c r="C2741" s="2">
        <v>45593.712237412466</v>
      </c>
      <c r="D2741">
        <v>41</v>
      </c>
      <c r="E2741" t="s">
        <v>8</v>
      </c>
      <c r="F2741" t="s">
        <v>9</v>
      </c>
      <c r="G2741">
        <v>1495</v>
      </c>
    </row>
    <row r="2742" spans="1:7" x14ac:dyDescent="0.25">
      <c r="A2742">
        <v>1440</v>
      </c>
      <c r="B2742">
        <v>52741</v>
      </c>
      <c r="C2742" s="2">
        <v>45593.95565188396</v>
      </c>
      <c r="D2742">
        <v>36</v>
      </c>
      <c r="E2742" t="s">
        <v>7</v>
      </c>
      <c r="F2742" t="s">
        <v>12</v>
      </c>
      <c r="G2742">
        <v>1243</v>
      </c>
    </row>
    <row r="2743" spans="1:7" x14ac:dyDescent="0.25">
      <c r="A2743">
        <v>1204</v>
      </c>
      <c r="B2743">
        <v>52742</v>
      </c>
      <c r="C2743" s="2">
        <v>45594.199066355453</v>
      </c>
      <c r="D2743">
        <v>35</v>
      </c>
      <c r="E2743" t="s">
        <v>7</v>
      </c>
      <c r="F2743" t="s">
        <v>11</v>
      </c>
      <c r="G2743">
        <v>2825</v>
      </c>
    </row>
    <row r="2744" spans="1:7" x14ac:dyDescent="0.25">
      <c r="A2744">
        <v>1486</v>
      </c>
      <c r="B2744">
        <v>52743</v>
      </c>
      <c r="C2744" s="2">
        <v>45594.442480826932</v>
      </c>
      <c r="D2744">
        <v>41</v>
      </c>
      <c r="E2744" t="s">
        <v>7</v>
      </c>
      <c r="F2744" t="s">
        <v>12</v>
      </c>
      <c r="G2744">
        <v>3242</v>
      </c>
    </row>
    <row r="2745" spans="1:7" x14ac:dyDescent="0.25">
      <c r="A2745">
        <v>1031</v>
      </c>
      <c r="B2745">
        <v>52744</v>
      </c>
      <c r="C2745" s="2">
        <v>45594.685895298433</v>
      </c>
      <c r="D2745">
        <v>62</v>
      </c>
      <c r="E2745" t="s">
        <v>7</v>
      </c>
      <c r="F2745" t="s">
        <v>12</v>
      </c>
      <c r="G2745">
        <v>1014</v>
      </c>
    </row>
    <row r="2746" spans="1:7" x14ac:dyDescent="0.25">
      <c r="A2746">
        <v>1388</v>
      </c>
      <c r="B2746">
        <v>52745</v>
      </c>
      <c r="C2746" s="2">
        <v>45594.929309769919</v>
      </c>
      <c r="D2746">
        <v>52</v>
      </c>
      <c r="E2746" t="s">
        <v>8</v>
      </c>
      <c r="F2746" t="s">
        <v>10</v>
      </c>
      <c r="G2746">
        <v>2394</v>
      </c>
    </row>
    <row r="2747" spans="1:7" x14ac:dyDescent="0.25">
      <c r="A2747">
        <v>1434</v>
      </c>
      <c r="B2747">
        <v>52746</v>
      </c>
      <c r="C2747" s="2">
        <v>45595.172724241413</v>
      </c>
      <c r="D2747">
        <v>18</v>
      </c>
      <c r="E2747" t="s">
        <v>8</v>
      </c>
      <c r="F2747" t="s">
        <v>11</v>
      </c>
      <c r="G2747">
        <v>3700</v>
      </c>
    </row>
    <row r="2748" spans="1:7" x14ac:dyDescent="0.25">
      <c r="A2748">
        <v>1376</v>
      </c>
      <c r="B2748">
        <v>52747</v>
      </c>
      <c r="C2748" s="2">
        <v>45595.416138712892</v>
      </c>
      <c r="D2748">
        <v>53</v>
      </c>
      <c r="E2748" t="s">
        <v>8</v>
      </c>
      <c r="F2748" t="s">
        <v>11</v>
      </c>
      <c r="G2748">
        <v>509</v>
      </c>
    </row>
    <row r="2749" spans="1:7" x14ac:dyDescent="0.25">
      <c r="A2749">
        <v>1344</v>
      </c>
      <c r="B2749">
        <v>52748</v>
      </c>
      <c r="C2749" s="2">
        <v>45595.659553184392</v>
      </c>
      <c r="D2749">
        <v>42</v>
      </c>
      <c r="E2749" t="s">
        <v>7</v>
      </c>
      <c r="F2749" t="s">
        <v>11</v>
      </c>
      <c r="G2749">
        <v>2261</v>
      </c>
    </row>
    <row r="2750" spans="1:7" x14ac:dyDescent="0.25">
      <c r="A2750">
        <v>1443</v>
      </c>
      <c r="B2750">
        <v>52749</v>
      </c>
      <c r="C2750" s="2">
        <v>45595.902967655878</v>
      </c>
      <c r="D2750">
        <v>62</v>
      </c>
      <c r="E2750" t="s">
        <v>7</v>
      </c>
      <c r="F2750" t="s">
        <v>12</v>
      </c>
      <c r="G2750">
        <v>4427</v>
      </c>
    </row>
    <row r="2751" spans="1:7" x14ac:dyDescent="0.25">
      <c r="A2751">
        <v>1579</v>
      </c>
      <c r="B2751">
        <v>52750</v>
      </c>
      <c r="C2751" s="2">
        <v>45596.146382127372</v>
      </c>
      <c r="D2751">
        <v>60</v>
      </c>
      <c r="E2751" t="s">
        <v>8</v>
      </c>
      <c r="F2751" t="s">
        <v>9</v>
      </c>
      <c r="G2751">
        <v>2077</v>
      </c>
    </row>
    <row r="2752" spans="1:7" x14ac:dyDescent="0.25">
      <c r="A2752">
        <v>1075</v>
      </c>
      <c r="B2752">
        <v>52751</v>
      </c>
      <c r="C2752" s="2">
        <v>45596.389796598873</v>
      </c>
      <c r="D2752">
        <v>51</v>
      </c>
      <c r="E2752" t="s">
        <v>8</v>
      </c>
      <c r="F2752" t="s">
        <v>12</v>
      </c>
      <c r="G2752">
        <v>3002</v>
      </c>
    </row>
    <row r="2753" spans="1:7" x14ac:dyDescent="0.25">
      <c r="A2753">
        <v>1557</v>
      </c>
      <c r="B2753">
        <v>52752</v>
      </c>
      <c r="C2753" s="2">
        <v>45596.633211070337</v>
      </c>
      <c r="D2753">
        <v>42</v>
      </c>
      <c r="E2753" t="s">
        <v>7</v>
      </c>
      <c r="F2753" t="s">
        <v>11</v>
      </c>
      <c r="G2753">
        <v>2686</v>
      </c>
    </row>
    <row r="2754" spans="1:7" x14ac:dyDescent="0.25">
      <c r="A2754">
        <v>1155</v>
      </c>
      <c r="B2754">
        <v>52753</v>
      </c>
      <c r="C2754" s="2">
        <v>45596.876625541838</v>
      </c>
      <c r="D2754">
        <v>33</v>
      </c>
      <c r="E2754" t="s">
        <v>8</v>
      </c>
      <c r="F2754" t="s">
        <v>11</v>
      </c>
      <c r="G2754">
        <v>3945</v>
      </c>
    </row>
    <row r="2755" spans="1:7" x14ac:dyDescent="0.25">
      <c r="A2755">
        <v>1430</v>
      </c>
      <c r="B2755">
        <v>52754</v>
      </c>
      <c r="C2755" s="2">
        <v>45597.120040013331</v>
      </c>
      <c r="D2755">
        <v>51</v>
      </c>
      <c r="E2755" t="s">
        <v>8</v>
      </c>
      <c r="F2755" t="s">
        <v>11</v>
      </c>
      <c r="G2755">
        <v>994</v>
      </c>
    </row>
    <row r="2756" spans="1:7" x14ac:dyDescent="0.25">
      <c r="A2756">
        <v>1363</v>
      </c>
      <c r="B2756">
        <v>52755</v>
      </c>
      <c r="C2756" s="2">
        <v>45597.363454484817</v>
      </c>
      <c r="D2756">
        <v>46</v>
      </c>
      <c r="E2756" t="s">
        <v>7</v>
      </c>
      <c r="F2756" t="s">
        <v>12</v>
      </c>
      <c r="G2756">
        <v>4214</v>
      </c>
    </row>
    <row r="2757" spans="1:7" x14ac:dyDescent="0.25">
      <c r="A2757">
        <v>1448</v>
      </c>
      <c r="B2757">
        <v>52756</v>
      </c>
      <c r="C2757" s="2">
        <v>45597.606868956311</v>
      </c>
      <c r="D2757">
        <v>36</v>
      </c>
      <c r="E2757" t="s">
        <v>8</v>
      </c>
      <c r="F2757" t="s">
        <v>11</v>
      </c>
      <c r="G2757">
        <v>4553</v>
      </c>
    </row>
    <row r="2758" spans="1:7" x14ac:dyDescent="0.25">
      <c r="A2758">
        <v>1234</v>
      </c>
      <c r="B2758">
        <v>52757</v>
      </c>
      <c r="C2758" s="2">
        <v>45597.850283427797</v>
      </c>
      <c r="D2758">
        <v>40</v>
      </c>
      <c r="E2758" t="s">
        <v>7</v>
      </c>
      <c r="F2758" t="s">
        <v>10</v>
      </c>
      <c r="G2758">
        <v>3607</v>
      </c>
    </row>
    <row r="2759" spans="1:7" x14ac:dyDescent="0.25">
      <c r="A2759">
        <v>1563</v>
      </c>
      <c r="B2759">
        <v>52758</v>
      </c>
      <c r="C2759" s="2">
        <v>45598.09369789929</v>
      </c>
      <c r="D2759">
        <v>36</v>
      </c>
      <c r="E2759" t="s">
        <v>8</v>
      </c>
      <c r="F2759" t="s">
        <v>11</v>
      </c>
      <c r="G2759">
        <v>2656</v>
      </c>
    </row>
    <row r="2760" spans="1:7" x14ac:dyDescent="0.25">
      <c r="A2760">
        <v>1262</v>
      </c>
      <c r="B2760">
        <v>52759</v>
      </c>
      <c r="C2760" s="2">
        <v>45598.337112370777</v>
      </c>
      <c r="D2760">
        <v>42</v>
      </c>
      <c r="E2760" t="s">
        <v>7</v>
      </c>
      <c r="F2760" t="s">
        <v>9</v>
      </c>
      <c r="G2760">
        <v>2051</v>
      </c>
    </row>
    <row r="2761" spans="1:7" x14ac:dyDescent="0.25">
      <c r="A2761">
        <v>1125</v>
      </c>
      <c r="B2761">
        <v>52760</v>
      </c>
      <c r="C2761" s="2">
        <v>45598.580526842277</v>
      </c>
      <c r="D2761">
        <v>33</v>
      </c>
      <c r="E2761" t="s">
        <v>7</v>
      </c>
      <c r="F2761" t="s">
        <v>10</v>
      </c>
      <c r="G2761">
        <v>1174</v>
      </c>
    </row>
    <row r="2762" spans="1:7" x14ac:dyDescent="0.25">
      <c r="A2762">
        <v>1245</v>
      </c>
      <c r="B2762">
        <v>52761</v>
      </c>
      <c r="C2762" s="2">
        <v>45598.823941313763</v>
      </c>
      <c r="D2762">
        <v>26</v>
      </c>
      <c r="E2762" t="s">
        <v>7</v>
      </c>
      <c r="F2762" t="s">
        <v>11</v>
      </c>
      <c r="G2762">
        <v>1247</v>
      </c>
    </row>
    <row r="2763" spans="1:7" x14ac:dyDescent="0.25">
      <c r="A2763">
        <v>1542</v>
      </c>
      <c r="B2763">
        <v>52762</v>
      </c>
      <c r="C2763" s="2">
        <v>45599.067355785257</v>
      </c>
      <c r="D2763">
        <v>18</v>
      </c>
      <c r="E2763" t="s">
        <v>7</v>
      </c>
      <c r="F2763" t="s">
        <v>10</v>
      </c>
      <c r="G2763">
        <v>4566</v>
      </c>
    </row>
    <row r="2764" spans="1:7" x14ac:dyDescent="0.25">
      <c r="A2764">
        <v>1485</v>
      </c>
      <c r="B2764">
        <v>52763</v>
      </c>
      <c r="C2764" s="2">
        <v>45599.31077025675</v>
      </c>
      <c r="D2764">
        <v>59</v>
      </c>
      <c r="E2764" t="s">
        <v>7</v>
      </c>
      <c r="F2764" t="s">
        <v>11</v>
      </c>
      <c r="G2764">
        <v>4437</v>
      </c>
    </row>
    <row r="2765" spans="1:7" x14ac:dyDescent="0.25">
      <c r="A2765">
        <v>1122</v>
      </c>
      <c r="B2765">
        <v>52764</v>
      </c>
      <c r="C2765" s="2">
        <v>45599.554184728237</v>
      </c>
      <c r="D2765">
        <v>36</v>
      </c>
      <c r="E2765" t="s">
        <v>8</v>
      </c>
      <c r="F2765" t="s">
        <v>9</v>
      </c>
      <c r="G2765">
        <v>3989</v>
      </c>
    </row>
    <row r="2766" spans="1:7" x14ac:dyDescent="0.25">
      <c r="A2766">
        <v>1125</v>
      </c>
      <c r="B2766">
        <v>52765</v>
      </c>
      <c r="C2766" s="2">
        <v>45599.797599199723</v>
      </c>
      <c r="D2766">
        <v>50</v>
      </c>
      <c r="E2766" t="s">
        <v>8</v>
      </c>
      <c r="F2766" t="s">
        <v>11</v>
      </c>
      <c r="G2766">
        <v>3221</v>
      </c>
    </row>
    <row r="2767" spans="1:7" x14ac:dyDescent="0.25">
      <c r="A2767">
        <v>1549</v>
      </c>
      <c r="B2767">
        <v>52766</v>
      </c>
      <c r="C2767" s="2">
        <v>45600.041013671223</v>
      </c>
      <c r="D2767">
        <v>51</v>
      </c>
      <c r="E2767" t="s">
        <v>8</v>
      </c>
      <c r="F2767" t="s">
        <v>10</v>
      </c>
      <c r="G2767">
        <v>4569</v>
      </c>
    </row>
    <row r="2768" spans="1:7" x14ac:dyDescent="0.25">
      <c r="A2768">
        <v>1170</v>
      </c>
      <c r="B2768">
        <v>52767</v>
      </c>
      <c r="C2768" s="2">
        <v>45600.28442814271</v>
      </c>
      <c r="D2768">
        <v>33</v>
      </c>
      <c r="E2768" t="s">
        <v>7</v>
      </c>
      <c r="F2768" t="s">
        <v>9</v>
      </c>
      <c r="G2768">
        <v>4229</v>
      </c>
    </row>
    <row r="2769" spans="1:7" x14ac:dyDescent="0.25">
      <c r="A2769">
        <v>1124</v>
      </c>
      <c r="B2769">
        <v>52768</v>
      </c>
      <c r="C2769" s="2">
        <v>45600.527842614203</v>
      </c>
      <c r="D2769">
        <v>61</v>
      </c>
      <c r="E2769" t="s">
        <v>8</v>
      </c>
      <c r="F2769" t="s">
        <v>12</v>
      </c>
      <c r="G2769">
        <v>664</v>
      </c>
    </row>
    <row r="2770" spans="1:7" x14ac:dyDescent="0.25">
      <c r="A2770">
        <v>1035</v>
      </c>
      <c r="B2770">
        <v>52769</v>
      </c>
      <c r="C2770" s="2">
        <v>45600.771257085697</v>
      </c>
      <c r="D2770">
        <v>57</v>
      </c>
      <c r="E2770" t="s">
        <v>7</v>
      </c>
      <c r="F2770" t="s">
        <v>9</v>
      </c>
      <c r="G2770">
        <v>487</v>
      </c>
    </row>
    <row r="2771" spans="1:7" x14ac:dyDescent="0.25">
      <c r="A2771">
        <v>1087</v>
      </c>
      <c r="B2771">
        <v>52770</v>
      </c>
      <c r="C2771" s="2">
        <v>45601.014671557183</v>
      </c>
      <c r="D2771">
        <v>35</v>
      </c>
      <c r="E2771" t="s">
        <v>7</v>
      </c>
      <c r="F2771" t="s">
        <v>9</v>
      </c>
      <c r="G2771">
        <v>3395</v>
      </c>
    </row>
    <row r="2772" spans="1:7" x14ac:dyDescent="0.25">
      <c r="A2772">
        <v>1201</v>
      </c>
      <c r="B2772">
        <v>52771</v>
      </c>
      <c r="C2772" s="2">
        <v>45601.258086028669</v>
      </c>
      <c r="D2772">
        <v>51</v>
      </c>
      <c r="E2772" t="s">
        <v>8</v>
      </c>
      <c r="F2772" t="s">
        <v>9</v>
      </c>
      <c r="G2772">
        <v>1075</v>
      </c>
    </row>
    <row r="2773" spans="1:7" x14ac:dyDescent="0.25">
      <c r="A2773">
        <v>1369</v>
      </c>
      <c r="B2773">
        <v>52772</v>
      </c>
      <c r="C2773" s="2">
        <v>45601.501500500162</v>
      </c>
      <c r="D2773">
        <v>42</v>
      </c>
      <c r="E2773" t="s">
        <v>7</v>
      </c>
      <c r="F2773" t="s">
        <v>10</v>
      </c>
      <c r="G2773">
        <v>2192</v>
      </c>
    </row>
    <row r="2774" spans="1:7" x14ac:dyDescent="0.25">
      <c r="A2774">
        <v>1077</v>
      </c>
      <c r="B2774">
        <v>52773</v>
      </c>
      <c r="C2774" s="2">
        <v>45601.744914971663</v>
      </c>
      <c r="D2774">
        <v>62</v>
      </c>
      <c r="E2774" t="s">
        <v>8</v>
      </c>
      <c r="F2774" t="s">
        <v>9</v>
      </c>
      <c r="G2774">
        <v>3125</v>
      </c>
    </row>
    <row r="2775" spans="1:7" x14ac:dyDescent="0.25">
      <c r="A2775">
        <v>1059</v>
      </c>
      <c r="B2775">
        <v>52774</v>
      </c>
      <c r="C2775" s="2">
        <v>45601.988329443127</v>
      </c>
      <c r="D2775">
        <v>23</v>
      </c>
      <c r="E2775" t="s">
        <v>7</v>
      </c>
      <c r="F2775" t="s">
        <v>11</v>
      </c>
      <c r="G2775">
        <v>1320</v>
      </c>
    </row>
    <row r="2776" spans="1:7" x14ac:dyDescent="0.25">
      <c r="A2776">
        <v>1431</v>
      </c>
      <c r="B2776">
        <v>52775</v>
      </c>
      <c r="C2776" s="2">
        <v>45602.231743914628</v>
      </c>
      <c r="D2776">
        <v>38</v>
      </c>
      <c r="E2776" t="s">
        <v>7</v>
      </c>
      <c r="F2776" t="s">
        <v>9</v>
      </c>
      <c r="G2776">
        <v>646</v>
      </c>
    </row>
    <row r="2777" spans="1:7" x14ac:dyDescent="0.25">
      <c r="A2777">
        <v>1500</v>
      </c>
      <c r="B2777">
        <v>52776</v>
      </c>
      <c r="C2777" s="2">
        <v>45602.475158386122</v>
      </c>
      <c r="D2777">
        <v>23</v>
      </c>
      <c r="E2777" t="s">
        <v>8</v>
      </c>
      <c r="F2777" t="s">
        <v>9</v>
      </c>
      <c r="G2777">
        <v>3032</v>
      </c>
    </row>
    <row r="2778" spans="1:7" x14ac:dyDescent="0.25">
      <c r="A2778">
        <v>1109</v>
      </c>
      <c r="B2778">
        <v>52777</v>
      </c>
      <c r="C2778" s="2">
        <v>45602.718572857622</v>
      </c>
      <c r="D2778">
        <v>49</v>
      </c>
      <c r="E2778" t="s">
        <v>7</v>
      </c>
      <c r="F2778" t="s">
        <v>11</v>
      </c>
      <c r="G2778">
        <v>3768</v>
      </c>
    </row>
    <row r="2779" spans="1:7" x14ac:dyDescent="0.25">
      <c r="A2779">
        <v>1278</v>
      </c>
      <c r="B2779">
        <v>52778</v>
      </c>
      <c r="C2779" s="2">
        <v>45602.961987329109</v>
      </c>
      <c r="D2779">
        <v>58</v>
      </c>
      <c r="E2779" t="s">
        <v>8</v>
      </c>
      <c r="F2779" t="s">
        <v>11</v>
      </c>
      <c r="G2779">
        <v>3096</v>
      </c>
    </row>
    <row r="2780" spans="1:7" x14ac:dyDescent="0.25">
      <c r="A2780">
        <v>1068</v>
      </c>
      <c r="B2780">
        <v>52779</v>
      </c>
      <c r="C2780" s="2">
        <v>45603.205401800587</v>
      </c>
      <c r="D2780">
        <v>60</v>
      </c>
      <c r="E2780" t="s">
        <v>7</v>
      </c>
      <c r="F2780" t="s">
        <v>12</v>
      </c>
      <c r="G2780">
        <v>921</v>
      </c>
    </row>
    <row r="2781" spans="1:7" x14ac:dyDescent="0.25">
      <c r="A2781">
        <v>1069</v>
      </c>
      <c r="B2781">
        <v>52780</v>
      </c>
      <c r="C2781" s="2">
        <v>45603.448816272081</v>
      </c>
      <c r="D2781">
        <v>56</v>
      </c>
      <c r="E2781" t="s">
        <v>8</v>
      </c>
      <c r="F2781" t="s">
        <v>9</v>
      </c>
      <c r="G2781">
        <v>2363</v>
      </c>
    </row>
    <row r="2782" spans="1:7" x14ac:dyDescent="0.25">
      <c r="A2782">
        <v>1165</v>
      </c>
      <c r="B2782">
        <v>52781</v>
      </c>
      <c r="C2782" s="2">
        <v>45603.692230743567</v>
      </c>
      <c r="D2782">
        <v>48</v>
      </c>
      <c r="E2782" t="s">
        <v>7</v>
      </c>
      <c r="F2782" t="s">
        <v>10</v>
      </c>
      <c r="G2782">
        <v>2782</v>
      </c>
    </row>
    <row r="2783" spans="1:7" x14ac:dyDescent="0.25">
      <c r="A2783">
        <v>1489</v>
      </c>
      <c r="B2783">
        <v>52782</v>
      </c>
      <c r="C2783" s="2">
        <v>45603.935645215068</v>
      </c>
      <c r="D2783">
        <v>59</v>
      </c>
      <c r="E2783" t="s">
        <v>8</v>
      </c>
      <c r="F2783" t="s">
        <v>9</v>
      </c>
      <c r="G2783">
        <v>1551</v>
      </c>
    </row>
    <row r="2784" spans="1:7" x14ac:dyDescent="0.25">
      <c r="A2784">
        <v>1305</v>
      </c>
      <c r="B2784">
        <v>52783</v>
      </c>
      <c r="C2784" s="2">
        <v>45604.179059686547</v>
      </c>
      <c r="D2784">
        <v>27</v>
      </c>
      <c r="E2784" t="s">
        <v>8</v>
      </c>
      <c r="F2784" t="s">
        <v>9</v>
      </c>
      <c r="G2784">
        <v>4180</v>
      </c>
    </row>
    <row r="2785" spans="1:7" x14ac:dyDescent="0.25">
      <c r="A2785">
        <v>1365</v>
      </c>
      <c r="B2785">
        <v>52784</v>
      </c>
      <c r="C2785" s="2">
        <v>45604.422474158047</v>
      </c>
      <c r="D2785">
        <v>47</v>
      </c>
      <c r="E2785" t="s">
        <v>7</v>
      </c>
      <c r="F2785" t="s">
        <v>11</v>
      </c>
      <c r="G2785">
        <v>4702</v>
      </c>
    </row>
    <row r="2786" spans="1:7" x14ac:dyDescent="0.25">
      <c r="A2786">
        <v>1379</v>
      </c>
      <c r="B2786">
        <v>52785</v>
      </c>
      <c r="C2786" s="2">
        <v>45604.665888629534</v>
      </c>
      <c r="D2786">
        <v>35</v>
      </c>
      <c r="E2786" t="s">
        <v>8</v>
      </c>
      <c r="F2786" t="s">
        <v>12</v>
      </c>
      <c r="G2786">
        <v>3584</v>
      </c>
    </row>
    <row r="2787" spans="1:7" x14ac:dyDescent="0.25">
      <c r="A2787">
        <v>1343</v>
      </c>
      <c r="B2787">
        <v>52786</v>
      </c>
      <c r="C2787" s="2">
        <v>45604.909303101027</v>
      </c>
      <c r="D2787">
        <v>41</v>
      </c>
      <c r="E2787" t="s">
        <v>7</v>
      </c>
      <c r="F2787" t="s">
        <v>9</v>
      </c>
      <c r="G2787">
        <v>1925</v>
      </c>
    </row>
    <row r="2788" spans="1:7" x14ac:dyDescent="0.25">
      <c r="A2788">
        <v>1554</v>
      </c>
      <c r="B2788">
        <v>52787</v>
      </c>
      <c r="C2788" s="2">
        <v>45605.15271757252</v>
      </c>
      <c r="D2788">
        <v>26</v>
      </c>
      <c r="E2788" t="s">
        <v>7</v>
      </c>
      <c r="F2788" t="s">
        <v>10</v>
      </c>
      <c r="G2788">
        <v>893</v>
      </c>
    </row>
    <row r="2789" spans="1:7" x14ac:dyDescent="0.25">
      <c r="A2789">
        <v>1354</v>
      </c>
      <c r="B2789">
        <v>52788</v>
      </c>
      <c r="C2789" s="2">
        <v>45605.396132044007</v>
      </c>
      <c r="D2789">
        <v>48</v>
      </c>
      <c r="E2789" t="s">
        <v>8</v>
      </c>
      <c r="F2789" t="s">
        <v>9</v>
      </c>
      <c r="G2789">
        <v>3613</v>
      </c>
    </row>
    <row r="2790" spans="1:7" x14ac:dyDescent="0.25">
      <c r="A2790">
        <v>1416</v>
      </c>
      <c r="B2790">
        <v>52789</v>
      </c>
      <c r="C2790" s="2">
        <v>45605.6395465155</v>
      </c>
      <c r="D2790">
        <v>32</v>
      </c>
      <c r="E2790" t="s">
        <v>8</v>
      </c>
      <c r="F2790" t="s">
        <v>10</v>
      </c>
      <c r="G2790">
        <v>694</v>
      </c>
    </row>
    <row r="2791" spans="1:7" x14ac:dyDescent="0.25">
      <c r="A2791">
        <v>1109</v>
      </c>
      <c r="B2791">
        <v>52790</v>
      </c>
      <c r="C2791" s="2">
        <v>45605.882960986994</v>
      </c>
      <c r="D2791">
        <v>21</v>
      </c>
      <c r="E2791" t="s">
        <v>8</v>
      </c>
      <c r="F2791" t="s">
        <v>11</v>
      </c>
      <c r="G2791">
        <v>1147</v>
      </c>
    </row>
    <row r="2792" spans="1:7" x14ac:dyDescent="0.25">
      <c r="A2792">
        <v>1563</v>
      </c>
      <c r="B2792">
        <v>52791</v>
      </c>
      <c r="C2792" s="2">
        <v>45606.126375458487</v>
      </c>
      <c r="D2792">
        <v>57</v>
      </c>
      <c r="E2792" t="s">
        <v>8</v>
      </c>
      <c r="F2792" t="s">
        <v>12</v>
      </c>
      <c r="G2792">
        <v>222</v>
      </c>
    </row>
    <row r="2793" spans="1:7" x14ac:dyDescent="0.25">
      <c r="A2793">
        <v>1497</v>
      </c>
      <c r="B2793">
        <v>52792</v>
      </c>
      <c r="C2793" s="2">
        <v>45606.369789929973</v>
      </c>
      <c r="D2793">
        <v>26</v>
      </c>
      <c r="E2793" t="s">
        <v>8</v>
      </c>
      <c r="F2793" t="s">
        <v>9</v>
      </c>
      <c r="G2793">
        <v>1328</v>
      </c>
    </row>
    <row r="2794" spans="1:7" x14ac:dyDescent="0.25">
      <c r="A2794">
        <v>1341</v>
      </c>
      <c r="B2794">
        <v>52793</v>
      </c>
      <c r="C2794" s="2">
        <v>45606.613204401459</v>
      </c>
      <c r="D2794">
        <v>62</v>
      </c>
      <c r="E2794" t="s">
        <v>7</v>
      </c>
      <c r="F2794" t="s">
        <v>12</v>
      </c>
      <c r="G2794">
        <v>757</v>
      </c>
    </row>
    <row r="2795" spans="1:7" x14ac:dyDescent="0.25">
      <c r="A2795">
        <v>1383</v>
      </c>
      <c r="B2795">
        <v>52794</v>
      </c>
      <c r="C2795" s="2">
        <v>45606.856618872953</v>
      </c>
      <c r="D2795">
        <v>26</v>
      </c>
      <c r="E2795" t="s">
        <v>8</v>
      </c>
      <c r="F2795" t="s">
        <v>9</v>
      </c>
      <c r="G2795">
        <v>1816</v>
      </c>
    </row>
    <row r="2796" spans="1:7" x14ac:dyDescent="0.25">
      <c r="A2796">
        <v>1533</v>
      </c>
      <c r="B2796">
        <v>52795</v>
      </c>
      <c r="C2796" s="2">
        <v>45607.100033344454</v>
      </c>
      <c r="D2796">
        <v>43</v>
      </c>
      <c r="E2796" t="s">
        <v>7</v>
      </c>
      <c r="F2796" t="s">
        <v>10</v>
      </c>
      <c r="G2796">
        <v>3930</v>
      </c>
    </row>
    <row r="2797" spans="1:7" x14ac:dyDescent="0.25">
      <c r="A2797">
        <v>1300</v>
      </c>
      <c r="B2797">
        <v>52796</v>
      </c>
      <c r="C2797" s="2">
        <v>45607.34344781594</v>
      </c>
      <c r="D2797">
        <v>21</v>
      </c>
      <c r="E2797" t="s">
        <v>8</v>
      </c>
      <c r="F2797" t="s">
        <v>12</v>
      </c>
      <c r="G2797">
        <v>1856</v>
      </c>
    </row>
    <row r="2798" spans="1:7" x14ac:dyDescent="0.25">
      <c r="A2798">
        <v>1139</v>
      </c>
      <c r="B2798">
        <v>52797</v>
      </c>
      <c r="C2798" s="2">
        <v>45607.586862287419</v>
      </c>
      <c r="D2798">
        <v>34</v>
      </c>
      <c r="E2798" t="s">
        <v>8</v>
      </c>
      <c r="F2798" t="s">
        <v>9</v>
      </c>
      <c r="G2798">
        <v>4373</v>
      </c>
    </row>
    <row r="2799" spans="1:7" x14ac:dyDescent="0.25">
      <c r="A2799">
        <v>1359</v>
      </c>
      <c r="B2799">
        <v>52798</v>
      </c>
      <c r="C2799" s="2">
        <v>45607.830276758912</v>
      </c>
      <c r="D2799">
        <v>33</v>
      </c>
      <c r="E2799" t="s">
        <v>8</v>
      </c>
      <c r="F2799" t="s">
        <v>11</v>
      </c>
      <c r="G2799">
        <v>1006</v>
      </c>
    </row>
    <row r="2800" spans="1:7" x14ac:dyDescent="0.25">
      <c r="A2800">
        <v>1499</v>
      </c>
      <c r="B2800">
        <v>52799</v>
      </c>
      <c r="C2800" s="2">
        <v>45608.073691230413</v>
      </c>
      <c r="D2800">
        <v>32</v>
      </c>
      <c r="E2800" t="s">
        <v>7</v>
      </c>
      <c r="F2800" t="s">
        <v>10</v>
      </c>
      <c r="G2800">
        <v>3512</v>
      </c>
    </row>
    <row r="2801" spans="1:7" x14ac:dyDescent="0.25">
      <c r="A2801">
        <v>1385</v>
      </c>
      <c r="B2801">
        <v>52800</v>
      </c>
      <c r="C2801" s="2">
        <v>45608.317105701899</v>
      </c>
      <c r="D2801">
        <v>52</v>
      </c>
      <c r="E2801" t="s">
        <v>8</v>
      </c>
      <c r="F2801" t="s">
        <v>12</v>
      </c>
      <c r="G2801">
        <v>653</v>
      </c>
    </row>
    <row r="2802" spans="1:7" x14ac:dyDescent="0.25">
      <c r="A2802">
        <v>1280</v>
      </c>
      <c r="B2802">
        <v>52801</v>
      </c>
      <c r="C2802" s="2">
        <v>45608.560520173378</v>
      </c>
      <c r="D2802">
        <v>22</v>
      </c>
      <c r="E2802" t="s">
        <v>7</v>
      </c>
      <c r="F2802" t="s">
        <v>9</v>
      </c>
      <c r="G2802">
        <v>3175</v>
      </c>
    </row>
    <row r="2803" spans="1:7" x14ac:dyDescent="0.25">
      <c r="A2803">
        <v>1483</v>
      </c>
      <c r="B2803">
        <v>52802</v>
      </c>
      <c r="C2803" s="2">
        <v>45608.803934644871</v>
      </c>
      <c r="D2803">
        <v>22</v>
      </c>
      <c r="E2803" t="s">
        <v>7</v>
      </c>
      <c r="F2803" t="s">
        <v>12</v>
      </c>
      <c r="G2803">
        <v>2524</v>
      </c>
    </row>
    <row r="2804" spans="1:7" x14ac:dyDescent="0.25">
      <c r="A2804">
        <v>1111</v>
      </c>
      <c r="B2804">
        <v>52803</v>
      </c>
      <c r="C2804" s="2">
        <v>45609.047349116358</v>
      </c>
      <c r="D2804">
        <v>37</v>
      </c>
      <c r="E2804" t="s">
        <v>7</v>
      </c>
      <c r="F2804" t="s">
        <v>9</v>
      </c>
      <c r="G2804">
        <v>1647</v>
      </c>
    </row>
    <row r="2805" spans="1:7" x14ac:dyDescent="0.25">
      <c r="A2805">
        <v>1139</v>
      </c>
      <c r="B2805">
        <v>52804</v>
      </c>
      <c r="C2805" s="2">
        <v>45609.290763587858</v>
      </c>
      <c r="D2805">
        <v>32</v>
      </c>
      <c r="E2805" t="s">
        <v>8</v>
      </c>
      <c r="F2805" t="s">
        <v>10</v>
      </c>
      <c r="G2805">
        <v>2761</v>
      </c>
    </row>
    <row r="2806" spans="1:7" x14ac:dyDescent="0.25">
      <c r="A2806">
        <v>1435</v>
      </c>
      <c r="B2806">
        <v>52805</v>
      </c>
      <c r="C2806" s="2">
        <v>45609.534178059352</v>
      </c>
      <c r="D2806">
        <v>35</v>
      </c>
      <c r="E2806" t="s">
        <v>7</v>
      </c>
      <c r="F2806" t="s">
        <v>11</v>
      </c>
      <c r="G2806">
        <v>2711</v>
      </c>
    </row>
    <row r="2807" spans="1:7" x14ac:dyDescent="0.25">
      <c r="A2807">
        <v>1509</v>
      </c>
      <c r="B2807">
        <v>52806</v>
      </c>
      <c r="C2807" s="2">
        <v>45609.777592530831</v>
      </c>
      <c r="D2807">
        <v>64</v>
      </c>
      <c r="E2807" t="s">
        <v>8</v>
      </c>
      <c r="F2807" t="s">
        <v>10</v>
      </c>
      <c r="G2807">
        <v>3071</v>
      </c>
    </row>
    <row r="2808" spans="1:7" x14ac:dyDescent="0.25">
      <c r="A2808">
        <v>1273</v>
      </c>
      <c r="B2808">
        <v>52807</v>
      </c>
      <c r="C2808" s="2">
        <v>45610.021007002317</v>
      </c>
      <c r="D2808">
        <v>19</v>
      </c>
      <c r="E2808" t="s">
        <v>7</v>
      </c>
      <c r="F2808" t="s">
        <v>12</v>
      </c>
      <c r="G2808">
        <v>562</v>
      </c>
    </row>
    <row r="2809" spans="1:7" x14ac:dyDescent="0.25">
      <c r="A2809">
        <v>1099</v>
      </c>
      <c r="B2809">
        <v>52808</v>
      </c>
      <c r="C2809" s="2">
        <v>45610.264421473817</v>
      </c>
      <c r="D2809">
        <v>46</v>
      </c>
      <c r="E2809" t="s">
        <v>8</v>
      </c>
      <c r="F2809" t="s">
        <v>12</v>
      </c>
      <c r="G2809">
        <v>3654</v>
      </c>
    </row>
    <row r="2810" spans="1:7" x14ac:dyDescent="0.25">
      <c r="A2810">
        <v>1104</v>
      </c>
      <c r="B2810">
        <v>52809</v>
      </c>
      <c r="C2810" s="2">
        <v>45610.507835945311</v>
      </c>
      <c r="D2810">
        <v>30</v>
      </c>
      <c r="E2810" t="s">
        <v>7</v>
      </c>
      <c r="F2810" t="s">
        <v>9</v>
      </c>
      <c r="G2810">
        <v>2998</v>
      </c>
    </row>
    <row r="2811" spans="1:7" x14ac:dyDescent="0.25">
      <c r="A2811">
        <v>1214</v>
      </c>
      <c r="B2811">
        <v>52810</v>
      </c>
      <c r="C2811" s="2">
        <v>45610.751250416797</v>
      </c>
      <c r="D2811">
        <v>21</v>
      </c>
      <c r="E2811" t="s">
        <v>8</v>
      </c>
      <c r="F2811" t="s">
        <v>10</v>
      </c>
      <c r="G2811">
        <v>4820</v>
      </c>
    </row>
    <row r="2812" spans="1:7" x14ac:dyDescent="0.25">
      <c r="A2812">
        <v>1165</v>
      </c>
      <c r="B2812">
        <v>52811</v>
      </c>
      <c r="C2812" s="2">
        <v>45610.994664888291</v>
      </c>
      <c r="D2812">
        <v>59</v>
      </c>
      <c r="E2812" t="s">
        <v>8</v>
      </c>
      <c r="F2812" t="s">
        <v>9</v>
      </c>
      <c r="G2812">
        <v>3653</v>
      </c>
    </row>
    <row r="2813" spans="1:7" x14ac:dyDescent="0.25">
      <c r="A2813">
        <v>1520</v>
      </c>
      <c r="B2813">
        <v>52812</v>
      </c>
      <c r="C2813" s="2">
        <v>45611.238079359777</v>
      </c>
      <c r="D2813">
        <v>62</v>
      </c>
      <c r="E2813" t="s">
        <v>8</v>
      </c>
      <c r="F2813" t="s">
        <v>10</v>
      </c>
      <c r="G2813">
        <v>3455</v>
      </c>
    </row>
    <row r="2814" spans="1:7" x14ac:dyDescent="0.25">
      <c r="A2814">
        <v>1284</v>
      </c>
      <c r="B2814">
        <v>52813</v>
      </c>
      <c r="C2814" s="2">
        <v>45611.48149383127</v>
      </c>
      <c r="D2814">
        <v>27</v>
      </c>
      <c r="E2814" t="s">
        <v>7</v>
      </c>
      <c r="F2814" t="s">
        <v>12</v>
      </c>
      <c r="G2814">
        <v>1417</v>
      </c>
    </row>
    <row r="2815" spans="1:7" x14ac:dyDescent="0.25">
      <c r="A2815">
        <v>1517</v>
      </c>
      <c r="B2815">
        <v>52814</v>
      </c>
      <c r="C2815" s="2">
        <v>45611.724908302756</v>
      </c>
      <c r="D2815">
        <v>48</v>
      </c>
      <c r="E2815" t="s">
        <v>7</v>
      </c>
      <c r="F2815" t="s">
        <v>9</v>
      </c>
      <c r="G2815">
        <v>1685</v>
      </c>
    </row>
    <row r="2816" spans="1:7" x14ac:dyDescent="0.25">
      <c r="A2816">
        <v>1164</v>
      </c>
      <c r="B2816">
        <v>52815</v>
      </c>
      <c r="C2816" s="2">
        <v>45611.96832277425</v>
      </c>
      <c r="D2816">
        <v>58</v>
      </c>
      <c r="E2816" t="s">
        <v>8</v>
      </c>
      <c r="F2816" t="s">
        <v>9</v>
      </c>
      <c r="G2816">
        <v>2303</v>
      </c>
    </row>
    <row r="2817" spans="1:7" x14ac:dyDescent="0.25">
      <c r="A2817">
        <v>1064</v>
      </c>
      <c r="B2817">
        <v>52816</v>
      </c>
      <c r="C2817" s="2">
        <v>45612.211737245743</v>
      </c>
      <c r="D2817">
        <v>25</v>
      </c>
      <c r="E2817" t="s">
        <v>7</v>
      </c>
      <c r="F2817" t="s">
        <v>10</v>
      </c>
      <c r="G2817">
        <v>2736</v>
      </c>
    </row>
    <row r="2818" spans="1:7" x14ac:dyDescent="0.25">
      <c r="A2818">
        <v>1091</v>
      </c>
      <c r="B2818">
        <v>52817</v>
      </c>
      <c r="C2818" s="2">
        <v>45612.455151717237</v>
      </c>
      <c r="D2818">
        <v>20</v>
      </c>
      <c r="E2818" t="s">
        <v>7</v>
      </c>
      <c r="F2818" t="s">
        <v>11</v>
      </c>
      <c r="G2818">
        <v>2055</v>
      </c>
    </row>
    <row r="2819" spans="1:7" x14ac:dyDescent="0.25">
      <c r="A2819">
        <v>1117</v>
      </c>
      <c r="B2819">
        <v>52818</v>
      </c>
      <c r="C2819" s="2">
        <v>45612.69856618873</v>
      </c>
      <c r="D2819">
        <v>63</v>
      </c>
      <c r="E2819" t="s">
        <v>7</v>
      </c>
      <c r="F2819" t="s">
        <v>10</v>
      </c>
      <c r="G2819">
        <v>1407</v>
      </c>
    </row>
    <row r="2820" spans="1:7" x14ac:dyDescent="0.25">
      <c r="A2820">
        <v>1267</v>
      </c>
      <c r="B2820">
        <v>52819</v>
      </c>
      <c r="C2820" s="2">
        <v>45612.941980660224</v>
      </c>
      <c r="D2820">
        <v>26</v>
      </c>
      <c r="E2820" t="s">
        <v>7</v>
      </c>
      <c r="F2820" t="s">
        <v>11</v>
      </c>
      <c r="G2820">
        <v>1648</v>
      </c>
    </row>
    <row r="2821" spans="1:7" x14ac:dyDescent="0.25">
      <c r="A2821">
        <v>1559</v>
      </c>
      <c r="B2821">
        <v>52820</v>
      </c>
      <c r="C2821" s="2">
        <v>45613.185395131703</v>
      </c>
      <c r="D2821">
        <v>47</v>
      </c>
      <c r="E2821" t="s">
        <v>7</v>
      </c>
      <c r="F2821" t="s">
        <v>10</v>
      </c>
      <c r="G2821">
        <v>1707</v>
      </c>
    </row>
    <row r="2822" spans="1:7" x14ac:dyDescent="0.25">
      <c r="A2822">
        <v>1140</v>
      </c>
      <c r="B2822">
        <v>52821</v>
      </c>
      <c r="C2822" s="2">
        <v>45613.428809603203</v>
      </c>
      <c r="D2822">
        <v>28</v>
      </c>
      <c r="E2822" t="s">
        <v>7</v>
      </c>
      <c r="F2822" t="s">
        <v>12</v>
      </c>
      <c r="G2822">
        <v>1203</v>
      </c>
    </row>
    <row r="2823" spans="1:7" x14ac:dyDescent="0.25">
      <c r="A2823">
        <v>1246</v>
      </c>
      <c r="B2823">
        <v>52822</v>
      </c>
      <c r="C2823" s="2">
        <v>45613.672224074689</v>
      </c>
      <c r="D2823">
        <v>52</v>
      </c>
      <c r="E2823" t="s">
        <v>7</v>
      </c>
      <c r="F2823" t="s">
        <v>9</v>
      </c>
      <c r="G2823">
        <v>1125</v>
      </c>
    </row>
    <row r="2824" spans="1:7" x14ac:dyDescent="0.25">
      <c r="A2824">
        <v>1395</v>
      </c>
      <c r="B2824">
        <v>52823</v>
      </c>
      <c r="C2824" s="2">
        <v>45613.915638546183</v>
      </c>
      <c r="D2824">
        <v>54</v>
      </c>
      <c r="E2824" t="s">
        <v>8</v>
      </c>
      <c r="F2824" t="s">
        <v>10</v>
      </c>
      <c r="G2824">
        <v>283</v>
      </c>
    </row>
    <row r="2825" spans="1:7" x14ac:dyDescent="0.25">
      <c r="A2825">
        <v>1487</v>
      </c>
      <c r="B2825">
        <v>52824</v>
      </c>
      <c r="C2825" s="2">
        <v>45614.159053017662</v>
      </c>
      <c r="D2825">
        <v>59</v>
      </c>
      <c r="E2825" t="s">
        <v>8</v>
      </c>
      <c r="F2825" t="s">
        <v>12</v>
      </c>
      <c r="G2825">
        <v>3942</v>
      </c>
    </row>
    <row r="2826" spans="1:7" x14ac:dyDescent="0.25">
      <c r="A2826">
        <v>1476</v>
      </c>
      <c r="B2826">
        <v>52825</v>
      </c>
      <c r="C2826" s="2">
        <v>45614.402467489163</v>
      </c>
      <c r="D2826">
        <v>30</v>
      </c>
      <c r="E2826" t="s">
        <v>7</v>
      </c>
      <c r="F2826" t="s">
        <v>10</v>
      </c>
      <c r="G2826">
        <v>4127</v>
      </c>
    </row>
    <row r="2827" spans="1:7" x14ac:dyDescent="0.25">
      <c r="A2827">
        <v>1517</v>
      </c>
      <c r="B2827">
        <v>52826</v>
      </c>
      <c r="C2827" s="2">
        <v>45614.645881960649</v>
      </c>
      <c r="D2827">
        <v>53</v>
      </c>
      <c r="E2827" t="s">
        <v>8</v>
      </c>
      <c r="F2827" t="s">
        <v>9</v>
      </c>
      <c r="G2827">
        <v>1742</v>
      </c>
    </row>
    <row r="2828" spans="1:7" x14ac:dyDescent="0.25">
      <c r="A2828">
        <v>1184</v>
      </c>
      <c r="B2828">
        <v>52827</v>
      </c>
      <c r="C2828" s="2">
        <v>45614.889296432142</v>
      </c>
      <c r="D2828">
        <v>30</v>
      </c>
      <c r="E2828" t="s">
        <v>8</v>
      </c>
      <c r="F2828" t="s">
        <v>10</v>
      </c>
      <c r="G2828">
        <v>1185</v>
      </c>
    </row>
    <row r="2829" spans="1:7" x14ac:dyDescent="0.25">
      <c r="A2829">
        <v>1020</v>
      </c>
      <c r="B2829">
        <v>52828</v>
      </c>
      <c r="C2829" s="2">
        <v>45615.132710903643</v>
      </c>
      <c r="D2829">
        <v>29</v>
      </c>
      <c r="E2829" t="s">
        <v>8</v>
      </c>
      <c r="F2829" t="s">
        <v>11</v>
      </c>
      <c r="G2829">
        <v>4431</v>
      </c>
    </row>
    <row r="2830" spans="1:7" x14ac:dyDescent="0.25">
      <c r="A2830">
        <v>1558</v>
      </c>
      <c r="B2830">
        <v>52829</v>
      </c>
      <c r="C2830" s="2">
        <v>45615.376125375107</v>
      </c>
      <c r="D2830">
        <v>54</v>
      </c>
      <c r="E2830" t="s">
        <v>7</v>
      </c>
      <c r="F2830" t="s">
        <v>9</v>
      </c>
      <c r="G2830">
        <v>1108</v>
      </c>
    </row>
    <row r="2831" spans="1:7" x14ac:dyDescent="0.25">
      <c r="A2831">
        <v>1524</v>
      </c>
      <c r="B2831">
        <v>52830</v>
      </c>
      <c r="C2831" s="2">
        <v>45615.619539846608</v>
      </c>
      <c r="D2831">
        <v>27</v>
      </c>
      <c r="E2831" t="s">
        <v>7</v>
      </c>
      <c r="F2831" t="s">
        <v>11</v>
      </c>
      <c r="G2831">
        <v>3108</v>
      </c>
    </row>
    <row r="2832" spans="1:7" x14ac:dyDescent="0.25">
      <c r="A2832">
        <v>1582</v>
      </c>
      <c r="B2832">
        <v>52831</v>
      </c>
      <c r="C2832" s="2">
        <v>45615.862954318101</v>
      </c>
      <c r="D2832">
        <v>26</v>
      </c>
      <c r="E2832" t="s">
        <v>7</v>
      </c>
      <c r="F2832" t="s">
        <v>12</v>
      </c>
      <c r="G2832">
        <v>4885</v>
      </c>
    </row>
    <row r="2833" spans="1:7" x14ac:dyDescent="0.25">
      <c r="A2833">
        <v>1529</v>
      </c>
      <c r="B2833">
        <v>52832</v>
      </c>
      <c r="C2833" s="2">
        <v>45616.106368789588</v>
      </c>
      <c r="D2833">
        <v>24</v>
      </c>
      <c r="E2833" t="s">
        <v>7</v>
      </c>
      <c r="F2833" t="s">
        <v>12</v>
      </c>
      <c r="G2833">
        <v>2937</v>
      </c>
    </row>
    <row r="2834" spans="1:7" x14ac:dyDescent="0.25">
      <c r="A2834">
        <v>1147</v>
      </c>
      <c r="B2834">
        <v>52833</v>
      </c>
      <c r="C2834" s="2">
        <v>45616.349783261066</v>
      </c>
      <c r="D2834">
        <v>19</v>
      </c>
      <c r="E2834" t="s">
        <v>7</v>
      </c>
      <c r="F2834" t="s">
        <v>10</v>
      </c>
      <c r="G2834">
        <v>2786</v>
      </c>
    </row>
    <row r="2835" spans="1:7" x14ac:dyDescent="0.25">
      <c r="A2835">
        <v>1304</v>
      </c>
      <c r="B2835">
        <v>52834</v>
      </c>
      <c r="C2835" s="2">
        <v>45616.593197732567</v>
      </c>
      <c r="D2835">
        <v>40</v>
      </c>
      <c r="E2835" t="s">
        <v>8</v>
      </c>
      <c r="F2835" t="s">
        <v>11</v>
      </c>
      <c r="G2835">
        <v>1343</v>
      </c>
    </row>
    <row r="2836" spans="1:7" x14ac:dyDescent="0.25">
      <c r="A2836">
        <v>1582</v>
      </c>
      <c r="B2836">
        <v>52835</v>
      </c>
      <c r="C2836" s="2">
        <v>45616.836612204061</v>
      </c>
      <c r="D2836">
        <v>56</v>
      </c>
      <c r="E2836" t="s">
        <v>7</v>
      </c>
      <c r="F2836" t="s">
        <v>11</v>
      </c>
      <c r="G2836">
        <v>1531</v>
      </c>
    </row>
    <row r="2837" spans="1:7" x14ac:dyDescent="0.25">
      <c r="A2837">
        <v>1228</v>
      </c>
      <c r="B2837">
        <v>52836</v>
      </c>
      <c r="C2837" s="2">
        <v>45617.080026675547</v>
      </c>
      <c r="D2837">
        <v>57</v>
      </c>
      <c r="E2837" t="s">
        <v>8</v>
      </c>
      <c r="F2837" t="s">
        <v>9</v>
      </c>
      <c r="G2837">
        <v>3548</v>
      </c>
    </row>
    <row r="2838" spans="1:7" x14ac:dyDescent="0.25">
      <c r="A2838">
        <v>1102</v>
      </c>
      <c r="B2838">
        <v>52837</v>
      </c>
      <c r="C2838" s="2">
        <v>45617.323441147048</v>
      </c>
      <c r="D2838">
        <v>56</v>
      </c>
      <c r="E2838" t="s">
        <v>7</v>
      </c>
      <c r="F2838" t="s">
        <v>11</v>
      </c>
      <c r="G2838">
        <v>1753</v>
      </c>
    </row>
    <row r="2839" spans="1:7" x14ac:dyDescent="0.25">
      <c r="A2839">
        <v>1587</v>
      </c>
      <c r="B2839">
        <v>52838</v>
      </c>
      <c r="C2839" s="2">
        <v>45617.566855618526</v>
      </c>
      <c r="D2839">
        <v>38</v>
      </c>
      <c r="E2839" t="s">
        <v>8</v>
      </c>
      <c r="F2839" t="s">
        <v>11</v>
      </c>
      <c r="G2839">
        <v>2542</v>
      </c>
    </row>
    <row r="2840" spans="1:7" x14ac:dyDescent="0.25">
      <c r="A2840">
        <v>1417</v>
      </c>
      <c r="B2840">
        <v>52839</v>
      </c>
      <c r="C2840" s="2">
        <v>45617.81027009002</v>
      </c>
      <c r="D2840">
        <v>40</v>
      </c>
      <c r="E2840" t="s">
        <v>7</v>
      </c>
      <c r="F2840" t="s">
        <v>9</v>
      </c>
      <c r="G2840">
        <v>2006</v>
      </c>
    </row>
    <row r="2841" spans="1:7" x14ac:dyDescent="0.25">
      <c r="A2841">
        <v>1216</v>
      </c>
      <c r="B2841">
        <v>52840</v>
      </c>
      <c r="C2841" s="2">
        <v>45618.053684561513</v>
      </c>
      <c r="D2841">
        <v>46</v>
      </c>
      <c r="E2841" t="s">
        <v>7</v>
      </c>
      <c r="F2841" t="s">
        <v>9</v>
      </c>
      <c r="G2841">
        <v>2300</v>
      </c>
    </row>
    <row r="2842" spans="1:7" x14ac:dyDescent="0.25">
      <c r="A2842">
        <v>1407</v>
      </c>
      <c r="B2842">
        <v>52841</v>
      </c>
      <c r="C2842" s="2">
        <v>45618.297099033007</v>
      </c>
      <c r="D2842">
        <v>31</v>
      </c>
      <c r="E2842" t="s">
        <v>7</v>
      </c>
      <c r="F2842" t="s">
        <v>11</v>
      </c>
      <c r="G2842">
        <v>1005</v>
      </c>
    </row>
    <row r="2843" spans="1:7" x14ac:dyDescent="0.25">
      <c r="A2843">
        <v>1399</v>
      </c>
      <c r="B2843">
        <v>52842</v>
      </c>
      <c r="C2843" s="2">
        <v>45618.540513504493</v>
      </c>
      <c r="D2843">
        <v>43</v>
      </c>
      <c r="E2843" t="s">
        <v>7</v>
      </c>
      <c r="F2843" t="s">
        <v>10</v>
      </c>
      <c r="G2843">
        <v>4347</v>
      </c>
    </row>
    <row r="2844" spans="1:7" x14ac:dyDescent="0.25">
      <c r="A2844">
        <v>1499</v>
      </c>
      <c r="B2844">
        <v>52843</v>
      </c>
      <c r="C2844" s="2">
        <v>45618.783927975986</v>
      </c>
      <c r="D2844">
        <v>22</v>
      </c>
      <c r="E2844" t="s">
        <v>7</v>
      </c>
      <c r="F2844" t="s">
        <v>9</v>
      </c>
      <c r="G2844">
        <v>2975</v>
      </c>
    </row>
    <row r="2845" spans="1:7" x14ac:dyDescent="0.25">
      <c r="A2845">
        <v>1465</v>
      </c>
      <c r="B2845">
        <v>52844</v>
      </c>
      <c r="C2845" s="2">
        <v>45619.02734244748</v>
      </c>
      <c r="D2845">
        <v>48</v>
      </c>
      <c r="E2845" t="s">
        <v>7</v>
      </c>
      <c r="F2845" t="s">
        <v>9</v>
      </c>
      <c r="G2845">
        <v>271</v>
      </c>
    </row>
    <row r="2846" spans="1:7" x14ac:dyDescent="0.25">
      <c r="A2846">
        <v>1082</v>
      </c>
      <c r="B2846">
        <v>52845</v>
      </c>
      <c r="C2846" s="2">
        <v>45619.270756918973</v>
      </c>
      <c r="D2846">
        <v>42</v>
      </c>
      <c r="E2846" t="s">
        <v>8</v>
      </c>
      <c r="F2846" t="s">
        <v>11</v>
      </c>
      <c r="G2846">
        <v>227</v>
      </c>
    </row>
    <row r="2847" spans="1:7" x14ac:dyDescent="0.25">
      <c r="A2847">
        <v>1365</v>
      </c>
      <c r="B2847">
        <v>52846</v>
      </c>
      <c r="C2847" s="2">
        <v>45619.51417139046</v>
      </c>
      <c r="D2847">
        <v>48</v>
      </c>
      <c r="E2847" t="s">
        <v>7</v>
      </c>
      <c r="F2847" t="s">
        <v>11</v>
      </c>
      <c r="G2847">
        <v>668</v>
      </c>
    </row>
    <row r="2848" spans="1:7" x14ac:dyDescent="0.25">
      <c r="A2848">
        <v>1163</v>
      </c>
      <c r="B2848">
        <v>52847</v>
      </c>
      <c r="C2848" s="2">
        <v>45619.757585861953</v>
      </c>
      <c r="D2848">
        <v>37</v>
      </c>
      <c r="E2848" t="s">
        <v>8</v>
      </c>
      <c r="F2848" t="s">
        <v>9</v>
      </c>
      <c r="G2848">
        <v>4183</v>
      </c>
    </row>
    <row r="2849" spans="1:7" x14ac:dyDescent="0.25">
      <c r="A2849">
        <v>1048</v>
      </c>
      <c r="B2849">
        <v>52848</v>
      </c>
      <c r="C2849" s="2">
        <v>45620.001000333439</v>
      </c>
      <c r="D2849">
        <v>61</v>
      </c>
      <c r="E2849" t="s">
        <v>7</v>
      </c>
      <c r="F2849" t="s">
        <v>11</v>
      </c>
      <c r="G2849">
        <v>963</v>
      </c>
    </row>
    <row r="2850" spans="1:7" x14ac:dyDescent="0.25">
      <c r="A2850">
        <v>1511</v>
      </c>
      <c r="B2850">
        <v>52849</v>
      </c>
      <c r="C2850" s="2">
        <v>45620.244414804933</v>
      </c>
      <c r="D2850">
        <v>34</v>
      </c>
      <c r="E2850" t="s">
        <v>8</v>
      </c>
      <c r="F2850" t="s">
        <v>9</v>
      </c>
      <c r="G2850">
        <v>1624</v>
      </c>
    </row>
    <row r="2851" spans="1:7" x14ac:dyDescent="0.25">
      <c r="A2851">
        <v>1329</v>
      </c>
      <c r="B2851">
        <v>52850</v>
      </c>
      <c r="C2851" s="2">
        <v>45620.487829276433</v>
      </c>
      <c r="D2851">
        <v>62</v>
      </c>
      <c r="E2851" t="s">
        <v>8</v>
      </c>
      <c r="F2851" t="s">
        <v>10</v>
      </c>
      <c r="G2851">
        <v>2448</v>
      </c>
    </row>
    <row r="2852" spans="1:7" x14ac:dyDescent="0.25">
      <c r="A2852">
        <v>1116</v>
      </c>
      <c r="B2852">
        <v>52851</v>
      </c>
      <c r="C2852" s="2">
        <v>45620.731243747898</v>
      </c>
      <c r="D2852">
        <v>19</v>
      </c>
      <c r="E2852" t="s">
        <v>8</v>
      </c>
      <c r="F2852" t="s">
        <v>10</v>
      </c>
      <c r="G2852">
        <v>4032</v>
      </c>
    </row>
    <row r="2853" spans="1:7" x14ac:dyDescent="0.25">
      <c r="A2853">
        <v>1337</v>
      </c>
      <c r="B2853">
        <v>52852</v>
      </c>
      <c r="C2853" s="2">
        <v>45620.974658219398</v>
      </c>
      <c r="D2853">
        <v>42</v>
      </c>
      <c r="E2853" t="s">
        <v>8</v>
      </c>
      <c r="F2853" t="s">
        <v>9</v>
      </c>
      <c r="G2853">
        <v>4260</v>
      </c>
    </row>
    <row r="2854" spans="1:7" x14ac:dyDescent="0.25">
      <c r="A2854">
        <v>1147</v>
      </c>
      <c r="B2854">
        <v>52853</v>
      </c>
      <c r="C2854" s="2">
        <v>45621.218072690892</v>
      </c>
      <c r="D2854">
        <v>30</v>
      </c>
      <c r="E2854" t="s">
        <v>8</v>
      </c>
      <c r="F2854" t="s">
        <v>9</v>
      </c>
      <c r="G2854">
        <v>4270</v>
      </c>
    </row>
    <row r="2855" spans="1:7" x14ac:dyDescent="0.25">
      <c r="A2855">
        <v>1575</v>
      </c>
      <c r="B2855">
        <v>52854</v>
      </c>
      <c r="C2855" s="2">
        <v>45621.461487162393</v>
      </c>
      <c r="D2855">
        <v>56</v>
      </c>
      <c r="E2855" t="s">
        <v>8</v>
      </c>
      <c r="F2855" t="s">
        <v>12</v>
      </c>
      <c r="G2855">
        <v>1875</v>
      </c>
    </row>
    <row r="2856" spans="1:7" x14ac:dyDescent="0.25">
      <c r="A2856">
        <v>1323</v>
      </c>
      <c r="B2856">
        <v>52855</v>
      </c>
      <c r="C2856" s="2">
        <v>45621.704901633879</v>
      </c>
      <c r="D2856">
        <v>45</v>
      </c>
      <c r="E2856" t="s">
        <v>7</v>
      </c>
      <c r="F2856" t="s">
        <v>12</v>
      </c>
      <c r="G2856">
        <v>759</v>
      </c>
    </row>
    <row r="2857" spans="1:7" x14ac:dyDescent="0.25">
      <c r="A2857">
        <v>1443</v>
      </c>
      <c r="B2857">
        <v>52856</v>
      </c>
      <c r="C2857" s="2">
        <v>45621.948316105358</v>
      </c>
      <c r="D2857">
        <v>59</v>
      </c>
      <c r="E2857" t="s">
        <v>8</v>
      </c>
      <c r="F2857" t="s">
        <v>11</v>
      </c>
      <c r="G2857">
        <v>4674</v>
      </c>
    </row>
    <row r="2858" spans="1:7" x14ac:dyDescent="0.25">
      <c r="A2858">
        <v>1013</v>
      </c>
      <c r="B2858">
        <v>52857</v>
      </c>
      <c r="C2858" s="2">
        <v>45622.191730576851</v>
      </c>
      <c r="D2858">
        <v>23</v>
      </c>
      <c r="E2858" t="s">
        <v>7</v>
      </c>
      <c r="F2858" t="s">
        <v>11</v>
      </c>
      <c r="G2858">
        <v>4031</v>
      </c>
    </row>
    <row r="2859" spans="1:7" x14ac:dyDescent="0.25">
      <c r="A2859">
        <v>1494</v>
      </c>
      <c r="B2859">
        <v>52858</v>
      </c>
      <c r="C2859" s="2">
        <v>45622.435145048337</v>
      </c>
      <c r="D2859">
        <v>20</v>
      </c>
      <c r="E2859" t="s">
        <v>7</v>
      </c>
      <c r="F2859" t="s">
        <v>9</v>
      </c>
      <c r="G2859">
        <v>2118</v>
      </c>
    </row>
    <row r="2860" spans="1:7" x14ac:dyDescent="0.25">
      <c r="A2860">
        <v>1287</v>
      </c>
      <c r="B2860">
        <v>52859</v>
      </c>
      <c r="C2860" s="2">
        <v>45622.678559519838</v>
      </c>
      <c r="D2860">
        <v>52</v>
      </c>
      <c r="E2860" t="s">
        <v>8</v>
      </c>
      <c r="F2860" t="s">
        <v>9</v>
      </c>
      <c r="G2860">
        <v>278</v>
      </c>
    </row>
    <row r="2861" spans="1:7" x14ac:dyDescent="0.25">
      <c r="A2861">
        <v>1114</v>
      </c>
      <c r="B2861">
        <v>52860</v>
      </c>
      <c r="C2861" s="2">
        <v>45622.921973991317</v>
      </c>
      <c r="D2861">
        <v>35</v>
      </c>
      <c r="E2861" t="s">
        <v>8</v>
      </c>
      <c r="F2861" t="s">
        <v>12</v>
      </c>
      <c r="G2861">
        <v>3847</v>
      </c>
    </row>
    <row r="2862" spans="1:7" x14ac:dyDescent="0.25">
      <c r="A2862">
        <v>1480</v>
      </c>
      <c r="B2862">
        <v>52861</v>
      </c>
      <c r="C2862" s="2">
        <v>45623.16538846281</v>
      </c>
      <c r="D2862">
        <v>28</v>
      </c>
      <c r="E2862" t="s">
        <v>7</v>
      </c>
      <c r="F2862" t="s">
        <v>12</v>
      </c>
      <c r="G2862">
        <v>1231</v>
      </c>
    </row>
    <row r="2863" spans="1:7" x14ac:dyDescent="0.25">
      <c r="A2863">
        <v>1022</v>
      </c>
      <c r="B2863">
        <v>52862</v>
      </c>
      <c r="C2863" s="2">
        <v>45623.408802934297</v>
      </c>
      <c r="D2863">
        <v>37</v>
      </c>
      <c r="E2863" t="s">
        <v>8</v>
      </c>
      <c r="F2863" t="s">
        <v>9</v>
      </c>
      <c r="G2863">
        <v>2272</v>
      </c>
    </row>
    <row r="2864" spans="1:7" x14ac:dyDescent="0.25">
      <c r="A2864">
        <v>1349</v>
      </c>
      <c r="B2864">
        <v>52863</v>
      </c>
      <c r="C2864" s="2">
        <v>45623.652217405797</v>
      </c>
      <c r="D2864">
        <v>22</v>
      </c>
      <c r="E2864" t="s">
        <v>8</v>
      </c>
      <c r="F2864" t="s">
        <v>10</v>
      </c>
      <c r="G2864">
        <v>4745</v>
      </c>
    </row>
    <row r="2865" spans="1:7" x14ac:dyDescent="0.25">
      <c r="A2865">
        <v>1566</v>
      </c>
      <c r="B2865">
        <v>52864</v>
      </c>
      <c r="C2865" s="2">
        <v>45623.895631877291</v>
      </c>
      <c r="D2865">
        <v>36</v>
      </c>
      <c r="E2865" t="s">
        <v>8</v>
      </c>
      <c r="F2865" t="s">
        <v>10</v>
      </c>
      <c r="G2865">
        <v>1684</v>
      </c>
    </row>
    <row r="2866" spans="1:7" x14ac:dyDescent="0.25">
      <c r="A2866">
        <v>1320</v>
      </c>
      <c r="B2866">
        <v>52865</v>
      </c>
      <c r="C2866" s="2">
        <v>45624.13904634877</v>
      </c>
      <c r="D2866">
        <v>39</v>
      </c>
      <c r="E2866" t="s">
        <v>8</v>
      </c>
      <c r="F2866" t="s">
        <v>11</v>
      </c>
      <c r="G2866">
        <v>2445</v>
      </c>
    </row>
    <row r="2867" spans="1:7" x14ac:dyDescent="0.25">
      <c r="A2867">
        <v>1126</v>
      </c>
      <c r="B2867">
        <v>52866</v>
      </c>
      <c r="C2867" s="2">
        <v>45624.382460820263</v>
      </c>
      <c r="D2867">
        <v>36</v>
      </c>
      <c r="E2867" t="s">
        <v>8</v>
      </c>
      <c r="F2867" t="s">
        <v>9</v>
      </c>
      <c r="G2867">
        <v>1750</v>
      </c>
    </row>
    <row r="2868" spans="1:7" x14ac:dyDescent="0.25">
      <c r="A2868">
        <v>1277</v>
      </c>
      <c r="B2868">
        <v>52867</v>
      </c>
      <c r="C2868" s="2">
        <v>45624.625875291757</v>
      </c>
      <c r="D2868">
        <v>64</v>
      </c>
      <c r="E2868" t="s">
        <v>8</v>
      </c>
      <c r="F2868" t="s">
        <v>9</v>
      </c>
      <c r="G2868">
        <v>4985</v>
      </c>
    </row>
    <row r="2869" spans="1:7" x14ac:dyDescent="0.25">
      <c r="A2869">
        <v>1204</v>
      </c>
      <c r="B2869">
        <v>52868</v>
      </c>
      <c r="C2869" s="2">
        <v>45624.86928976325</v>
      </c>
      <c r="D2869">
        <v>33</v>
      </c>
      <c r="E2869" t="s">
        <v>8</v>
      </c>
      <c r="F2869" t="s">
        <v>11</v>
      </c>
      <c r="G2869">
        <v>4882</v>
      </c>
    </row>
    <row r="2870" spans="1:7" x14ac:dyDescent="0.25">
      <c r="A2870">
        <v>1194</v>
      </c>
      <c r="B2870">
        <v>52869</v>
      </c>
      <c r="C2870" s="2">
        <v>45625.112704234743</v>
      </c>
      <c r="D2870">
        <v>41</v>
      </c>
      <c r="E2870" t="s">
        <v>7</v>
      </c>
      <c r="F2870" t="s">
        <v>12</v>
      </c>
      <c r="G2870">
        <v>2029</v>
      </c>
    </row>
    <row r="2871" spans="1:7" x14ac:dyDescent="0.25">
      <c r="A2871">
        <v>1547</v>
      </c>
      <c r="B2871">
        <v>52870</v>
      </c>
      <c r="C2871" s="2">
        <v>45625.35611870623</v>
      </c>
      <c r="D2871">
        <v>58</v>
      </c>
      <c r="E2871" t="s">
        <v>8</v>
      </c>
      <c r="F2871" t="s">
        <v>12</v>
      </c>
      <c r="G2871">
        <v>3951</v>
      </c>
    </row>
    <row r="2872" spans="1:7" x14ac:dyDescent="0.25">
      <c r="A2872">
        <v>1286</v>
      </c>
      <c r="B2872">
        <v>52871</v>
      </c>
      <c r="C2872" s="2">
        <v>45625.599533177723</v>
      </c>
      <c r="D2872">
        <v>21</v>
      </c>
      <c r="E2872" t="s">
        <v>7</v>
      </c>
      <c r="F2872" t="s">
        <v>10</v>
      </c>
      <c r="G2872">
        <v>4922</v>
      </c>
    </row>
    <row r="2873" spans="1:7" x14ac:dyDescent="0.25">
      <c r="A2873">
        <v>1057</v>
      </c>
      <c r="B2873">
        <v>52872</v>
      </c>
      <c r="C2873" s="2">
        <v>45625.842947649217</v>
      </c>
      <c r="D2873">
        <v>32</v>
      </c>
      <c r="E2873" t="s">
        <v>7</v>
      </c>
      <c r="F2873" t="s">
        <v>9</v>
      </c>
      <c r="G2873">
        <v>2231</v>
      </c>
    </row>
    <row r="2874" spans="1:7" x14ac:dyDescent="0.25">
      <c r="A2874">
        <v>1303</v>
      </c>
      <c r="B2874">
        <v>52873</v>
      </c>
      <c r="C2874" s="2">
        <v>45626.086362120703</v>
      </c>
      <c r="D2874">
        <v>42</v>
      </c>
      <c r="E2874" t="s">
        <v>7</v>
      </c>
      <c r="F2874" t="s">
        <v>12</v>
      </c>
      <c r="G2874">
        <v>4659</v>
      </c>
    </row>
    <row r="2875" spans="1:7" x14ac:dyDescent="0.25">
      <c r="A2875">
        <v>1163</v>
      </c>
      <c r="B2875">
        <v>52874</v>
      </c>
      <c r="C2875" s="2">
        <v>45626.329776592189</v>
      </c>
      <c r="D2875">
        <v>61</v>
      </c>
      <c r="E2875" t="s">
        <v>7</v>
      </c>
      <c r="F2875" t="s">
        <v>10</v>
      </c>
      <c r="G2875">
        <v>4056</v>
      </c>
    </row>
    <row r="2876" spans="1:7" x14ac:dyDescent="0.25">
      <c r="A2876">
        <v>1019</v>
      </c>
      <c r="B2876">
        <v>52875</v>
      </c>
      <c r="C2876" s="2">
        <v>45626.573191063682</v>
      </c>
      <c r="D2876">
        <v>52</v>
      </c>
      <c r="E2876" t="s">
        <v>8</v>
      </c>
      <c r="F2876" t="s">
        <v>10</v>
      </c>
      <c r="G2876">
        <v>2382</v>
      </c>
    </row>
    <row r="2877" spans="1:7" x14ac:dyDescent="0.25">
      <c r="A2877">
        <v>1370</v>
      </c>
      <c r="B2877">
        <v>52876</v>
      </c>
      <c r="C2877" s="2">
        <v>45626.816605535183</v>
      </c>
      <c r="D2877">
        <v>31</v>
      </c>
      <c r="E2877" t="s">
        <v>7</v>
      </c>
      <c r="F2877" t="s">
        <v>10</v>
      </c>
      <c r="G2877">
        <v>4669</v>
      </c>
    </row>
    <row r="2878" spans="1:7" x14ac:dyDescent="0.25">
      <c r="A2878">
        <v>1264</v>
      </c>
      <c r="B2878">
        <v>52877</v>
      </c>
      <c r="C2878" s="2">
        <v>45627.060020006669</v>
      </c>
      <c r="D2878">
        <v>36</v>
      </c>
      <c r="E2878" t="s">
        <v>7</v>
      </c>
      <c r="F2878" t="s">
        <v>12</v>
      </c>
      <c r="G2878">
        <v>2294</v>
      </c>
    </row>
    <row r="2879" spans="1:7" x14ac:dyDescent="0.25">
      <c r="A2879">
        <v>1113</v>
      </c>
      <c r="B2879">
        <v>52878</v>
      </c>
      <c r="C2879" s="2">
        <v>45627.303434478148</v>
      </c>
      <c r="D2879">
        <v>55</v>
      </c>
      <c r="E2879" t="s">
        <v>7</v>
      </c>
      <c r="F2879" t="s">
        <v>12</v>
      </c>
      <c r="G2879">
        <v>4103</v>
      </c>
    </row>
    <row r="2880" spans="1:7" x14ac:dyDescent="0.25">
      <c r="A2880">
        <v>1488</v>
      </c>
      <c r="B2880">
        <v>52879</v>
      </c>
      <c r="C2880" s="2">
        <v>45627.546848949642</v>
      </c>
      <c r="D2880">
        <v>53</v>
      </c>
      <c r="E2880" t="s">
        <v>7</v>
      </c>
      <c r="F2880" t="s">
        <v>9</v>
      </c>
      <c r="G2880">
        <v>3232</v>
      </c>
    </row>
    <row r="2881" spans="1:7" x14ac:dyDescent="0.25">
      <c r="A2881">
        <v>1327</v>
      </c>
      <c r="B2881">
        <v>52880</v>
      </c>
      <c r="C2881" s="2">
        <v>45627.790263421142</v>
      </c>
      <c r="D2881">
        <v>24</v>
      </c>
      <c r="E2881" t="s">
        <v>7</v>
      </c>
      <c r="F2881" t="s">
        <v>9</v>
      </c>
      <c r="G2881">
        <v>1748</v>
      </c>
    </row>
    <row r="2882" spans="1:7" x14ac:dyDescent="0.25">
      <c r="A2882">
        <v>1542</v>
      </c>
      <c r="B2882">
        <v>52881</v>
      </c>
      <c r="C2882" s="2">
        <v>45628.033677892628</v>
      </c>
      <c r="D2882">
        <v>47</v>
      </c>
      <c r="E2882" t="s">
        <v>8</v>
      </c>
      <c r="F2882" t="s">
        <v>10</v>
      </c>
      <c r="G2882">
        <v>567</v>
      </c>
    </row>
    <row r="2883" spans="1:7" x14ac:dyDescent="0.25">
      <c r="A2883">
        <v>1579</v>
      </c>
      <c r="B2883">
        <v>52882</v>
      </c>
      <c r="C2883" s="2">
        <v>45628.277092364122</v>
      </c>
      <c r="D2883">
        <v>36</v>
      </c>
      <c r="E2883" t="s">
        <v>8</v>
      </c>
      <c r="F2883" t="s">
        <v>10</v>
      </c>
      <c r="G2883">
        <v>264</v>
      </c>
    </row>
    <row r="2884" spans="1:7" x14ac:dyDescent="0.25">
      <c r="A2884">
        <v>1065</v>
      </c>
      <c r="B2884">
        <v>52883</v>
      </c>
      <c r="C2884" s="2">
        <v>45628.520506835601</v>
      </c>
      <c r="D2884">
        <v>42</v>
      </c>
      <c r="E2884" t="s">
        <v>7</v>
      </c>
      <c r="F2884" t="s">
        <v>12</v>
      </c>
      <c r="G2884">
        <v>3499</v>
      </c>
    </row>
    <row r="2885" spans="1:7" x14ac:dyDescent="0.25">
      <c r="A2885">
        <v>1292</v>
      </c>
      <c r="B2885">
        <v>52884</v>
      </c>
      <c r="C2885" s="2">
        <v>45628.763921307087</v>
      </c>
      <c r="D2885">
        <v>33</v>
      </c>
      <c r="E2885" t="s">
        <v>8</v>
      </c>
      <c r="F2885" t="s">
        <v>12</v>
      </c>
      <c r="G2885">
        <v>2235</v>
      </c>
    </row>
    <row r="2886" spans="1:7" x14ac:dyDescent="0.25">
      <c r="A2886">
        <v>1025</v>
      </c>
      <c r="B2886">
        <v>52885</v>
      </c>
      <c r="C2886" s="2">
        <v>45629.007335778588</v>
      </c>
      <c r="D2886">
        <v>64</v>
      </c>
      <c r="E2886" t="s">
        <v>8</v>
      </c>
      <c r="F2886" t="s">
        <v>9</v>
      </c>
      <c r="G2886">
        <v>3063</v>
      </c>
    </row>
    <row r="2887" spans="1:7" x14ac:dyDescent="0.25">
      <c r="A2887">
        <v>1549</v>
      </c>
      <c r="B2887">
        <v>52886</v>
      </c>
      <c r="C2887" s="2">
        <v>45629.250750250081</v>
      </c>
      <c r="D2887">
        <v>57</v>
      </c>
      <c r="E2887" t="s">
        <v>7</v>
      </c>
      <c r="F2887" t="s">
        <v>9</v>
      </c>
      <c r="G2887">
        <v>2076</v>
      </c>
    </row>
    <row r="2888" spans="1:7" x14ac:dyDescent="0.25">
      <c r="A2888">
        <v>1001</v>
      </c>
      <c r="B2888">
        <v>52887</v>
      </c>
      <c r="C2888" s="2">
        <v>45629.49416472156</v>
      </c>
      <c r="D2888">
        <v>25</v>
      </c>
      <c r="E2888" t="s">
        <v>7</v>
      </c>
      <c r="F2888" t="s">
        <v>11</v>
      </c>
      <c r="G2888">
        <v>2428</v>
      </c>
    </row>
    <row r="2889" spans="1:7" x14ac:dyDescent="0.25">
      <c r="A2889">
        <v>1549</v>
      </c>
      <c r="B2889">
        <v>52888</v>
      </c>
      <c r="C2889" s="2">
        <v>45629.737579193054</v>
      </c>
      <c r="D2889">
        <v>35</v>
      </c>
      <c r="E2889" t="s">
        <v>7</v>
      </c>
      <c r="F2889" t="s">
        <v>9</v>
      </c>
      <c r="G2889">
        <v>796</v>
      </c>
    </row>
    <row r="2890" spans="1:7" x14ac:dyDescent="0.25">
      <c r="A2890">
        <v>1141</v>
      </c>
      <c r="B2890">
        <v>52889</v>
      </c>
      <c r="C2890" s="2">
        <v>45629.980993664547</v>
      </c>
      <c r="D2890">
        <v>45</v>
      </c>
      <c r="E2890" t="s">
        <v>8</v>
      </c>
      <c r="F2890" t="s">
        <v>12</v>
      </c>
      <c r="G2890">
        <v>3806</v>
      </c>
    </row>
    <row r="2891" spans="1:7" x14ac:dyDescent="0.25">
      <c r="A2891">
        <v>1188</v>
      </c>
      <c r="B2891">
        <v>52890</v>
      </c>
      <c r="C2891" s="2">
        <v>45630.22440813604</v>
      </c>
      <c r="D2891">
        <v>33</v>
      </c>
      <c r="E2891" t="s">
        <v>7</v>
      </c>
      <c r="F2891" t="s">
        <v>10</v>
      </c>
      <c r="G2891">
        <v>2874</v>
      </c>
    </row>
    <row r="2892" spans="1:7" x14ac:dyDescent="0.25">
      <c r="A2892">
        <v>1128</v>
      </c>
      <c r="B2892">
        <v>52891</v>
      </c>
      <c r="C2892" s="2">
        <v>45630.467822607527</v>
      </c>
      <c r="D2892">
        <v>36</v>
      </c>
      <c r="E2892" t="s">
        <v>8</v>
      </c>
      <c r="F2892" t="s">
        <v>11</v>
      </c>
      <c r="G2892">
        <v>4089</v>
      </c>
    </row>
    <row r="2893" spans="1:7" x14ac:dyDescent="0.25">
      <c r="A2893">
        <v>1201</v>
      </c>
      <c r="B2893">
        <v>52892</v>
      </c>
      <c r="C2893" s="2">
        <v>45630.711237079013</v>
      </c>
      <c r="D2893">
        <v>59</v>
      </c>
      <c r="E2893" t="s">
        <v>8</v>
      </c>
      <c r="F2893" t="s">
        <v>9</v>
      </c>
      <c r="G2893">
        <v>3706</v>
      </c>
    </row>
    <row r="2894" spans="1:7" x14ac:dyDescent="0.25">
      <c r="A2894">
        <v>1127</v>
      </c>
      <c r="B2894">
        <v>52893</v>
      </c>
      <c r="C2894" s="2">
        <v>45630.954651550514</v>
      </c>
      <c r="D2894">
        <v>34</v>
      </c>
      <c r="E2894" t="s">
        <v>8</v>
      </c>
      <c r="F2894" t="s">
        <v>9</v>
      </c>
      <c r="G2894">
        <v>2034</v>
      </c>
    </row>
    <row r="2895" spans="1:7" x14ac:dyDescent="0.25">
      <c r="A2895">
        <v>1257</v>
      </c>
      <c r="B2895">
        <v>52894</v>
      </c>
      <c r="C2895" s="2">
        <v>45631.198066022</v>
      </c>
      <c r="D2895">
        <v>62</v>
      </c>
      <c r="E2895" t="s">
        <v>7</v>
      </c>
      <c r="F2895" t="s">
        <v>12</v>
      </c>
      <c r="G2895">
        <v>1595</v>
      </c>
    </row>
    <row r="2896" spans="1:7" x14ac:dyDescent="0.25">
      <c r="A2896">
        <v>1547</v>
      </c>
      <c r="B2896">
        <v>52895</v>
      </c>
      <c r="C2896" s="2">
        <v>45631.441480493493</v>
      </c>
      <c r="D2896">
        <v>30</v>
      </c>
      <c r="E2896" t="s">
        <v>8</v>
      </c>
      <c r="F2896" t="s">
        <v>11</v>
      </c>
      <c r="G2896">
        <v>1786</v>
      </c>
    </row>
    <row r="2897" spans="1:7" x14ac:dyDescent="0.25">
      <c r="A2897">
        <v>1194</v>
      </c>
      <c r="B2897">
        <v>52896</v>
      </c>
      <c r="C2897" s="2">
        <v>45631.684894964979</v>
      </c>
      <c r="D2897">
        <v>24</v>
      </c>
      <c r="E2897" t="s">
        <v>7</v>
      </c>
      <c r="F2897" t="s">
        <v>9</v>
      </c>
      <c r="G2897">
        <v>311</v>
      </c>
    </row>
    <row r="2898" spans="1:7" x14ac:dyDescent="0.25">
      <c r="A2898">
        <v>1104</v>
      </c>
      <c r="B2898">
        <v>52897</v>
      </c>
      <c r="C2898" s="2">
        <v>45631.928309436473</v>
      </c>
      <c r="D2898">
        <v>44</v>
      </c>
      <c r="E2898" t="s">
        <v>7</v>
      </c>
      <c r="F2898" t="s">
        <v>10</v>
      </c>
      <c r="G2898">
        <v>652</v>
      </c>
    </row>
    <row r="2899" spans="1:7" x14ac:dyDescent="0.25">
      <c r="A2899">
        <v>1535</v>
      </c>
      <c r="B2899">
        <v>52898</v>
      </c>
      <c r="C2899" s="2">
        <v>45632.171723907974</v>
      </c>
      <c r="D2899">
        <v>27</v>
      </c>
      <c r="E2899" t="s">
        <v>7</v>
      </c>
      <c r="F2899" t="s">
        <v>12</v>
      </c>
      <c r="G2899">
        <v>3003</v>
      </c>
    </row>
    <row r="2900" spans="1:7" x14ac:dyDescent="0.25">
      <c r="A2900">
        <v>1265</v>
      </c>
      <c r="B2900">
        <v>52899</v>
      </c>
      <c r="C2900" s="2">
        <v>45632.415138379452</v>
      </c>
      <c r="D2900">
        <v>51</v>
      </c>
      <c r="E2900" t="s">
        <v>7</v>
      </c>
      <c r="F2900" t="s">
        <v>11</v>
      </c>
      <c r="G2900">
        <v>2831</v>
      </c>
    </row>
    <row r="2901" spans="1:7" x14ac:dyDescent="0.25">
      <c r="A2901">
        <v>1384</v>
      </c>
      <c r="B2901">
        <v>52900</v>
      </c>
      <c r="C2901" s="2">
        <v>45632.658552850953</v>
      </c>
      <c r="D2901">
        <v>53</v>
      </c>
      <c r="E2901" t="s">
        <v>7</v>
      </c>
      <c r="F2901" t="s">
        <v>9</v>
      </c>
      <c r="G2901">
        <v>2386</v>
      </c>
    </row>
    <row r="2902" spans="1:7" x14ac:dyDescent="0.25">
      <c r="A2902">
        <v>1260</v>
      </c>
      <c r="B2902">
        <v>52901</v>
      </c>
      <c r="C2902" s="2">
        <v>45632.901967322432</v>
      </c>
      <c r="D2902">
        <v>42</v>
      </c>
      <c r="E2902" t="s">
        <v>8</v>
      </c>
      <c r="F2902" t="s">
        <v>9</v>
      </c>
      <c r="G2902">
        <v>4548</v>
      </c>
    </row>
    <row r="2903" spans="1:7" x14ac:dyDescent="0.25">
      <c r="A2903">
        <v>1414</v>
      </c>
      <c r="B2903">
        <v>52902</v>
      </c>
      <c r="C2903" s="2">
        <v>45633.145381793933</v>
      </c>
      <c r="D2903">
        <v>23</v>
      </c>
      <c r="E2903" t="s">
        <v>8</v>
      </c>
      <c r="F2903" t="s">
        <v>11</v>
      </c>
      <c r="G2903">
        <v>2204</v>
      </c>
    </row>
    <row r="2904" spans="1:7" x14ac:dyDescent="0.25">
      <c r="A2904">
        <v>1358</v>
      </c>
      <c r="B2904">
        <v>52903</v>
      </c>
      <c r="C2904" s="2">
        <v>45633.388796265419</v>
      </c>
      <c r="D2904">
        <v>41</v>
      </c>
      <c r="E2904" t="s">
        <v>8</v>
      </c>
      <c r="F2904" t="s">
        <v>12</v>
      </c>
      <c r="G2904">
        <v>1659</v>
      </c>
    </row>
    <row r="2905" spans="1:7" x14ac:dyDescent="0.25">
      <c r="A2905">
        <v>1075</v>
      </c>
      <c r="B2905">
        <v>52904</v>
      </c>
      <c r="C2905" s="2">
        <v>45633.632210736912</v>
      </c>
      <c r="D2905">
        <v>35</v>
      </c>
      <c r="E2905" t="s">
        <v>8</v>
      </c>
      <c r="F2905" t="s">
        <v>11</v>
      </c>
      <c r="G2905">
        <v>2142</v>
      </c>
    </row>
    <row r="2906" spans="1:7" x14ac:dyDescent="0.25">
      <c r="A2906">
        <v>1355</v>
      </c>
      <c r="B2906">
        <v>52905</v>
      </c>
      <c r="C2906" s="2">
        <v>45633.875625208413</v>
      </c>
      <c r="D2906">
        <v>40</v>
      </c>
      <c r="E2906" t="s">
        <v>8</v>
      </c>
      <c r="F2906" t="s">
        <v>11</v>
      </c>
      <c r="G2906">
        <v>3693</v>
      </c>
    </row>
    <row r="2907" spans="1:7" x14ac:dyDescent="0.25">
      <c r="A2907">
        <v>1584</v>
      </c>
      <c r="B2907">
        <v>52906</v>
      </c>
      <c r="C2907" s="2">
        <v>45634.119039679877</v>
      </c>
      <c r="D2907">
        <v>23</v>
      </c>
      <c r="E2907" t="s">
        <v>7</v>
      </c>
      <c r="F2907" t="s">
        <v>12</v>
      </c>
      <c r="G2907">
        <v>2057</v>
      </c>
    </row>
    <row r="2908" spans="1:7" x14ac:dyDescent="0.25">
      <c r="A2908">
        <v>1188</v>
      </c>
      <c r="B2908">
        <v>52907</v>
      </c>
      <c r="C2908" s="2">
        <v>45634.362454151378</v>
      </c>
      <c r="D2908">
        <v>46</v>
      </c>
      <c r="E2908" t="s">
        <v>7</v>
      </c>
      <c r="F2908" t="s">
        <v>9</v>
      </c>
      <c r="G2908">
        <v>261</v>
      </c>
    </row>
    <row r="2909" spans="1:7" x14ac:dyDescent="0.25">
      <c r="A2909">
        <v>1290</v>
      </c>
      <c r="B2909">
        <v>52908</v>
      </c>
      <c r="C2909" s="2">
        <v>45634.605868622872</v>
      </c>
      <c r="D2909">
        <v>42</v>
      </c>
      <c r="E2909" t="s">
        <v>8</v>
      </c>
      <c r="F2909" t="s">
        <v>10</v>
      </c>
      <c r="G2909">
        <v>1694</v>
      </c>
    </row>
    <row r="2910" spans="1:7" x14ac:dyDescent="0.25">
      <c r="A2910">
        <v>1045</v>
      </c>
      <c r="B2910">
        <v>52909</v>
      </c>
      <c r="C2910" s="2">
        <v>45634.849283094372</v>
      </c>
      <c r="D2910">
        <v>34</v>
      </c>
      <c r="E2910" t="s">
        <v>8</v>
      </c>
      <c r="F2910" t="s">
        <v>12</v>
      </c>
      <c r="G2910">
        <v>1380</v>
      </c>
    </row>
    <row r="2911" spans="1:7" x14ac:dyDescent="0.25">
      <c r="A2911">
        <v>1573</v>
      </c>
      <c r="B2911">
        <v>52910</v>
      </c>
      <c r="C2911" s="2">
        <v>45635.092697565837</v>
      </c>
      <c r="D2911">
        <v>63</v>
      </c>
      <c r="E2911" t="s">
        <v>8</v>
      </c>
      <c r="F2911" t="s">
        <v>10</v>
      </c>
      <c r="G2911">
        <v>2988</v>
      </c>
    </row>
    <row r="2912" spans="1:7" x14ac:dyDescent="0.25">
      <c r="A2912">
        <v>1083</v>
      </c>
      <c r="B2912">
        <v>52911</v>
      </c>
      <c r="C2912" s="2">
        <v>45635.336112037337</v>
      </c>
      <c r="D2912">
        <v>41</v>
      </c>
      <c r="E2912" t="s">
        <v>7</v>
      </c>
      <c r="F2912" t="s">
        <v>9</v>
      </c>
      <c r="G2912">
        <v>2075</v>
      </c>
    </row>
    <row r="2913" spans="1:7" x14ac:dyDescent="0.25">
      <c r="A2913">
        <v>1123</v>
      </c>
      <c r="B2913">
        <v>52912</v>
      </c>
      <c r="C2913" s="2">
        <v>45635.579526508831</v>
      </c>
      <c r="D2913">
        <v>28</v>
      </c>
      <c r="E2913" t="s">
        <v>7</v>
      </c>
      <c r="F2913" t="s">
        <v>11</v>
      </c>
      <c r="G2913">
        <v>2408</v>
      </c>
    </row>
    <row r="2914" spans="1:7" x14ac:dyDescent="0.25">
      <c r="A2914">
        <v>1358</v>
      </c>
      <c r="B2914">
        <v>52913</v>
      </c>
      <c r="C2914" s="2">
        <v>45635.822940980317</v>
      </c>
      <c r="D2914">
        <v>43</v>
      </c>
      <c r="E2914" t="s">
        <v>7</v>
      </c>
      <c r="F2914" t="s">
        <v>10</v>
      </c>
      <c r="G2914">
        <v>4836</v>
      </c>
    </row>
    <row r="2915" spans="1:7" x14ac:dyDescent="0.25">
      <c r="A2915">
        <v>1528</v>
      </c>
      <c r="B2915">
        <v>52914</v>
      </c>
      <c r="C2915" s="2">
        <v>45636.066355451818</v>
      </c>
      <c r="D2915">
        <v>51</v>
      </c>
      <c r="E2915" t="s">
        <v>8</v>
      </c>
      <c r="F2915" t="s">
        <v>9</v>
      </c>
      <c r="G2915">
        <v>4921</v>
      </c>
    </row>
    <row r="2916" spans="1:7" x14ac:dyDescent="0.25">
      <c r="A2916">
        <v>1066</v>
      </c>
      <c r="B2916">
        <v>52915</v>
      </c>
      <c r="C2916" s="2">
        <v>45636.309769923297</v>
      </c>
      <c r="D2916">
        <v>45</v>
      </c>
      <c r="E2916" t="s">
        <v>8</v>
      </c>
      <c r="F2916" t="s">
        <v>9</v>
      </c>
      <c r="G2916">
        <v>305</v>
      </c>
    </row>
    <row r="2917" spans="1:7" x14ac:dyDescent="0.25">
      <c r="A2917">
        <v>1375</v>
      </c>
      <c r="B2917">
        <v>52916</v>
      </c>
      <c r="C2917" s="2">
        <v>45636.55318439479</v>
      </c>
      <c r="D2917">
        <v>20</v>
      </c>
      <c r="E2917" t="s">
        <v>8</v>
      </c>
      <c r="F2917" t="s">
        <v>11</v>
      </c>
      <c r="G2917">
        <v>1354</v>
      </c>
    </row>
    <row r="2918" spans="1:7" x14ac:dyDescent="0.25">
      <c r="A2918">
        <v>1162</v>
      </c>
      <c r="B2918">
        <v>52917</v>
      </c>
      <c r="C2918" s="2">
        <v>45636.796598866284</v>
      </c>
      <c r="D2918">
        <v>28</v>
      </c>
      <c r="E2918" t="s">
        <v>8</v>
      </c>
      <c r="F2918" t="s">
        <v>11</v>
      </c>
      <c r="G2918">
        <v>3628</v>
      </c>
    </row>
    <row r="2919" spans="1:7" x14ac:dyDescent="0.25">
      <c r="A2919">
        <v>1380</v>
      </c>
      <c r="B2919">
        <v>52918</v>
      </c>
      <c r="C2919" s="2">
        <v>45637.040013337777</v>
      </c>
      <c r="D2919">
        <v>55</v>
      </c>
      <c r="E2919" t="s">
        <v>7</v>
      </c>
      <c r="F2919" t="s">
        <v>9</v>
      </c>
      <c r="G2919">
        <v>4287</v>
      </c>
    </row>
    <row r="2920" spans="1:7" x14ac:dyDescent="0.25">
      <c r="A2920">
        <v>1358</v>
      </c>
      <c r="B2920">
        <v>52919</v>
      </c>
      <c r="C2920" s="2">
        <v>45637.283427809263</v>
      </c>
      <c r="D2920">
        <v>31</v>
      </c>
      <c r="E2920" t="s">
        <v>8</v>
      </c>
      <c r="F2920" t="s">
        <v>9</v>
      </c>
      <c r="G2920">
        <v>1908</v>
      </c>
    </row>
    <row r="2921" spans="1:7" x14ac:dyDescent="0.25">
      <c r="A2921">
        <v>1188</v>
      </c>
      <c r="B2921">
        <v>52920</v>
      </c>
      <c r="C2921" s="2">
        <v>45637.526842280749</v>
      </c>
      <c r="D2921">
        <v>43</v>
      </c>
      <c r="E2921" t="s">
        <v>8</v>
      </c>
      <c r="F2921" t="s">
        <v>10</v>
      </c>
      <c r="G2921">
        <v>3023</v>
      </c>
    </row>
    <row r="2922" spans="1:7" x14ac:dyDescent="0.25">
      <c r="A2922">
        <v>1322</v>
      </c>
      <c r="B2922">
        <v>52921</v>
      </c>
      <c r="C2922" s="2">
        <v>45637.770256752243</v>
      </c>
      <c r="D2922">
        <v>38</v>
      </c>
      <c r="E2922" t="s">
        <v>8</v>
      </c>
      <c r="F2922" t="s">
        <v>9</v>
      </c>
      <c r="G2922">
        <v>4125</v>
      </c>
    </row>
    <row r="2923" spans="1:7" x14ac:dyDescent="0.25">
      <c r="A2923">
        <v>1450</v>
      </c>
      <c r="B2923">
        <v>52922</v>
      </c>
      <c r="C2923" s="2">
        <v>45638.013671223744</v>
      </c>
      <c r="D2923">
        <v>56</v>
      </c>
      <c r="E2923" t="s">
        <v>7</v>
      </c>
      <c r="F2923" t="s">
        <v>9</v>
      </c>
      <c r="G2923">
        <v>2108</v>
      </c>
    </row>
    <row r="2924" spans="1:7" x14ac:dyDescent="0.25">
      <c r="A2924">
        <v>1474</v>
      </c>
      <c r="B2924">
        <v>52923</v>
      </c>
      <c r="C2924" s="2">
        <v>45638.25708569523</v>
      </c>
      <c r="D2924">
        <v>47</v>
      </c>
      <c r="E2924" t="s">
        <v>7</v>
      </c>
      <c r="F2924" t="s">
        <v>10</v>
      </c>
      <c r="G2924">
        <v>2249</v>
      </c>
    </row>
    <row r="2925" spans="1:7" x14ac:dyDescent="0.25">
      <c r="A2925">
        <v>1013</v>
      </c>
      <c r="B2925">
        <v>52924</v>
      </c>
      <c r="C2925" s="2">
        <v>45638.500500166723</v>
      </c>
      <c r="D2925">
        <v>25</v>
      </c>
      <c r="E2925" t="s">
        <v>8</v>
      </c>
      <c r="F2925" t="s">
        <v>12</v>
      </c>
      <c r="G2925">
        <v>4664</v>
      </c>
    </row>
    <row r="2926" spans="1:7" x14ac:dyDescent="0.25">
      <c r="A2926">
        <v>1184</v>
      </c>
      <c r="B2926">
        <v>52925</v>
      </c>
      <c r="C2926" s="2">
        <v>45638.743914638209</v>
      </c>
      <c r="D2926">
        <v>37</v>
      </c>
      <c r="E2926" t="s">
        <v>7</v>
      </c>
      <c r="F2926" t="s">
        <v>10</v>
      </c>
      <c r="G2926">
        <v>1474</v>
      </c>
    </row>
    <row r="2927" spans="1:7" x14ac:dyDescent="0.25">
      <c r="A2927">
        <v>1111</v>
      </c>
      <c r="B2927">
        <v>52926</v>
      </c>
      <c r="C2927" s="2">
        <v>45638.987329109703</v>
      </c>
      <c r="D2927">
        <v>49</v>
      </c>
      <c r="E2927" t="s">
        <v>7</v>
      </c>
      <c r="F2927" t="s">
        <v>10</v>
      </c>
      <c r="G2927">
        <v>1145</v>
      </c>
    </row>
    <row r="2928" spans="1:7" x14ac:dyDescent="0.25">
      <c r="A2928">
        <v>1508</v>
      </c>
      <c r="B2928">
        <v>52927</v>
      </c>
      <c r="C2928" s="2">
        <v>45639.230743581189</v>
      </c>
      <c r="D2928">
        <v>39</v>
      </c>
      <c r="E2928" t="s">
        <v>7</v>
      </c>
      <c r="F2928" t="s">
        <v>11</v>
      </c>
      <c r="G2928">
        <v>4104</v>
      </c>
    </row>
    <row r="2929" spans="1:7" x14ac:dyDescent="0.25">
      <c r="A2929">
        <v>1290</v>
      </c>
      <c r="B2929">
        <v>52928</v>
      </c>
      <c r="C2929" s="2">
        <v>45639.474158052682</v>
      </c>
      <c r="D2929">
        <v>24</v>
      </c>
      <c r="E2929" t="s">
        <v>7</v>
      </c>
      <c r="F2929" t="s">
        <v>10</v>
      </c>
      <c r="G2929">
        <v>2427</v>
      </c>
    </row>
    <row r="2930" spans="1:7" x14ac:dyDescent="0.25">
      <c r="A2930">
        <v>1295</v>
      </c>
      <c r="B2930">
        <v>52929</v>
      </c>
      <c r="C2930" s="2">
        <v>45639.717572524169</v>
      </c>
      <c r="D2930">
        <v>26</v>
      </c>
      <c r="E2930" t="s">
        <v>7</v>
      </c>
      <c r="F2930" t="s">
        <v>9</v>
      </c>
      <c r="G2930">
        <v>3996</v>
      </c>
    </row>
    <row r="2931" spans="1:7" x14ac:dyDescent="0.25">
      <c r="A2931">
        <v>1451</v>
      </c>
      <c r="B2931">
        <v>52930</v>
      </c>
      <c r="C2931" s="2">
        <v>45639.960986995662</v>
      </c>
      <c r="D2931">
        <v>62</v>
      </c>
      <c r="E2931" t="s">
        <v>8</v>
      </c>
      <c r="F2931" t="s">
        <v>9</v>
      </c>
      <c r="G2931">
        <v>492</v>
      </c>
    </row>
    <row r="2932" spans="1:7" x14ac:dyDescent="0.25">
      <c r="A2932">
        <v>1215</v>
      </c>
      <c r="B2932">
        <v>52931</v>
      </c>
      <c r="C2932" s="2">
        <v>45640.204401467163</v>
      </c>
      <c r="D2932">
        <v>18</v>
      </c>
      <c r="E2932" t="s">
        <v>8</v>
      </c>
      <c r="F2932" t="s">
        <v>9</v>
      </c>
      <c r="G2932">
        <v>4879</v>
      </c>
    </row>
    <row r="2933" spans="1:7" x14ac:dyDescent="0.25">
      <c r="A2933">
        <v>1567</v>
      </c>
      <c r="B2933">
        <v>52932</v>
      </c>
      <c r="C2933" s="2">
        <v>45640.447815938649</v>
      </c>
      <c r="D2933">
        <v>46</v>
      </c>
      <c r="E2933" t="s">
        <v>8</v>
      </c>
      <c r="F2933" t="s">
        <v>12</v>
      </c>
      <c r="G2933">
        <v>2422</v>
      </c>
    </row>
    <row r="2934" spans="1:7" x14ac:dyDescent="0.25">
      <c r="A2934">
        <v>1027</v>
      </c>
      <c r="B2934">
        <v>52933</v>
      </c>
      <c r="C2934" s="2">
        <v>45640.691230410128</v>
      </c>
      <c r="D2934">
        <v>25</v>
      </c>
      <c r="E2934" t="s">
        <v>7</v>
      </c>
      <c r="F2934" t="s">
        <v>9</v>
      </c>
      <c r="G2934">
        <v>4173</v>
      </c>
    </row>
    <row r="2935" spans="1:7" x14ac:dyDescent="0.25">
      <c r="A2935">
        <v>1231</v>
      </c>
      <c r="B2935">
        <v>52934</v>
      </c>
      <c r="C2935" s="2">
        <v>45640.934644881621</v>
      </c>
      <c r="D2935">
        <v>21</v>
      </c>
      <c r="E2935" t="s">
        <v>7</v>
      </c>
      <c r="F2935" t="s">
        <v>12</v>
      </c>
      <c r="G2935">
        <v>2691</v>
      </c>
    </row>
    <row r="2936" spans="1:7" x14ac:dyDescent="0.25">
      <c r="A2936">
        <v>1565</v>
      </c>
      <c r="B2936">
        <v>52935</v>
      </c>
      <c r="C2936" s="2">
        <v>45641.178059353108</v>
      </c>
      <c r="D2936">
        <v>52</v>
      </c>
      <c r="E2936" t="s">
        <v>7</v>
      </c>
      <c r="F2936" t="s">
        <v>9</v>
      </c>
      <c r="G2936">
        <v>2675</v>
      </c>
    </row>
    <row r="2937" spans="1:7" x14ac:dyDescent="0.25">
      <c r="A2937">
        <v>1321</v>
      </c>
      <c r="B2937">
        <v>52936</v>
      </c>
      <c r="C2937" s="2">
        <v>45641.421473824608</v>
      </c>
      <c r="D2937">
        <v>20</v>
      </c>
      <c r="E2937" t="s">
        <v>7</v>
      </c>
      <c r="F2937" t="s">
        <v>10</v>
      </c>
      <c r="G2937">
        <v>3929</v>
      </c>
    </row>
    <row r="2938" spans="1:7" x14ac:dyDescent="0.25">
      <c r="A2938">
        <v>1233</v>
      </c>
      <c r="B2938">
        <v>52937</v>
      </c>
      <c r="C2938" s="2">
        <v>45641.664888296087</v>
      </c>
      <c r="D2938">
        <v>62</v>
      </c>
      <c r="E2938" t="s">
        <v>8</v>
      </c>
      <c r="F2938" t="s">
        <v>11</v>
      </c>
      <c r="G2938">
        <v>627</v>
      </c>
    </row>
    <row r="2939" spans="1:7" x14ac:dyDescent="0.25">
      <c r="A2939">
        <v>1437</v>
      </c>
      <c r="B2939">
        <v>52938</v>
      </c>
      <c r="C2939" s="2">
        <v>45641.908302767581</v>
      </c>
      <c r="D2939">
        <v>57</v>
      </c>
      <c r="E2939" t="s">
        <v>8</v>
      </c>
      <c r="F2939" t="s">
        <v>9</v>
      </c>
      <c r="G2939">
        <v>3172</v>
      </c>
    </row>
    <row r="2940" spans="1:7" x14ac:dyDescent="0.25">
      <c r="A2940">
        <v>1533</v>
      </c>
      <c r="B2940">
        <v>52939</v>
      </c>
      <c r="C2940" s="2">
        <v>45642.151717239067</v>
      </c>
      <c r="D2940">
        <v>24</v>
      </c>
      <c r="E2940" t="s">
        <v>8</v>
      </c>
      <c r="F2940" t="s">
        <v>12</v>
      </c>
      <c r="G2940">
        <v>306</v>
      </c>
    </row>
    <row r="2941" spans="1:7" x14ac:dyDescent="0.25">
      <c r="A2941">
        <v>1403</v>
      </c>
      <c r="B2941">
        <v>52940</v>
      </c>
      <c r="C2941" s="2">
        <v>45642.395131710568</v>
      </c>
      <c r="D2941">
        <v>44</v>
      </c>
      <c r="E2941" t="s">
        <v>8</v>
      </c>
      <c r="F2941" t="s">
        <v>12</v>
      </c>
      <c r="G2941">
        <v>3819</v>
      </c>
    </row>
    <row r="2942" spans="1:7" x14ac:dyDescent="0.25">
      <c r="A2942">
        <v>1053</v>
      </c>
      <c r="B2942">
        <v>52941</v>
      </c>
      <c r="C2942" s="2">
        <v>45642.638546182061</v>
      </c>
      <c r="D2942">
        <v>18</v>
      </c>
      <c r="E2942" t="s">
        <v>8</v>
      </c>
      <c r="F2942" t="s">
        <v>11</v>
      </c>
      <c r="G2942">
        <v>4954</v>
      </c>
    </row>
    <row r="2943" spans="1:7" x14ac:dyDescent="0.25">
      <c r="A2943">
        <v>1313</v>
      </c>
      <c r="B2943">
        <v>52942</v>
      </c>
      <c r="C2943" s="2">
        <v>45642.88196065354</v>
      </c>
      <c r="D2943">
        <v>44</v>
      </c>
      <c r="E2943" t="s">
        <v>8</v>
      </c>
      <c r="F2943" t="s">
        <v>9</v>
      </c>
      <c r="G2943">
        <v>3533</v>
      </c>
    </row>
    <row r="2944" spans="1:7" x14ac:dyDescent="0.25">
      <c r="A2944">
        <v>1281</v>
      </c>
      <c r="B2944">
        <v>52943</v>
      </c>
      <c r="C2944" s="2">
        <v>45643.125375125033</v>
      </c>
      <c r="D2944">
        <v>33</v>
      </c>
      <c r="E2944" t="s">
        <v>7</v>
      </c>
      <c r="F2944" t="s">
        <v>10</v>
      </c>
      <c r="G2944">
        <v>4192</v>
      </c>
    </row>
    <row r="2945" spans="1:7" x14ac:dyDescent="0.25">
      <c r="A2945">
        <v>1031</v>
      </c>
      <c r="B2945">
        <v>52944</v>
      </c>
      <c r="C2945" s="2">
        <v>45643.368789596527</v>
      </c>
      <c r="D2945">
        <v>55</v>
      </c>
      <c r="E2945" t="s">
        <v>7</v>
      </c>
      <c r="F2945" t="s">
        <v>9</v>
      </c>
      <c r="G2945">
        <v>1425</v>
      </c>
    </row>
    <row r="2946" spans="1:7" x14ac:dyDescent="0.25">
      <c r="A2946">
        <v>1337</v>
      </c>
      <c r="B2946">
        <v>52945</v>
      </c>
      <c r="C2946" s="2">
        <v>45643.61220406802</v>
      </c>
      <c r="D2946">
        <v>24</v>
      </c>
      <c r="E2946" t="s">
        <v>8</v>
      </c>
      <c r="F2946" t="s">
        <v>9</v>
      </c>
      <c r="G2946">
        <v>4204</v>
      </c>
    </row>
    <row r="2947" spans="1:7" x14ac:dyDescent="0.25">
      <c r="A2947">
        <v>1183</v>
      </c>
      <c r="B2947">
        <v>52946</v>
      </c>
      <c r="C2947" s="2">
        <v>45643.855618539499</v>
      </c>
      <c r="D2947">
        <v>61</v>
      </c>
      <c r="E2947" t="s">
        <v>7</v>
      </c>
      <c r="F2947" t="s">
        <v>11</v>
      </c>
      <c r="G2947">
        <v>4450</v>
      </c>
    </row>
    <row r="2948" spans="1:7" x14ac:dyDescent="0.25">
      <c r="A2948">
        <v>1023</v>
      </c>
      <c r="B2948">
        <v>52947</v>
      </c>
      <c r="C2948" s="2">
        <v>45644.099033010993</v>
      </c>
      <c r="D2948">
        <v>40</v>
      </c>
      <c r="E2948" t="s">
        <v>8</v>
      </c>
      <c r="F2948" t="s">
        <v>9</v>
      </c>
      <c r="G2948">
        <v>3568</v>
      </c>
    </row>
    <row r="2949" spans="1:7" x14ac:dyDescent="0.25">
      <c r="A2949">
        <v>1544</v>
      </c>
      <c r="B2949">
        <v>52948</v>
      </c>
      <c r="C2949" s="2">
        <v>45644.342447482493</v>
      </c>
      <c r="D2949">
        <v>58</v>
      </c>
      <c r="E2949" t="s">
        <v>8</v>
      </c>
      <c r="F2949" t="s">
        <v>10</v>
      </c>
      <c r="G2949">
        <v>1095</v>
      </c>
    </row>
    <row r="2950" spans="1:7" x14ac:dyDescent="0.25">
      <c r="A2950">
        <v>1446</v>
      </c>
      <c r="B2950">
        <v>52949</v>
      </c>
      <c r="C2950" s="2">
        <v>45644.585861953979</v>
      </c>
      <c r="D2950">
        <v>28</v>
      </c>
      <c r="E2950" t="s">
        <v>7</v>
      </c>
      <c r="F2950" t="s">
        <v>12</v>
      </c>
      <c r="G2950">
        <v>4105</v>
      </c>
    </row>
    <row r="2951" spans="1:7" x14ac:dyDescent="0.25">
      <c r="A2951">
        <v>1074</v>
      </c>
      <c r="B2951">
        <v>52950</v>
      </c>
      <c r="C2951" s="2">
        <v>45644.829276425473</v>
      </c>
      <c r="D2951">
        <v>59</v>
      </c>
      <c r="E2951" t="s">
        <v>8</v>
      </c>
      <c r="F2951" t="s">
        <v>11</v>
      </c>
      <c r="G2951">
        <v>1820</v>
      </c>
    </row>
    <row r="2952" spans="1:7" x14ac:dyDescent="0.25">
      <c r="A2952">
        <v>1010</v>
      </c>
      <c r="B2952">
        <v>52951</v>
      </c>
      <c r="C2952" s="2">
        <v>45645.072690896959</v>
      </c>
      <c r="D2952">
        <v>50</v>
      </c>
      <c r="E2952" t="s">
        <v>8</v>
      </c>
      <c r="F2952" t="s">
        <v>10</v>
      </c>
      <c r="G2952">
        <v>4063</v>
      </c>
    </row>
    <row r="2953" spans="1:7" x14ac:dyDescent="0.25">
      <c r="A2953">
        <v>1484</v>
      </c>
      <c r="B2953">
        <v>52952</v>
      </c>
      <c r="C2953" s="2">
        <v>45645.316105368453</v>
      </c>
      <c r="D2953">
        <v>53</v>
      </c>
      <c r="E2953" t="s">
        <v>8</v>
      </c>
      <c r="F2953" t="s">
        <v>12</v>
      </c>
      <c r="G2953">
        <v>2492</v>
      </c>
    </row>
    <row r="2954" spans="1:7" x14ac:dyDescent="0.25">
      <c r="A2954">
        <v>1456</v>
      </c>
      <c r="B2954">
        <v>52953</v>
      </c>
      <c r="C2954" s="2">
        <v>45645.559519839939</v>
      </c>
      <c r="D2954">
        <v>54</v>
      </c>
      <c r="E2954" t="s">
        <v>7</v>
      </c>
      <c r="F2954" t="s">
        <v>11</v>
      </c>
      <c r="G2954">
        <v>1585</v>
      </c>
    </row>
    <row r="2955" spans="1:7" x14ac:dyDescent="0.25">
      <c r="A2955">
        <v>1566</v>
      </c>
      <c r="B2955">
        <v>52954</v>
      </c>
      <c r="C2955" s="2">
        <v>45645.802934311432</v>
      </c>
      <c r="D2955">
        <v>58</v>
      </c>
      <c r="E2955" t="s">
        <v>7</v>
      </c>
      <c r="F2955" t="s">
        <v>11</v>
      </c>
      <c r="G2955">
        <v>4099</v>
      </c>
    </row>
    <row r="2956" spans="1:7" x14ac:dyDescent="0.25">
      <c r="A2956">
        <v>1564</v>
      </c>
      <c r="B2956">
        <v>52955</v>
      </c>
      <c r="C2956" s="2">
        <v>45646.046348782918</v>
      </c>
      <c r="D2956">
        <v>34</v>
      </c>
      <c r="E2956" t="s">
        <v>7</v>
      </c>
      <c r="F2956" t="s">
        <v>12</v>
      </c>
      <c r="G2956">
        <v>3792</v>
      </c>
    </row>
    <row r="2957" spans="1:7" x14ac:dyDescent="0.25">
      <c r="A2957">
        <v>1160</v>
      </c>
      <c r="B2957">
        <v>52956</v>
      </c>
      <c r="C2957" s="2">
        <v>45646.289763254412</v>
      </c>
      <c r="D2957">
        <v>52</v>
      </c>
      <c r="E2957" t="s">
        <v>7</v>
      </c>
      <c r="F2957" t="s">
        <v>12</v>
      </c>
      <c r="G2957">
        <v>2633</v>
      </c>
    </row>
    <row r="2958" spans="1:7" x14ac:dyDescent="0.25">
      <c r="A2958">
        <v>1014</v>
      </c>
      <c r="B2958">
        <v>52957</v>
      </c>
      <c r="C2958" s="2">
        <v>45646.533177725913</v>
      </c>
      <c r="D2958">
        <v>22</v>
      </c>
      <c r="E2958" t="s">
        <v>8</v>
      </c>
      <c r="F2958" t="s">
        <v>10</v>
      </c>
      <c r="G2958">
        <v>3006</v>
      </c>
    </row>
    <row r="2959" spans="1:7" x14ac:dyDescent="0.25">
      <c r="A2959">
        <v>1178</v>
      </c>
      <c r="B2959">
        <v>52958</v>
      </c>
      <c r="C2959" s="2">
        <v>45646.776592197399</v>
      </c>
      <c r="D2959">
        <v>49</v>
      </c>
      <c r="E2959" t="s">
        <v>7</v>
      </c>
      <c r="F2959" t="s">
        <v>9</v>
      </c>
      <c r="G2959">
        <v>3583</v>
      </c>
    </row>
    <row r="2960" spans="1:7" x14ac:dyDescent="0.25">
      <c r="A2960">
        <v>1412</v>
      </c>
      <c r="B2960">
        <v>52959</v>
      </c>
      <c r="C2960" s="2">
        <v>45647.020006668892</v>
      </c>
      <c r="D2960">
        <v>20</v>
      </c>
      <c r="E2960" t="s">
        <v>7</v>
      </c>
      <c r="F2960" t="s">
        <v>9</v>
      </c>
      <c r="G2960">
        <v>1501</v>
      </c>
    </row>
    <row r="2961" spans="1:7" x14ac:dyDescent="0.25">
      <c r="A2961">
        <v>1053</v>
      </c>
      <c r="B2961">
        <v>52960</v>
      </c>
      <c r="C2961" s="2">
        <v>45647.263421140371</v>
      </c>
      <c r="D2961">
        <v>64</v>
      </c>
      <c r="E2961" t="s">
        <v>7</v>
      </c>
      <c r="F2961" t="s">
        <v>9</v>
      </c>
      <c r="G2961">
        <v>958</v>
      </c>
    </row>
    <row r="2962" spans="1:7" x14ac:dyDescent="0.25">
      <c r="A2962">
        <v>1408</v>
      </c>
      <c r="B2962">
        <v>52961</v>
      </c>
      <c r="C2962" s="2">
        <v>45647.506835611857</v>
      </c>
      <c r="D2962">
        <v>52</v>
      </c>
      <c r="E2962" t="s">
        <v>8</v>
      </c>
      <c r="F2962" t="s">
        <v>9</v>
      </c>
      <c r="G2962">
        <v>946</v>
      </c>
    </row>
    <row r="2963" spans="1:7" x14ac:dyDescent="0.25">
      <c r="A2963">
        <v>1022</v>
      </c>
      <c r="B2963">
        <v>52962</v>
      </c>
      <c r="C2963" s="2">
        <v>45647.750250083358</v>
      </c>
      <c r="D2963">
        <v>31</v>
      </c>
      <c r="E2963" t="s">
        <v>7</v>
      </c>
      <c r="F2963" t="s">
        <v>9</v>
      </c>
      <c r="G2963">
        <v>792</v>
      </c>
    </row>
    <row r="2964" spans="1:7" x14ac:dyDescent="0.25">
      <c r="A2964">
        <v>1030</v>
      </c>
      <c r="B2964">
        <v>52963</v>
      </c>
      <c r="C2964" s="2">
        <v>45647.993664554851</v>
      </c>
      <c r="D2964">
        <v>48</v>
      </c>
      <c r="E2964" t="s">
        <v>7</v>
      </c>
      <c r="F2964" t="s">
        <v>10</v>
      </c>
      <c r="G2964">
        <v>3086</v>
      </c>
    </row>
    <row r="2965" spans="1:7" x14ac:dyDescent="0.25">
      <c r="A2965">
        <v>1260</v>
      </c>
      <c r="B2965">
        <v>52964</v>
      </c>
      <c r="C2965" s="2">
        <v>45648.23707902633</v>
      </c>
      <c r="D2965">
        <v>48</v>
      </c>
      <c r="E2965" t="s">
        <v>8</v>
      </c>
      <c r="F2965" t="s">
        <v>11</v>
      </c>
      <c r="G2965">
        <v>4311</v>
      </c>
    </row>
    <row r="2966" spans="1:7" x14ac:dyDescent="0.25">
      <c r="A2966">
        <v>1205</v>
      </c>
      <c r="B2966">
        <v>52965</v>
      </c>
      <c r="C2966" s="2">
        <v>45648.480493497816</v>
      </c>
      <c r="D2966">
        <v>34</v>
      </c>
      <c r="E2966" t="s">
        <v>8</v>
      </c>
      <c r="F2966" t="s">
        <v>10</v>
      </c>
      <c r="G2966">
        <v>1268</v>
      </c>
    </row>
    <row r="2967" spans="1:7" x14ac:dyDescent="0.25">
      <c r="A2967">
        <v>1059</v>
      </c>
      <c r="B2967">
        <v>52966</v>
      </c>
      <c r="C2967" s="2">
        <v>45648.723907969317</v>
      </c>
      <c r="D2967">
        <v>41</v>
      </c>
      <c r="E2967" t="s">
        <v>8</v>
      </c>
      <c r="F2967" t="s">
        <v>10</v>
      </c>
      <c r="G2967">
        <v>3507</v>
      </c>
    </row>
    <row r="2968" spans="1:7" x14ac:dyDescent="0.25">
      <c r="A2968">
        <v>1471</v>
      </c>
      <c r="B2968">
        <v>52967</v>
      </c>
      <c r="C2968" s="2">
        <v>45648.967322440811</v>
      </c>
      <c r="D2968">
        <v>40</v>
      </c>
      <c r="E2968" t="s">
        <v>8</v>
      </c>
      <c r="F2968" t="s">
        <v>10</v>
      </c>
      <c r="G2968">
        <v>902</v>
      </c>
    </row>
    <row r="2969" spans="1:7" x14ac:dyDescent="0.25">
      <c r="A2969">
        <v>1466</v>
      </c>
      <c r="B2969">
        <v>52968</v>
      </c>
      <c r="C2969" s="2">
        <v>45649.210736912297</v>
      </c>
      <c r="D2969">
        <v>35</v>
      </c>
      <c r="E2969" t="s">
        <v>7</v>
      </c>
      <c r="F2969" t="s">
        <v>11</v>
      </c>
      <c r="G2969">
        <v>4908</v>
      </c>
    </row>
    <row r="2970" spans="1:7" x14ac:dyDescent="0.25">
      <c r="A2970">
        <v>1012</v>
      </c>
      <c r="B2970">
        <v>52969</v>
      </c>
      <c r="C2970" s="2">
        <v>45649.454151383783</v>
      </c>
      <c r="D2970">
        <v>31</v>
      </c>
      <c r="E2970" t="s">
        <v>8</v>
      </c>
      <c r="F2970" t="s">
        <v>10</v>
      </c>
      <c r="G2970">
        <v>304</v>
      </c>
    </row>
    <row r="2971" spans="1:7" x14ac:dyDescent="0.25">
      <c r="A2971">
        <v>1290</v>
      </c>
      <c r="B2971">
        <v>52970</v>
      </c>
      <c r="C2971" s="2">
        <v>45649.697565855276</v>
      </c>
      <c r="D2971">
        <v>32</v>
      </c>
      <c r="E2971" t="s">
        <v>7</v>
      </c>
      <c r="F2971" t="s">
        <v>10</v>
      </c>
      <c r="G2971">
        <v>1697</v>
      </c>
    </row>
    <row r="2972" spans="1:7" x14ac:dyDescent="0.25">
      <c r="A2972">
        <v>1354</v>
      </c>
      <c r="B2972">
        <v>52971</v>
      </c>
      <c r="C2972" s="2">
        <v>45649.94098032677</v>
      </c>
      <c r="D2972">
        <v>32</v>
      </c>
      <c r="E2972" t="s">
        <v>7</v>
      </c>
      <c r="F2972" t="s">
        <v>11</v>
      </c>
      <c r="G2972">
        <v>4033</v>
      </c>
    </row>
    <row r="2973" spans="1:7" x14ac:dyDescent="0.25">
      <c r="A2973">
        <v>1075</v>
      </c>
      <c r="B2973">
        <v>52972</v>
      </c>
      <c r="C2973" s="2">
        <v>45650.184394798263</v>
      </c>
      <c r="D2973">
        <v>23</v>
      </c>
      <c r="E2973" t="s">
        <v>7</v>
      </c>
      <c r="F2973" t="s">
        <v>10</v>
      </c>
      <c r="G2973">
        <v>595</v>
      </c>
    </row>
    <row r="2974" spans="1:7" x14ac:dyDescent="0.25">
      <c r="A2974">
        <v>1561</v>
      </c>
      <c r="B2974">
        <v>52973</v>
      </c>
      <c r="C2974" s="2">
        <v>45650.427809269742</v>
      </c>
      <c r="D2974">
        <v>44</v>
      </c>
      <c r="E2974" t="s">
        <v>7</v>
      </c>
      <c r="F2974" t="s">
        <v>9</v>
      </c>
      <c r="G2974">
        <v>3717</v>
      </c>
    </row>
    <row r="2975" spans="1:7" x14ac:dyDescent="0.25">
      <c r="A2975">
        <v>1591</v>
      </c>
      <c r="B2975">
        <v>52974</v>
      </c>
      <c r="C2975" s="2">
        <v>45650.671223741243</v>
      </c>
      <c r="D2975">
        <v>32</v>
      </c>
      <c r="E2975" t="s">
        <v>7</v>
      </c>
      <c r="F2975" t="s">
        <v>12</v>
      </c>
      <c r="G2975">
        <v>2853</v>
      </c>
    </row>
    <row r="2976" spans="1:7" x14ac:dyDescent="0.25">
      <c r="A2976">
        <v>1441</v>
      </c>
      <c r="B2976">
        <v>52975</v>
      </c>
      <c r="C2976" s="2">
        <v>45650.914638212729</v>
      </c>
      <c r="D2976">
        <v>53</v>
      </c>
      <c r="E2976" t="s">
        <v>8</v>
      </c>
      <c r="F2976" t="s">
        <v>10</v>
      </c>
      <c r="G2976">
        <v>3491</v>
      </c>
    </row>
    <row r="2977" spans="1:7" x14ac:dyDescent="0.25">
      <c r="A2977">
        <v>1241</v>
      </c>
      <c r="B2977">
        <v>52976</v>
      </c>
      <c r="C2977" s="2">
        <v>45651.158052684223</v>
      </c>
      <c r="D2977">
        <v>25</v>
      </c>
      <c r="E2977" t="s">
        <v>7</v>
      </c>
      <c r="F2977" t="s">
        <v>12</v>
      </c>
      <c r="G2977">
        <v>2210</v>
      </c>
    </row>
    <row r="2978" spans="1:7" x14ac:dyDescent="0.25">
      <c r="A2978">
        <v>1154</v>
      </c>
      <c r="B2978">
        <v>52977</v>
      </c>
      <c r="C2978" s="2">
        <v>45651.401467155723</v>
      </c>
      <c r="D2978">
        <v>32</v>
      </c>
      <c r="E2978" t="s">
        <v>7</v>
      </c>
      <c r="F2978" t="s">
        <v>10</v>
      </c>
      <c r="G2978">
        <v>4081</v>
      </c>
    </row>
    <row r="2979" spans="1:7" x14ac:dyDescent="0.25">
      <c r="A2979">
        <v>1096</v>
      </c>
      <c r="B2979">
        <v>52978</v>
      </c>
      <c r="C2979" s="2">
        <v>45651.644881627202</v>
      </c>
      <c r="D2979">
        <v>20</v>
      </c>
      <c r="E2979" t="s">
        <v>7</v>
      </c>
      <c r="F2979" t="s">
        <v>10</v>
      </c>
      <c r="G2979">
        <v>2188</v>
      </c>
    </row>
    <row r="2980" spans="1:7" x14ac:dyDescent="0.25">
      <c r="A2980">
        <v>1294</v>
      </c>
      <c r="B2980">
        <v>52979</v>
      </c>
      <c r="C2980" s="2">
        <v>45651.888296098703</v>
      </c>
      <c r="D2980">
        <v>64</v>
      </c>
      <c r="E2980" t="s">
        <v>8</v>
      </c>
      <c r="F2980" t="s">
        <v>9</v>
      </c>
      <c r="G2980">
        <v>4737</v>
      </c>
    </row>
    <row r="2981" spans="1:7" x14ac:dyDescent="0.25">
      <c r="A2981">
        <v>1209</v>
      </c>
      <c r="B2981">
        <v>52980</v>
      </c>
      <c r="C2981" s="2">
        <v>45652.131710570182</v>
      </c>
      <c r="D2981">
        <v>30</v>
      </c>
      <c r="E2981" t="s">
        <v>7</v>
      </c>
      <c r="F2981" t="s">
        <v>11</v>
      </c>
      <c r="G2981">
        <v>1868</v>
      </c>
    </row>
    <row r="2982" spans="1:7" x14ac:dyDescent="0.25">
      <c r="A2982">
        <v>1343</v>
      </c>
      <c r="B2982">
        <v>52981</v>
      </c>
      <c r="C2982" s="2">
        <v>45652.375125041683</v>
      </c>
      <c r="D2982">
        <v>58</v>
      </c>
      <c r="E2982" t="s">
        <v>7</v>
      </c>
      <c r="F2982" t="s">
        <v>12</v>
      </c>
      <c r="G2982">
        <v>4962</v>
      </c>
    </row>
    <row r="2983" spans="1:7" x14ac:dyDescent="0.25">
      <c r="A2983">
        <v>1088</v>
      </c>
      <c r="B2983">
        <v>52982</v>
      </c>
      <c r="C2983" s="2">
        <v>45652.618539513162</v>
      </c>
      <c r="D2983">
        <v>51</v>
      </c>
      <c r="E2983" t="s">
        <v>8</v>
      </c>
      <c r="F2983" t="s">
        <v>11</v>
      </c>
      <c r="G2983">
        <v>1251</v>
      </c>
    </row>
    <row r="2984" spans="1:7" x14ac:dyDescent="0.25">
      <c r="A2984">
        <v>1390</v>
      </c>
      <c r="B2984">
        <v>52983</v>
      </c>
      <c r="C2984" s="2">
        <v>45652.861953984648</v>
      </c>
      <c r="D2984">
        <v>41</v>
      </c>
      <c r="E2984" t="s">
        <v>7</v>
      </c>
      <c r="F2984" t="s">
        <v>9</v>
      </c>
      <c r="G2984">
        <v>3041</v>
      </c>
    </row>
    <row r="2985" spans="1:7" x14ac:dyDescent="0.25">
      <c r="A2985">
        <v>1325</v>
      </c>
      <c r="B2985">
        <v>52984</v>
      </c>
      <c r="C2985" s="2">
        <v>45653.105368456148</v>
      </c>
      <c r="D2985">
        <v>57</v>
      </c>
      <c r="E2985" t="s">
        <v>7</v>
      </c>
      <c r="F2985" t="s">
        <v>9</v>
      </c>
      <c r="G2985">
        <v>4923</v>
      </c>
    </row>
    <row r="2986" spans="1:7" x14ac:dyDescent="0.25">
      <c r="A2986">
        <v>1157</v>
      </c>
      <c r="B2986">
        <v>52985</v>
      </c>
      <c r="C2986" s="2">
        <v>45653.348782927642</v>
      </c>
      <c r="D2986">
        <v>49</v>
      </c>
      <c r="E2986" t="s">
        <v>8</v>
      </c>
      <c r="F2986" t="s">
        <v>12</v>
      </c>
      <c r="G2986">
        <v>3784</v>
      </c>
    </row>
    <row r="2987" spans="1:7" x14ac:dyDescent="0.25">
      <c r="A2987">
        <v>1577</v>
      </c>
      <c r="B2987">
        <v>52986</v>
      </c>
      <c r="C2987" s="2">
        <v>45653.592197399143</v>
      </c>
      <c r="D2987">
        <v>49</v>
      </c>
      <c r="E2987" t="s">
        <v>7</v>
      </c>
      <c r="F2987" t="s">
        <v>11</v>
      </c>
      <c r="G2987">
        <v>547</v>
      </c>
    </row>
    <row r="2988" spans="1:7" x14ac:dyDescent="0.25">
      <c r="A2988">
        <v>1137</v>
      </c>
      <c r="B2988">
        <v>52987</v>
      </c>
      <c r="C2988" s="2">
        <v>45653.835611870607</v>
      </c>
      <c r="D2988">
        <v>47</v>
      </c>
      <c r="E2988" t="s">
        <v>7</v>
      </c>
      <c r="F2988" t="s">
        <v>9</v>
      </c>
      <c r="G2988">
        <v>1463</v>
      </c>
    </row>
    <row r="2989" spans="1:7" x14ac:dyDescent="0.25">
      <c r="A2989">
        <v>1428</v>
      </c>
      <c r="B2989">
        <v>52988</v>
      </c>
      <c r="C2989" s="2">
        <v>45654.079026342108</v>
      </c>
      <c r="D2989">
        <v>30</v>
      </c>
      <c r="E2989" t="s">
        <v>7</v>
      </c>
      <c r="F2989" t="s">
        <v>10</v>
      </c>
      <c r="G2989">
        <v>4865</v>
      </c>
    </row>
    <row r="2990" spans="1:7" x14ac:dyDescent="0.25">
      <c r="A2990">
        <v>1452</v>
      </c>
      <c r="B2990">
        <v>52989</v>
      </c>
      <c r="C2990" s="2">
        <v>45654.322440813601</v>
      </c>
      <c r="D2990">
        <v>18</v>
      </c>
      <c r="E2990" t="s">
        <v>7</v>
      </c>
      <c r="F2990" t="s">
        <v>10</v>
      </c>
      <c r="G2990">
        <v>2942</v>
      </c>
    </row>
    <row r="2991" spans="1:7" x14ac:dyDescent="0.25">
      <c r="A2991">
        <v>1141</v>
      </c>
      <c r="B2991">
        <v>52990</v>
      </c>
      <c r="C2991" s="2">
        <v>45654.565855285087</v>
      </c>
      <c r="D2991">
        <v>51</v>
      </c>
      <c r="E2991" t="s">
        <v>7</v>
      </c>
      <c r="F2991" t="s">
        <v>10</v>
      </c>
      <c r="G2991">
        <v>2273</v>
      </c>
    </row>
    <row r="2992" spans="1:7" x14ac:dyDescent="0.25">
      <c r="A2992">
        <v>1083</v>
      </c>
      <c r="B2992">
        <v>52991</v>
      </c>
      <c r="C2992" s="2">
        <v>45654.809269756573</v>
      </c>
      <c r="D2992">
        <v>32</v>
      </c>
      <c r="E2992" t="s">
        <v>8</v>
      </c>
      <c r="F2992" t="s">
        <v>11</v>
      </c>
      <c r="G2992">
        <v>3348</v>
      </c>
    </row>
    <row r="2993" spans="1:7" x14ac:dyDescent="0.25">
      <c r="A2993">
        <v>1177</v>
      </c>
      <c r="B2993">
        <v>52992</v>
      </c>
      <c r="C2993" s="2">
        <v>45655.052684228067</v>
      </c>
      <c r="D2993">
        <v>61</v>
      </c>
      <c r="E2993" t="s">
        <v>8</v>
      </c>
      <c r="F2993" t="s">
        <v>10</v>
      </c>
      <c r="G2993">
        <v>1551</v>
      </c>
    </row>
    <row r="2994" spans="1:7" x14ac:dyDescent="0.25">
      <c r="A2994">
        <v>1198</v>
      </c>
      <c r="B2994">
        <v>52993</v>
      </c>
      <c r="C2994" s="2">
        <v>45655.29609869956</v>
      </c>
      <c r="D2994">
        <v>31</v>
      </c>
      <c r="E2994" t="s">
        <v>8</v>
      </c>
      <c r="F2994" t="s">
        <v>10</v>
      </c>
      <c r="G2994">
        <v>3021</v>
      </c>
    </row>
    <row r="2995" spans="1:7" x14ac:dyDescent="0.25">
      <c r="A2995">
        <v>1568</v>
      </c>
      <c r="B2995">
        <v>52994</v>
      </c>
      <c r="C2995" s="2">
        <v>45655.539513171047</v>
      </c>
      <c r="D2995">
        <v>46</v>
      </c>
      <c r="E2995" t="s">
        <v>7</v>
      </c>
      <c r="F2995" t="s">
        <v>9</v>
      </c>
      <c r="G2995">
        <v>4027</v>
      </c>
    </row>
    <row r="2996" spans="1:7" x14ac:dyDescent="0.25">
      <c r="A2996">
        <v>1421</v>
      </c>
      <c r="B2996">
        <v>52995</v>
      </c>
      <c r="C2996" s="2">
        <v>45655.782927642547</v>
      </c>
      <c r="D2996">
        <v>51</v>
      </c>
      <c r="E2996" t="s">
        <v>7</v>
      </c>
      <c r="F2996" t="s">
        <v>9</v>
      </c>
      <c r="G2996">
        <v>869</v>
      </c>
    </row>
    <row r="2997" spans="1:7" x14ac:dyDescent="0.25">
      <c r="A2997">
        <v>1401</v>
      </c>
      <c r="B2997">
        <v>52996</v>
      </c>
      <c r="C2997" s="2">
        <v>45656.026342114033</v>
      </c>
      <c r="D2997">
        <v>35</v>
      </c>
      <c r="E2997" t="s">
        <v>7</v>
      </c>
      <c r="F2997" t="s">
        <v>10</v>
      </c>
      <c r="G2997">
        <v>2846</v>
      </c>
    </row>
    <row r="2998" spans="1:7" x14ac:dyDescent="0.25">
      <c r="A2998">
        <v>1471</v>
      </c>
      <c r="B2998">
        <v>52997</v>
      </c>
      <c r="C2998" s="2">
        <v>45656.26975658552</v>
      </c>
      <c r="D2998">
        <v>24</v>
      </c>
      <c r="E2998" t="s">
        <v>8</v>
      </c>
      <c r="F2998" t="s">
        <v>10</v>
      </c>
      <c r="G2998">
        <v>466</v>
      </c>
    </row>
    <row r="2999" spans="1:7" x14ac:dyDescent="0.25">
      <c r="A2999">
        <v>1218</v>
      </c>
      <c r="B2999">
        <v>52998</v>
      </c>
      <c r="C2999" s="2">
        <v>45656.513171057013</v>
      </c>
      <c r="D2999">
        <v>46</v>
      </c>
      <c r="E2999" t="s">
        <v>7</v>
      </c>
      <c r="F2999" t="s">
        <v>9</v>
      </c>
      <c r="G2999">
        <v>1638</v>
      </c>
    </row>
    <row r="3000" spans="1:7" x14ac:dyDescent="0.25">
      <c r="A3000">
        <v>1175</v>
      </c>
      <c r="B3000">
        <v>52999</v>
      </c>
      <c r="C3000" s="2">
        <v>45656.756585528507</v>
      </c>
      <c r="D3000">
        <v>48</v>
      </c>
      <c r="E3000" t="s">
        <v>7</v>
      </c>
      <c r="F3000" t="s">
        <v>12</v>
      </c>
      <c r="G3000">
        <v>2893</v>
      </c>
    </row>
    <row r="3001" spans="1:7" x14ac:dyDescent="0.25">
      <c r="A3001">
        <v>1023</v>
      </c>
      <c r="B3001">
        <v>53000</v>
      </c>
      <c r="C3001" s="2">
        <v>45657</v>
      </c>
      <c r="D3001">
        <v>42</v>
      </c>
      <c r="E3001" t="s">
        <v>7</v>
      </c>
      <c r="F3001" t="s">
        <v>11</v>
      </c>
      <c r="G3001">
        <v>1222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DB87-6A1C-40E4-BEC7-3582BEB13260}">
  <dimension ref="A3:B6"/>
  <sheetViews>
    <sheetView workbookViewId="0">
      <selection activeCell="J14" sqref="J14"/>
    </sheetView>
  </sheetViews>
  <sheetFormatPr defaultRowHeight="15" x14ac:dyDescent="0.25"/>
  <cols>
    <col min="1" max="1" width="13.140625" bestFit="1" customWidth="1"/>
    <col min="2" max="2" width="18.28515625" bestFit="1" customWidth="1"/>
  </cols>
  <sheetData>
    <row r="3" spans="1:2" x14ac:dyDescent="0.25">
      <c r="A3" s="3" t="s">
        <v>17</v>
      </c>
      <c r="B3" t="s">
        <v>19</v>
      </c>
    </row>
    <row r="4" spans="1:2" x14ac:dyDescent="0.25">
      <c r="A4" s="4" t="s">
        <v>20</v>
      </c>
      <c r="B4" s="6">
        <v>36325</v>
      </c>
    </row>
    <row r="5" spans="1:2" x14ac:dyDescent="0.25">
      <c r="A5" s="4" t="s">
        <v>21</v>
      </c>
      <c r="B5" s="6">
        <v>736323</v>
      </c>
    </row>
    <row r="6" spans="1:2" x14ac:dyDescent="0.25">
      <c r="A6" s="4" t="s">
        <v>18</v>
      </c>
      <c r="B6" s="6">
        <v>772648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560EB-5562-4D4C-B265-97B0468539A2}">
  <dimension ref="A3:C5"/>
  <sheetViews>
    <sheetView workbookViewId="0">
      <selection activeCell="G12" sqref="G12"/>
    </sheetView>
  </sheetViews>
  <sheetFormatPr defaultRowHeight="15" x14ac:dyDescent="0.25"/>
  <cols>
    <col min="1" max="1" width="14.28515625" bestFit="1" customWidth="1"/>
    <col min="2" max="2" width="21.140625" bestFit="1" customWidth="1"/>
    <col min="3" max="3" width="18.28515625" bestFit="1" customWidth="1"/>
  </cols>
  <sheetData>
    <row r="3" spans="1:3" x14ac:dyDescent="0.25">
      <c r="A3" s="3" t="s">
        <v>17</v>
      </c>
      <c r="B3" t="s">
        <v>28</v>
      </c>
      <c r="C3" t="s">
        <v>19</v>
      </c>
    </row>
    <row r="4" spans="1:3" x14ac:dyDescent="0.25">
      <c r="A4" s="4" t="s">
        <v>26</v>
      </c>
      <c r="B4" s="6">
        <v>1537175</v>
      </c>
      <c r="C4" s="6">
        <v>308983</v>
      </c>
    </row>
    <row r="5" spans="1:3" x14ac:dyDescent="0.25">
      <c r="A5" s="4" t="s">
        <v>27</v>
      </c>
      <c r="B5" s="6">
        <v>6109716</v>
      </c>
      <c r="C5" s="6">
        <v>463665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7B68-D86B-4842-916E-C720B49277DB}">
  <dimension ref="A3:B5"/>
  <sheetViews>
    <sheetView workbookViewId="0">
      <selection activeCell="I15" sqref="I15"/>
    </sheetView>
  </sheetViews>
  <sheetFormatPr defaultRowHeight="15" x14ac:dyDescent="0.25"/>
  <cols>
    <col min="1" max="1" width="13.140625" bestFit="1" customWidth="1"/>
    <col min="2" max="2" width="21.140625" bestFit="1" customWidth="1"/>
  </cols>
  <sheetData>
    <row r="3" spans="1:2" x14ac:dyDescent="0.25">
      <c r="A3" s="3" t="s">
        <v>17</v>
      </c>
      <c r="B3" t="s">
        <v>28</v>
      </c>
    </row>
    <row r="4" spans="1:2" x14ac:dyDescent="0.25">
      <c r="A4" s="4" t="s">
        <v>20</v>
      </c>
      <c r="B4" s="8">
        <v>77204</v>
      </c>
    </row>
    <row r="5" spans="1:2" x14ac:dyDescent="0.25">
      <c r="A5" s="4" t="s">
        <v>21</v>
      </c>
      <c r="B5" s="8">
        <v>7569687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E2AE-EA63-4FC9-8177-3F3E91E10EB7}">
  <dimension ref="A3:B598"/>
  <sheetViews>
    <sheetView workbookViewId="0">
      <selection activeCell="H4" sqref="H4"/>
    </sheetView>
  </sheetViews>
  <sheetFormatPr defaultRowHeight="15" x14ac:dyDescent="0.25"/>
  <cols>
    <col min="1" max="1" width="13.140625" bestFit="1" customWidth="1"/>
    <col min="2" max="2" width="27.140625" bestFit="1" customWidth="1"/>
  </cols>
  <sheetData>
    <row r="3" spans="1:2" x14ac:dyDescent="0.25">
      <c r="A3" s="3" t="s">
        <v>17</v>
      </c>
      <c r="B3" t="s">
        <v>29</v>
      </c>
    </row>
    <row r="4" spans="1:2" x14ac:dyDescent="0.25">
      <c r="A4" s="4">
        <v>1001</v>
      </c>
      <c r="B4" s="8">
        <v>4554231</v>
      </c>
    </row>
    <row r="5" spans="1:2" x14ac:dyDescent="0.25">
      <c r="A5" s="4">
        <v>1002</v>
      </c>
      <c r="B5" s="8">
        <v>3835656</v>
      </c>
    </row>
    <row r="6" spans="1:2" x14ac:dyDescent="0.25">
      <c r="A6" s="4">
        <v>1003</v>
      </c>
      <c r="B6" s="8">
        <v>6750088</v>
      </c>
    </row>
    <row r="7" spans="1:2" x14ac:dyDescent="0.25">
      <c r="A7" s="4">
        <v>1004</v>
      </c>
      <c r="B7" s="8">
        <v>7562437</v>
      </c>
    </row>
    <row r="8" spans="1:2" x14ac:dyDescent="0.25">
      <c r="A8" s="4">
        <v>1005</v>
      </c>
      <c r="B8" s="8">
        <v>4353494</v>
      </c>
    </row>
    <row r="9" spans="1:2" x14ac:dyDescent="0.25">
      <c r="A9" s="4">
        <v>1006</v>
      </c>
      <c r="B9" s="8">
        <v>7592485</v>
      </c>
    </row>
    <row r="10" spans="1:2" x14ac:dyDescent="0.25">
      <c r="A10" s="4">
        <v>1007</v>
      </c>
      <c r="B10" s="8">
        <v>2734172</v>
      </c>
    </row>
    <row r="11" spans="1:2" x14ac:dyDescent="0.25">
      <c r="A11" s="4">
        <v>1008</v>
      </c>
      <c r="B11" s="8">
        <v>3165637</v>
      </c>
    </row>
    <row r="12" spans="1:2" x14ac:dyDescent="0.25">
      <c r="A12" s="4">
        <v>1009</v>
      </c>
      <c r="B12" s="8">
        <v>7377054</v>
      </c>
    </row>
    <row r="13" spans="1:2" x14ac:dyDescent="0.25">
      <c r="A13" s="4">
        <v>1010</v>
      </c>
      <c r="B13" s="8">
        <v>2312976</v>
      </c>
    </row>
    <row r="14" spans="1:2" x14ac:dyDescent="0.25">
      <c r="A14" s="4">
        <v>1011</v>
      </c>
      <c r="B14" s="8">
        <v>6243082</v>
      </c>
    </row>
    <row r="15" spans="1:2" x14ac:dyDescent="0.25">
      <c r="A15" s="4">
        <v>1012</v>
      </c>
      <c r="B15" s="8">
        <v>812191</v>
      </c>
    </row>
    <row r="16" spans="1:2" x14ac:dyDescent="0.25">
      <c r="A16" s="4">
        <v>1013</v>
      </c>
      <c r="B16" s="8">
        <v>4871482</v>
      </c>
    </row>
    <row r="17" spans="1:2" x14ac:dyDescent="0.25">
      <c r="A17" s="4">
        <v>1014</v>
      </c>
      <c r="B17" s="8">
        <v>2807556</v>
      </c>
    </row>
    <row r="18" spans="1:2" x14ac:dyDescent="0.25">
      <c r="A18" s="4">
        <v>1015</v>
      </c>
      <c r="B18" s="8">
        <v>5106653</v>
      </c>
    </row>
    <row r="19" spans="1:2" x14ac:dyDescent="0.25">
      <c r="A19" s="4">
        <v>1016</v>
      </c>
      <c r="B19" s="8">
        <v>7294491</v>
      </c>
    </row>
    <row r="20" spans="1:2" x14ac:dyDescent="0.25">
      <c r="A20" s="4">
        <v>1017</v>
      </c>
      <c r="B20" s="8">
        <v>2252838</v>
      </c>
    </row>
    <row r="21" spans="1:2" x14ac:dyDescent="0.25">
      <c r="A21" s="4">
        <v>1018</v>
      </c>
      <c r="B21" s="8">
        <v>7637633</v>
      </c>
    </row>
    <row r="22" spans="1:2" x14ac:dyDescent="0.25">
      <c r="A22" s="4">
        <v>1019</v>
      </c>
      <c r="B22" s="8">
        <v>2411900</v>
      </c>
    </row>
    <row r="23" spans="1:2" x14ac:dyDescent="0.25">
      <c r="A23" s="4">
        <v>1020</v>
      </c>
      <c r="B23" s="8">
        <v>2970996</v>
      </c>
    </row>
    <row r="24" spans="1:2" x14ac:dyDescent="0.25">
      <c r="A24" s="4">
        <v>1021</v>
      </c>
      <c r="B24" s="8">
        <v>4069038</v>
      </c>
    </row>
    <row r="25" spans="1:2" x14ac:dyDescent="0.25">
      <c r="A25" s="4">
        <v>1022</v>
      </c>
      <c r="B25" s="8">
        <v>1688286</v>
      </c>
    </row>
    <row r="26" spans="1:2" x14ac:dyDescent="0.25">
      <c r="A26" s="4">
        <v>1023</v>
      </c>
      <c r="B26" s="8">
        <v>1860363</v>
      </c>
    </row>
    <row r="27" spans="1:2" x14ac:dyDescent="0.25">
      <c r="A27" s="4">
        <v>1024</v>
      </c>
      <c r="B27" s="8">
        <v>7645111</v>
      </c>
    </row>
    <row r="28" spans="1:2" x14ac:dyDescent="0.25">
      <c r="A28" s="4">
        <v>1025</v>
      </c>
      <c r="B28" s="8">
        <v>5029599</v>
      </c>
    </row>
    <row r="29" spans="1:2" x14ac:dyDescent="0.25">
      <c r="A29" s="4">
        <v>1026</v>
      </c>
      <c r="B29" s="8">
        <v>6036135</v>
      </c>
    </row>
    <row r="30" spans="1:2" x14ac:dyDescent="0.25">
      <c r="A30" s="4">
        <v>1027</v>
      </c>
      <c r="B30" s="8">
        <v>5576793</v>
      </c>
    </row>
    <row r="31" spans="1:2" x14ac:dyDescent="0.25">
      <c r="A31" s="4">
        <v>1028</v>
      </c>
      <c r="B31" s="8">
        <v>4803481</v>
      </c>
    </row>
    <row r="32" spans="1:2" x14ac:dyDescent="0.25">
      <c r="A32" s="4">
        <v>1029</v>
      </c>
      <c r="B32" s="8">
        <v>2678692</v>
      </c>
    </row>
    <row r="33" spans="1:2" x14ac:dyDescent="0.25">
      <c r="A33" s="4">
        <v>1030</v>
      </c>
      <c r="B33" s="8">
        <v>6937283</v>
      </c>
    </row>
    <row r="34" spans="1:2" x14ac:dyDescent="0.25">
      <c r="A34" s="4">
        <v>1031</v>
      </c>
      <c r="B34" s="8">
        <v>7124112</v>
      </c>
    </row>
    <row r="35" spans="1:2" x14ac:dyDescent="0.25">
      <c r="A35" s="4">
        <v>1032</v>
      </c>
      <c r="B35" s="8">
        <v>7566024</v>
      </c>
    </row>
    <row r="36" spans="1:2" x14ac:dyDescent="0.25">
      <c r="A36" s="4">
        <v>1033</v>
      </c>
      <c r="B36" s="8">
        <v>7496851</v>
      </c>
    </row>
    <row r="37" spans="1:2" x14ac:dyDescent="0.25">
      <c r="A37" s="4">
        <v>1034</v>
      </c>
      <c r="B37" s="8">
        <v>6520361</v>
      </c>
    </row>
    <row r="38" spans="1:2" x14ac:dyDescent="0.25">
      <c r="A38" s="4">
        <v>1035</v>
      </c>
      <c r="B38" s="8">
        <v>4053862</v>
      </c>
    </row>
    <row r="39" spans="1:2" x14ac:dyDescent="0.25">
      <c r="A39" s="4">
        <v>1036</v>
      </c>
      <c r="B39" s="8">
        <v>6601656</v>
      </c>
    </row>
    <row r="40" spans="1:2" x14ac:dyDescent="0.25">
      <c r="A40" s="4">
        <v>1037</v>
      </c>
      <c r="B40" s="8">
        <v>6792284</v>
      </c>
    </row>
    <row r="41" spans="1:2" x14ac:dyDescent="0.25">
      <c r="A41" s="4">
        <v>1038</v>
      </c>
      <c r="B41" s="8">
        <v>7387553</v>
      </c>
    </row>
    <row r="42" spans="1:2" x14ac:dyDescent="0.25">
      <c r="A42" s="4">
        <v>1039</v>
      </c>
      <c r="B42" s="8">
        <v>992043</v>
      </c>
    </row>
    <row r="43" spans="1:2" x14ac:dyDescent="0.25">
      <c r="A43" s="4">
        <v>1040</v>
      </c>
      <c r="B43" s="8">
        <v>3787614</v>
      </c>
    </row>
    <row r="44" spans="1:2" x14ac:dyDescent="0.25">
      <c r="A44" s="4">
        <v>1041</v>
      </c>
      <c r="B44" s="8">
        <v>1092066</v>
      </c>
    </row>
    <row r="45" spans="1:2" x14ac:dyDescent="0.25">
      <c r="A45" s="4">
        <v>1042</v>
      </c>
      <c r="B45" s="8">
        <v>5993780</v>
      </c>
    </row>
    <row r="46" spans="1:2" x14ac:dyDescent="0.25">
      <c r="A46" s="4">
        <v>1043</v>
      </c>
      <c r="B46" s="8">
        <v>2332849</v>
      </c>
    </row>
    <row r="47" spans="1:2" x14ac:dyDescent="0.25">
      <c r="A47" s="4">
        <v>1044</v>
      </c>
      <c r="B47" s="8">
        <v>7246769</v>
      </c>
    </row>
    <row r="48" spans="1:2" x14ac:dyDescent="0.25">
      <c r="A48" s="4">
        <v>1045</v>
      </c>
      <c r="B48" s="8">
        <v>7642179</v>
      </c>
    </row>
    <row r="49" spans="1:2" x14ac:dyDescent="0.25">
      <c r="A49" s="4">
        <v>1046</v>
      </c>
      <c r="B49" s="8">
        <v>4397115</v>
      </c>
    </row>
    <row r="50" spans="1:2" x14ac:dyDescent="0.25">
      <c r="A50" s="4">
        <v>1047</v>
      </c>
      <c r="B50" s="8">
        <v>785827</v>
      </c>
    </row>
    <row r="51" spans="1:2" x14ac:dyDescent="0.25">
      <c r="A51" s="4">
        <v>1048</v>
      </c>
      <c r="B51" s="8">
        <v>7604553</v>
      </c>
    </row>
    <row r="52" spans="1:2" x14ac:dyDescent="0.25">
      <c r="A52" s="4">
        <v>1049</v>
      </c>
      <c r="B52" s="8">
        <v>4511708</v>
      </c>
    </row>
    <row r="53" spans="1:2" x14ac:dyDescent="0.25">
      <c r="A53" s="4">
        <v>1050</v>
      </c>
      <c r="B53" s="8">
        <v>7339566</v>
      </c>
    </row>
    <row r="54" spans="1:2" x14ac:dyDescent="0.25">
      <c r="A54" s="4">
        <v>1051</v>
      </c>
      <c r="B54" s="8">
        <v>5796476</v>
      </c>
    </row>
    <row r="55" spans="1:2" x14ac:dyDescent="0.25">
      <c r="A55" s="4">
        <v>1053</v>
      </c>
      <c r="B55" s="8">
        <v>2372415</v>
      </c>
    </row>
    <row r="56" spans="1:2" x14ac:dyDescent="0.25">
      <c r="A56" s="4">
        <v>1054</v>
      </c>
      <c r="B56" s="8">
        <v>6565662</v>
      </c>
    </row>
    <row r="57" spans="1:2" x14ac:dyDescent="0.25">
      <c r="A57" s="4">
        <v>1055</v>
      </c>
      <c r="B57" s="8">
        <v>4382603</v>
      </c>
    </row>
    <row r="58" spans="1:2" x14ac:dyDescent="0.25">
      <c r="A58" s="4">
        <v>1056</v>
      </c>
      <c r="B58" s="8">
        <v>6120167</v>
      </c>
    </row>
    <row r="59" spans="1:2" x14ac:dyDescent="0.25">
      <c r="A59" s="4">
        <v>1057</v>
      </c>
      <c r="B59" s="8">
        <v>7371794</v>
      </c>
    </row>
    <row r="60" spans="1:2" x14ac:dyDescent="0.25">
      <c r="A60" s="4">
        <v>1058</v>
      </c>
      <c r="B60" s="8">
        <v>3060255</v>
      </c>
    </row>
    <row r="61" spans="1:2" x14ac:dyDescent="0.25">
      <c r="A61" s="4">
        <v>1059</v>
      </c>
      <c r="B61" s="8">
        <v>5456580</v>
      </c>
    </row>
    <row r="62" spans="1:2" x14ac:dyDescent="0.25">
      <c r="A62" s="4">
        <v>1060</v>
      </c>
      <c r="B62" s="8">
        <v>6398995</v>
      </c>
    </row>
    <row r="63" spans="1:2" x14ac:dyDescent="0.25">
      <c r="A63" s="4">
        <v>1061</v>
      </c>
      <c r="B63" s="8">
        <v>6881936</v>
      </c>
    </row>
    <row r="64" spans="1:2" x14ac:dyDescent="0.25">
      <c r="A64" s="4">
        <v>1062</v>
      </c>
      <c r="B64" s="8">
        <v>6341438</v>
      </c>
    </row>
    <row r="65" spans="1:2" x14ac:dyDescent="0.25">
      <c r="A65" s="4">
        <v>1063</v>
      </c>
      <c r="B65" s="8">
        <v>3474480</v>
      </c>
    </row>
    <row r="66" spans="1:2" x14ac:dyDescent="0.25">
      <c r="A66" s="4">
        <v>1064</v>
      </c>
      <c r="B66" s="8">
        <v>7264977</v>
      </c>
    </row>
    <row r="67" spans="1:2" x14ac:dyDescent="0.25">
      <c r="A67" s="4">
        <v>1065</v>
      </c>
      <c r="B67" s="8">
        <v>5233337</v>
      </c>
    </row>
    <row r="68" spans="1:2" x14ac:dyDescent="0.25">
      <c r="A68" s="4">
        <v>1066</v>
      </c>
      <c r="B68" s="8">
        <v>6379871</v>
      </c>
    </row>
    <row r="69" spans="1:2" x14ac:dyDescent="0.25">
      <c r="A69" s="4">
        <v>1067</v>
      </c>
      <c r="B69" s="8">
        <v>7532683</v>
      </c>
    </row>
    <row r="70" spans="1:2" x14ac:dyDescent="0.25">
      <c r="A70" s="4">
        <v>1068</v>
      </c>
      <c r="B70" s="8">
        <v>7090038</v>
      </c>
    </row>
    <row r="71" spans="1:2" x14ac:dyDescent="0.25">
      <c r="A71" s="4">
        <v>1069</v>
      </c>
      <c r="B71" s="8">
        <v>3304331</v>
      </c>
    </row>
    <row r="72" spans="1:2" x14ac:dyDescent="0.25">
      <c r="A72" s="4">
        <v>1070</v>
      </c>
      <c r="B72" s="8">
        <v>5646918</v>
      </c>
    </row>
    <row r="73" spans="1:2" x14ac:dyDescent="0.25">
      <c r="A73" s="4">
        <v>1072</v>
      </c>
      <c r="B73" s="8">
        <v>7442381</v>
      </c>
    </row>
    <row r="74" spans="1:2" x14ac:dyDescent="0.25">
      <c r="A74" s="4">
        <v>1073</v>
      </c>
      <c r="B74" s="8">
        <v>3803711</v>
      </c>
    </row>
    <row r="75" spans="1:2" x14ac:dyDescent="0.25">
      <c r="A75" s="4">
        <v>1074</v>
      </c>
      <c r="B75" s="8">
        <v>6775475</v>
      </c>
    </row>
    <row r="76" spans="1:2" x14ac:dyDescent="0.25">
      <c r="A76" s="4">
        <v>1075</v>
      </c>
      <c r="B76" s="8">
        <v>221785</v>
      </c>
    </row>
    <row r="77" spans="1:2" x14ac:dyDescent="0.25">
      <c r="A77" s="4">
        <v>1076</v>
      </c>
      <c r="B77" s="8">
        <v>6141010</v>
      </c>
    </row>
    <row r="78" spans="1:2" x14ac:dyDescent="0.25">
      <c r="A78" s="4">
        <v>1077</v>
      </c>
      <c r="B78" s="8">
        <v>7103750</v>
      </c>
    </row>
    <row r="79" spans="1:2" x14ac:dyDescent="0.25">
      <c r="A79" s="4">
        <v>1078</v>
      </c>
      <c r="B79" s="8">
        <v>3252506</v>
      </c>
    </row>
    <row r="80" spans="1:2" x14ac:dyDescent="0.25">
      <c r="A80" s="4">
        <v>1079</v>
      </c>
      <c r="B80" s="8">
        <v>6502036</v>
      </c>
    </row>
    <row r="81" spans="1:2" x14ac:dyDescent="0.25">
      <c r="A81" s="4">
        <v>1080</v>
      </c>
      <c r="B81" s="8">
        <v>7558812</v>
      </c>
    </row>
    <row r="82" spans="1:2" x14ac:dyDescent="0.25">
      <c r="A82" s="4">
        <v>1081</v>
      </c>
      <c r="B82" s="8">
        <v>4440388</v>
      </c>
    </row>
    <row r="83" spans="1:2" x14ac:dyDescent="0.25">
      <c r="A83" s="4">
        <v>1082</v>
      </c>
      <c r="B83" s="8">
        <v>7221992</v>
      </c>
    </row>
    <row r="84" spans="1:2" x14ac:dyDescent="0.25">
      <c r="A84" s="4">
        <v>1083</v>
      </c>
      <c r="B84" s="8">
        <v>4844470</v>
      </c>
    </row>
    <row r="85" spans="1:2" x14ac:dyDescent="0.25">
      <c r="A85" s="4">
        <v>1084</v>
      </c>
      <c r="B85" s="8">
        <v>371931</v>
      </c>
    </row>
    <row r="86" spans="1:2" x14ac:dyDescent="0.25">
      <c r="A86" s="4">
        <v>1085</v>
      </c>
      <c r="B86" s="8">
        <v>6913709</v>
      </c>
    </row>
    <row r="87" spans="1:2" x14ac:dyDescent="0.25">
      <c r="A87" s="4">
        <v>1086</v>
      </c>
      <c r="B87" s="8">
        <v>2622433</v>
      </c>
    </row>
    <row r="88" spans="1:2" x14ac:dyDescent="0.25">
      <c r="A88" s="4">
        <v>1087</v>
      </c>
      <c r="B88" s="8">
        <v>4411565</v>
      </c>
    </row>
    <row r="89" spans="1:2" x14ac:dyDescent="0.25">
      <c r="A89" s="4">
        <v>1088</v>
      </c>
      <c r="B89" s="8">
        <v>4898236</v>
      </c>
    </row>
    <row r="90" spans="1:2" x14ac:dyDescent="0.25">
      <c r="A90" s="4">
        <v>1089</v>
      </c>
      <c r="B90" s="8">
        <v>5003649</v>
      </c>
    </row>
    <row r="91" spans="1:2" x14ac:dyDescent="0.25">
      <c r="A91" s="4">
        <v>1090</v>
      </c>
      <c r="B91" s="8">
        <v>6151419</v>
      </c>
    </row>
    <row r="92" spans="1:2" x14ac:dyDescent="0.25">
      <c r="A92" s="4">
        <v>1091</v>
      </c>
      <c r="B92" s="8">
        <v>7196653</v>
      </c>
    </row>
    <row r="93" spans="1:2" x14ac:dyDescent="0.25">
      <c r="A93" s="4">
        <v>1092</v>
      </c>
      <c r="B93" s="8">
        <v>1881750</v>
      </c>
    </row>
    <row r="94" spans="1:2" x14ac:dyDescent="0.25">
      <c r="A94" s="4">
        <v>1093</v>
      </c>
      <c r="B94" s="8">
        <v>7322980</v>
      </c>
    </row>
    <row r="95" spans="1:2" x14ac:dyDescent="0.25">
      <c r="A95" s="4">
        <v>1094</v>
      </c>
      <c r="B95" s="8">
        <v>7607303</v>
      </c>
    </row>
    <row r="96" spans="1:2" x14ac:dyDescent="0.25">
      <c r="A96" s="4">
        <v>1095</v>
      </c>
      <c r="B96" s="8">
        <v>4762314</v>
      </c>
    </row>
    <row r="97" spans="1:2" x14ac:dyDescent="0.25">
      <c r="A97" s="4">
        <v>1096</v>
      </c>
      <c r="B97" s="8">
        <v>5432177</v>
      </c>
    </row>
    <row r="98" spans="1:2" x14ac:dyDescent="0.25">
      <c r="A98" s="4">
        <v>1097</v>
      </c>
      <c r="B98" s="8">
        <v>6921586</v>
      </c>
    </row>
    <row r="99" spans="1:2" x14ac:dyDescent="0.25">
      <c r="A99" s="4">
        <v>1098</v>
      </c>
      <c r="B99" s="8">
        <v>4084204</v>
      </c>
    </row>
    <row r="100" spans="1:2" x14ac:dyDescent="0.25">
      <c r="A100" s="4">
        <v>1099</v>
      </c>
      <c r="B100" s="8">
        <v>1017205</v>
      </c>
    </row>
    <row r="101" spans="1:2" x14ac:dyDescent="0.25">
      <c r="A101" s="4">
        <v>1100</v>
      </c>
      <c r="B101" s="8">
        <v>7083140</v>
      </c>
    </row>
    <row r="102" spans="1:2" x14ac:dyDescent="0.25">
      <c r="A102" s="4">
        <v>1101</v>
      </c>
      <c r="B102" s="8">
        <v>6282717</v>
      </c>
    </row>
    <row r="103" spans="1:2" x14ac:dyDescent="0.25">
      <c r="A103" s="4">
        <v>1102</v>
      </c>
      <c r="B103" s="8">
        <v>2070058</v>
      </c>
    </row>
    <row r="104" spans="1:2" x14ac:dyDescent="0.25">
      <c r="A104" s="4">
        <v>1103</v>
      </c>
      <c r="B104" s="8">
        <v>5081015</v>
      </c>
    </row>
    <row r="105" spans="1:2" x14ac:dyDescent="0.25">
      <c r="A105" s="4">
        <v>1104</v>
      </c>
      <c r="B105" s="8">
        <v>3095558</v>
      </c>
    </row>
    <row r="106" spans="1:2" x14ac:dyDescent="0.25">
      <c r="A106" s="4">
        <v>1105</v>
      </c>
      <c r="B106" s="8">
        <v>6583684</v>
      </c>
    </row>
    <row r="107" spans="1:2" x14ac:dyDescent="0.25">
      <c r="A107" s="4">
        <v>1106</v>
      </c>
      <c r="B107" s="8">
        <v>4568262</v>
      </c>
    </row>
    <row r="108" spans="1:2" x14ac:dyDescent="0.25">
      <c r="A108" s="4">
        <v>1107</v>
      </c>
      <c r="B108" s="8">
        <v>4857979</v>
      </c>
    </row>
    <row r="109" spans="1:2" x14ac:dyDescent="0.25">
      <c r="A109" s="4">
        <v>1108</v>
      </c>
      <c r="B109" s="8">
        <v>5333320</v>
      </c>
    </row>
    <row r="110" spans="1:2" x14ac:dyDescent="0.25">
      <c r="A110" s="4">
        <v>1109</v>
      </c>
      <c r="B110" s="8">
        <v>1753178</v>
      </c>
    </row>
    <row r="111" spans="1:2" x14ac:dyDescent="0.25">
      <c r="A111" s="4">
        <v>1110</v>
      </c>
      <c r="B111" s="8">
        <v>7631994</v>
      </c>
    </row>
    <row r="112" spans="1:2" x14ac:dyDescent="0.25">
      <c r="A112" s="4">
        <v>1111</v>
      </c>
      <c r="B112" s="8">
        <v>4990631</v>
      </c>
    </row>
    <row r="113" spans="1:2" x14ac:dyDescent="0.25">
      <c r="A113" s="4">
        <v>1112</v>
      </c>
      <c r="B113" s="8">
        <v>6474260</v>
      </c>
    </row>
    <row r="114" spans="1:2" x14ac:dyDescent="0.25">
      <c r="A114" s="4">
        <v>1113</v>
      </c>
      <c r="B114" s="8">
        <v>705859</v>
      </c>
    </row>
    <row r="115" spans="1:2" x14ac:dyDescent="0.25">
      <c r="A115" s="4">
        <v>1114</v>
      </c>
      <c r="B115" s="8">
        <v>3440718</v>
      </c>
    </row>
    <row r="116" spans="1:2" x14ac:dyDescent="0.25">
      <c r="A116" s="4">
        <v>1115</v>
      </c>
      <c r="B116" s="8">
        <v>6698615</v>
      </c>
    </row>
    <row r="117" spans="1:2" x14ac:dyDescent="0.25">
      <c r="A117" s="4">
        <v>1116</v>
      </c>
      <c r="B117" s="8">
        <v>5704959</v>
      </c>
    </row>
    <row r="118" spans="1:2" x14ac:dyDescent="0.25">
      <c r="A118" s="4">
        <v>1117</v>
      </c>
      <c r="B118" s="8">
        <v>2431403</v>
      </c>
    </row>
    <row r="119" spans="1:2" x14ac:dyDescent="0.25">
      <c r="A119" s="4">
        <v>1118</v>
      </c>
      <c r="B119" s="8">
        <v>458866</v>
      </c>
    </row>
    <row r="120" spans="1:2" x14ac:dyDescent="0.25">
      <c r="A120" s="4">
        <v>1119</v>
      </c>
      <c r="B120" s="8">
        <v>2212587</v>
      </c>
    </row>
    <row r="121" spans="1:2" x14ac:dyDescent="0.25">
      <c r="A121" s="4">
        <v>1120</v>
      </c>
      <c r="B121" s="8">
        <v>4114503</v>
      </c>
    </row>
    <row r="122" spans="1:2" x14ac:dyDescent="0.25">
      <c r="A122" s="4">
        <v>1121</v>
      </c>
      <c r="B122" s="8">
        <v>7617849</v>
      </c>
    </row>
    <row r="123" spans="1:2" x14ac:dyDescent="0.25">
      <c r="A123" s="4">
        <v>1122</v>
      </c>
      <c r="B123" s="8">
        <v>1945207</v>
      </c>
    </row>
    <row r="124" spans="1:2" x14ac:dyDescent="0.25">
      <c r="A124" s="4">
        <v>1123</v>
      </c>
      <c r="B124" s="8">
        <v>7517036</v>
      </c>
    </row>
    <row r="125" spans="1:2" x14ac:dyDescent="0.25">
      <c r="A125" s="4">
        <v>1124</v>
      </c>
      <c r="B125" s="8">
        <v>4338774</v>
      </c>
    </row>
    <row r="126" spans="1:2" x14ac:dyDescent="0.25">
      <c r="A126" s="4">
        <v>1125</v>
      </c>
      <c r="B126" s="8">
        <v>7427806</v>
      </c>
    </row>
    <row r="127" spans="1:2" x14ac:dyDescent="0.25">
      <c r="A127" s="4">
        <v>1126</v>
      </c>
      <c r="B127" s="8">
        <v>4610200</v>
      </c>
    </row>
    <row r="128" spans="1:2" x14ac:dyDescent="0.25">
      <c r="A128" s="4">
        <v>1127</v>
      </c>
      <c r="B128" s="8">
        <v>3200493</v>
      </c>
    </row>
    <row r="129" spans="1:2" x14ac:dyDescent="0.25">
      <c r="A129" s="4">
        <v>1128</v>
      </c>
      <c r="B129" s="8">
        <v>3819707</v>
      </c>
    </row>
    <row r="130" spans="1:2" x14ac:dyDescent="0.25">
      <c r="A130" s="4">
        <v>1129</v>
      </c>
      <c r="B130" s="8">
        <v>2953031</v>
      </c>
    </row>
    <row r="131" spans="1:2" x14ac:dyDescent="0.25">
      <c r="A131" s="4">
        <v>1130</v>
      </c>
      <c r="B131" s="8">
        <v>542251</v>
      </c>
    </row>
    <row r="132" spans="1:2" x14ac:dyDescent="0.25">
      <c r="A132" s="4">
        <v>1131</v>
      </c>
      <c r="B132" s="8">
        <v>3042574</v>
      </c>
    </row>
    <row r="133" spans="1:2" x14ac:dyDescent="0.25">
      <c r="A133" s="4">
        <v>1132</v>
      </c>
      <c r="B133" s="8">
        <v>3992836</v>
      </c>
    </row>
    <row r="134" spans="1:2" x14ac:dyDescent="0.25">
      <c r="A134" s="4">
        <v>1133</v>
      </c>
      <c r="B134" s="8">
        <v>2697213</v>
      </c>
    </row>
    <row r="135" spans="1:2" x14ac:dyDescent="0.25">
      <c r="A135" s="4">
        <v>1134</v>
      </c>
      <c r="B135" s="8">
        <v>6689942</v>
      </c>
    </row>
    <row r="136" spans="1:2" x14ac:dyDescent="0.25">
      <c r="A136" s="4">
        <v>1135</v>
      </c>
      <c r="B136" s="8">
        <v>7627610</v>
      </c>
    </row>
    <row r="137" spans="1:2" x14ac:dyDescent="0.25">
      <c r="A137" s="4">
        <v>1136</v>
      </c>
      <c r="B137" s="8">
        <v>7620425</v>
      </c>
    </row>
    <row r="138" spans="1:2" x14ac:dyDescent="0.25">
      <c r="A138" s="4">
        <v>1137</v>
      </c>
      <c r="B138" s="8">
        <v>1578848</v>
      </c>
    </row>
    <row r="139" spans="1:2" x14ac:dyDescent="0.25">
      <c r="A139" s="4">
        <v>1138</v>
      </c>
      <c r="B139" s="8">
        <v>7048165</v>
      </c>
    </row>
    <row r="140" spans="1:2" x14ac:dyDescent="0.25">
      <c r="A140" s="4">
        <v>1139</v>
      </c>
      <c r="B140" s="8">
        <v>4425977</v>
      </c>
    </row>
    <row r="141" spans="1:2" x14ac:dyDescent="0.25">
      <c r="A141" s="4">
        <v>1140</v>
      </c>
      <c r="B141" s="8">
        <v>6975416</v>
      </c>
    </row>
    <row r="142" spans="1:2" x14ac:dyDescent="0.25">
      <c r="A142" s="4">
        <v>1141</v>
      </c>
      <c r="B142" s="8">
        <v>5144945</v>
      </c>
    </row>
    <row r="143" spans="1:2" x14ac:dyDescent="0.25">
      <c r="A143" s="4">
        <v>1142</v>
      </c>
      <c r="B143" s="8">
        <v>6929447</v>
      </c>
    </row>
    <row r="144" spans="1:2" x14ac:dyDescent="0.25">
      <c r="A144" s="4">
        <v>1143</v>
      </c>
      <c r="B144" s="8">
        <v>1774657</v>
      </c>
    </row>
    <row r="145" spans="1:2" x14ac:dyDescent="0.25">
      <c r="A145" s="4">
        <v>1144</v>
      </c>
      <c r="B145" s="8">
        <v>1067246</v>
      </c>
    </row>
    <row r="146" spans="1:2" x14ac:dyDescent="0.25">
      <c r="A146" s="4">
        <v>1145</v>
      </c>
      <c r="B146" s="8">
        <v>3574821</v>
      </c>
    </row>
    <row r="147" spans="1:2" x14ac:dyDescent="0.25">
      <c r="A147" s="4">
        <v>1146</v>
      </c>
      <c r="B147" s="8">
        <v>5358193</v>
      </c>
    </row>
    <row r="148" spans="1:2" x14ac:dyDescent="0.25">
      <c r="A148" s="4">
        <v>1147</v>
      </c>
      <c r="B148" s="8">
        <v>916136</v>
      </c>
    </row>
    <row r="149" spans="1:2" x14ac:dyDescent="0.25">
      <c r="A149" s="4">
        <v>1148</v>
      </c>
      <c r="B149" s="8">
        <v>6733027</v>
      </c>
    </row>
    <row r="150" spans="1:2" x14ac:dyDescent="0.25">
      <c r="A150" s="4">
        <v>1149</v>
      </c>
      <c r="B150" s="8">
        <v>2546823</v>
      </c>
    </row>
    <row r="151" spans="1:2" x14ac:dyDescent="0.25">
      <c r="A151" s="4">
        <v>1150</v>
      </c>
      <c r="B151" s="8">
        <v>7615242</v>
      </c>
    </row>
    <row r="152" spans="1:2" x14ac:dyDescent="0.25">
      <c r="A152" s="4">
        <v>1151</v>
      </c>
      <c r="B152" s="8">
        <v>6192524</v>
      </c>
    </row>
    <row r="153" spans="1:2" x14ac:dyDescent="0.25">
      <c r="A153" s="4">
        <v>1152</v>
      </c>
      <c r="B153" s="8">
        <v>7117351</v>
      </c>
    </row>
    <row r="154" spans="1:2" x14ac:dyDescent="0.25">
      <c r="A154" s="4">
        <v>1153</v>
      </c>
      <c r="B154" s="8">
        <v>3961982</v>
      </c>
    </row>
    <row r="155" spans="1:2" x14ac:dyDescent="0.25">
      <c r="A155" s="4">
        <v>1154</v>
      </c>
      <c r="B155" s="8">
        <v>32724</v>
      </c>
    </row>
    <row r="156" spans="1:2" x14ac:dyDescent="0.25">
      <c r="A156" s="4">
        <v>1155</v>
      </c>
      <c r="B156" s="8">
        <v>7170763</v>
      </c>
    </row>
    <row r="157" spans="1:2" x14ac:dyDescent="0.25">
      <c r="A157" s="4">
        <v>1156</v>
      </c>
      <c r="B157" s="8">
        <v>2049367</v>
      </c>
    </row>
    <row r="158" spans="1:2" x14ac:dyDescent="0.25">
      <c r="A158" s="4">
        <v>1157</v>
      </c>
      <c r="B158" s="8">
        <v>4977586</v>
      </c>
    </row>
    <row r="159" spans="1:2" x14ac:dyDescent="0.25">
      <c r="A159" s="4">
        <v>1158</v>
      </c>
      <c r="B159" s="8">
        <v>7345040</v>
      </c>
    </row>
    <row r="160" spans="1:2" x14ac:dyDescent="0.25">
      <c r="A160" s="4">
        <v>1159</v>
      </c>
      <c r="B160" s="8">
        <v>1534318</v>
      </c>
    </row>
    <row r="161" spans="1:2" x14ac:dyDescent="0.25">
      <c r="A161" s="4">
        <v>1160</v>
      </c>
      <c r="B161" s="8">
        <v>282606</v>
      </c>
    </row>
    <row r="162" spans="1:2" x14ac:dyDescent="0.25">
      <c r="A162" s="4">
        <v>1161</v>
      </c>
      <c r="B162" s="8">
        <v>732612</v>
      </c>
    </row>
    <row r="163" spans="1:2" x14ac:dyDescent="0.25">
      <c r="A163" s="4">
        <v>1162</v>
      </c>
      <c r="B163" s="8">
        <v>4190002</v>
      </c>
    </row>
    <row r="164" spans="1:2" x14ac:dyDescent="0.25">
      <c r="A164" s="4">
        <v>1163</v>
      </c>
      <c r="B164" s="8">
        <v>1307655</v>
      </c>
    </row>
    <row r="165" spans="1:2" x14ac:dyDescent="0.25">
      <c r="A165" s="4">
        <v>1164</v>
      </c>
      <c r="B165" s="8">
        <v>5068189</v>
      </c>
    </row>
    <row r="166" spans="1:2" x14ac:dyDescent="0.25">
      <c r="A166" s="4">
        <v>1165</v>
      </c>
      <c r="B166" s="8">
        <v>1838945</v>
      </c>
    </row>
    <row r="167" spans="1:2" x14ac:dyDescent="0.25">
      <c r="A167" s="4">
        <v>1166</v>
      </c>
      <c r="B167" s="8">
        <v>6322095</v>
      </c>
    </row>
    <row r="168" spans="1:2" x14ac:dyDescent="0.25">
      <c r="A168" s="4">
        <v>1167</v>
      </c>
      <c r="B168" s="8">
        <v>4497478</v>
      </c>
    </row>
    <row r="169" spans="1:2" x14ac:dyDescent="0.25">
      <c r="A169" s="4">
        <v>1168</v>
      </c>
      <c r="B169" s="8">
        <v>3024766</v>
      </c>
    </row>
    <row r="170" spans="1:2" x14ac:dyDescent="0.25">
      <c r="A170" s="4">
        <v>1169</v>
      </c>
      <c r="B170" s="8">
        <v>7437530</v>
      </c>
    </row>
    <row r="171" spans="1:2" x14ac:dyDescent="0.25">
      <c r="A171" s="4">
        <v>1170</v>
      </c>
      <c r="B171" s="8">
        <v>4789777</v>
      </c>
    </row>
    <row r="172" spans="1:2" x14ac:dyDescent="0.25">
      <c r="A172" s="4">
        <v>1171</v>
      </c>
      <c r="B172" s="8">
        <v>7644154</v>
      </c>
    </row>
    <row r="173" spans="1:2" x14ac:dyDescent="0.25">
      <c r="A173" s="4">
        <v>1172</v>
      </c>
      <c r="B173" s="8">
        <v>3657464</v>
      </c>
    </row>
    <row r="174" spans="1:2" x14ac:dyDescent="0.25">
      <c r="A174" s="4">
        <v>1173</v>
      </c>
      <c r="B174" s="8">
        <v>2450817</v>
      </c>
    </row>
    <row r="175" spans="1:2" x14ac:dyDescent="0.25">
      <c r="A175" s="4">
        <v>1174</v>
      </c>
      <c r="B175" s="8">
        <v>6272849</v>
      </c>
    </row>
    <row r="176" spans="1:2" x14ac:dyDescent="0.25">
      <c r="A176" s="4">
        <v>1175</v>
      </c>
      <c r="B176" s="8">
        <v>7177264</v>
      </c>
    </row>
    <row r="177" spans="1:2" x14ac:dyDescent="0.25">
      <c r="A177" s="4">
        <v>1176</v>
      </c>
      <c r="B177" s="8">
        <v>7019484</v>
      </c>
    </row>
    <row r="178" spans="1:2" x14ac:dyDescent="0.25">
      <c r="A178" s="4">
        <v>1177</v>
      </c>
      <c r="B178" s="8">
        <v>7157662</v>
      </c>
    </row>
    <row r="179" spans="1:2" x14ac:dyDescent="0.25">
      <c r="A179" s="4">
        <v>1178</v>
      </c>
      <c r="B179" s="8">
        <v>4638028</v>
      </c>
    </row>
    <row r="180" spans="1:2" x14ac:dyDescent="0.25">
      <c r="A180" s="4">
        <v>1179</v>
      </c>
      <c r="B180" s="8">
        <v>5940258</v>
      </c>
    </row>
    <row r="181" spans="1:2" x14ac:dyDescent="0.25">
      <c r="A181" s="4">
        <v>1180</v>
      </c>
      <c r="B181" s="8">
        <v>7215764</v>
      </c>
    </row>
    <row r="182" spans="1:2" x14ac:dyDescent="0.25">
      <c r="A182" s="4">
        <v>1181</v>
      </c>
      <c r="B182" s="8">
        <v>7645804</v>
      </c>
    </row>
    <row r="183" spans="1:2" x14ac:dyDescent="0.25">
      <c r="A183" s="4">
        <v>1182</v>
      </c>
      <c r="B183" s="8">
        <v>4023429</v>
      </c>
    </row>
    <row r="184" spans="1:2" x14ac:dyDescent="0.25">
      <c r="A184" s="4">
        <v>1183</v>
      </c>
      <c r="B184" s="8">
        <v>252329</v>
      </c>
    </row>
    <row r="185" spans="1:2" x14ac:dyDescent="0.25">
      <c r="A185" s="4">
        <v>1184</v>
      </c>
      <c r="B185" s="8">
        <v>6360703</v>
      </c>
    </row>
    <row r="186" spans="1:2" x14ac:dyDescent="0.25">
      <c r="A186" s="4">
        <v>1185</v>
      </c>
      <c r="B186" s="8">
        <v>7528796</v>
      </c>
    </row>
    <row r="187" spans="1:2" x14ac:dyDescent="0.25">
      <c r="A187" s="4">
        <v>1186</v>
      </c>
      <c r="B187" s="8">
        <v>7408069</v>
      </c>
    </row>
    <row r="188" spans="1:2" x14ac:dyDescent="0.25">
      <c r="A188" s="4">
        <v>1187</v>
      </c>
      <c r="B188" s="8">
        <v>7397994</v>
      </c>
    </row>
    <row r="189" spans="1:2" x14ac:dyDescent="0.25">
      <c r="A189" s="4">
        <v>1188</v>
      </c>
      <c r="B189" s="8">
        <v>678901</v>
      </c>
    </row>
    <row r="190" spans="1:2" x14ac:dyDescent="0.25">
      <c r="A190" s="4">
        <v>1189</v>
      </c>
      <c r="B190" s="8">
        <v>7470359</v>
      </c>
    </row>
    <row r="191" spans="1:2" x14ac:dyDescent="0.25">
      <c r="A191" s="4">
        <v>1190</v>
      </c>
      <c r="B191" s="8">
        <v>941519</v>
      </c>
    </row>
    <row r="192" spans="1:2" x14ac:dyDescent="0.25">
      <c r="A192" s="4">
        <v>1191</v>
      </c>
      <c r="B192" s="8">
        <v>6046676</v>
      </c>
    </row>
    <row r="193" spans="1:2" x14ac:dyDescent="0.25">
      <c r="A193" s="4">
        <v>1192</v>
      </c>
      <c r="B193" s="8">
        <v>1644801</v>
      </c>
    </row>
    <row r="194" spans="1:2" x14ac:dyDescent="0.25">
      <c r="A194" s="4">
        <v>1193</v>
      </c>
      <c r="B194" s="8">
        <v>7595594</v>
      </c>
    </row>
    <row r="195" spans="1:2" x14ac:dyDescent="0.25">
      <c r="A195" s="4">
        <v>1194</v>
      </c>
      <c r="B195" s="8">
        <v>4129638</v>
      </c>
    </row>
    <row r="196" spans="1:2" x14ac:dyDescent="0.25">
      <c r="A196" s="4">
        <v>1195</v>
      </c>
      <c r="B196" s="8">
        <v>6663780</v>
      </c>
    </row>
    <row r="197" spans="1:2" x14ac:dyDescent="0.25">
      <c r="A197" s="4">
        <v>1196</v>
      </c>
      <c r="B197" s="8">
        <v>838498</v>
      </c>
    </row>
    <row r="198" spans="1:2" x14ac:dyDescent="0.25">
      <c r="A198" s="4">
        <v>1198</v>
      </c>
      <c r="B198" s="8">
        <v>2752594</v>
      </c>
    </row>
    <row r="199" spans="1:2" x14ac:dyDescent="0.25">
      <c r="A199" s="4">
        <v>1199</v>
      </c>
      <c r="B199" s="8">
        <v>7586163</v>
      </c>
    </row>
    <row r="200" spans="1:2" x14ac:dyDescent="0.25">
      <c r="A200" s="4">
        <v>1200</v>
      </c>
      <c r="B200" s="8">
        <v>7004932</v>
      </c>
    </row>
    <row r="201" spans="1:2" x14ac:dyDescent="0.25">
      <c r="A201" s="4">
        <v>1201</v>
      </c>
      <c r="B201" s="8">
        <v>1353570</v>
      </c>
    </row>
    <row r="202" spans="1:2" x14ac:dyDescent="0.25">
      <c r="A202" s="4">
        <v>1202</v>
      </c>
      <c r="B202" s="8">
        <v>3641001</v>
      </c>
    </row>
    <row r="203" spans="1:2" x14ac:dyDescent="0.25">
      <c r="A203" s="4">
        <v>1203</v>
      </c>
      <c r="B203" s="8">
        <v>2715710</v>
      </c>
    </row>
    <row r="204" spans="1:2" x14ac:dyDescent="0.25">
      <c r="A204" s="4">
        <v>1204</v>
      </c>
      <c r="B204" s="8">
        <v>4938093</v>
      </c>
    </row>
    <row r="205" spans="1:2" x14ac:dyDescent="0.25">
      <c r="A205" s="4">
        <v>1205</v>
      </c>
      <c r="B205" s="8">
        <v>7190210</v>
      </c>
    </row>
    <row r="206" spans="1:2" x14ac:dyDescent="0.25">
      <c r="A206" s="4">
        <v>1206</v>
      </c>
      <c r="B206" s="8">
        <v>7447115</v>
      </c>
    </row>
    <row r="207" spans="1:2" x14ac:dyDescent="0.25">
      <c r="A207" s="4">
        <v>1207</v>
      </c>
      <c r="B207" s="8">
        <v>5830205</v>
      </c>
    </row>
    <row r="208" spans="1:2" x14ac:dyDescent="0.25">
      <c r="A208" s="4">
        <v>1208</v>
      </c>
      <c r="B208" s="8">
        <v>7026732</v>
      </c>
    </row>
    <row r="209" spans="1:2" x14ac:dyDescent="0.25">
      <c r="A209" s="4">
        <v>1209</v>
      </c>
      <c r="B209" s="8">
        <v>6025572</v>
      </c>
    </row>
    <row r="210" spans="1:2" x14ac:dyDescent="0.25">
      <c r="A210" s="4">
        <v>1210</v>
      </c>
      <c r="B210" s="8">
        <v>6715890</v>
      </c>
    </row>
    <row r="211" spans="1:2" x14ac:dyDescent="0.25">
      <c r="A211" s="4">
        <v>1211</v>
      </c>
      <c r="B211" s="8">
        <v>6849867</v>
      </c>
    </row>
    <row r="212" spans="1:2" x14ac:dyDescent="0.25">
      <c r="A212" s="4">
        <v>1212</v>
      </c>
      <c r="B212" s="8">
        <v>7640799</v>
      </c>
    </row>
    <row r="213" spans="1:2" x14ac:dyDescent="0.25">
      <c r="A213" s="4">
        <v>1213</v>
      </c>
      <c r="B213" s="8">
        <v>2660043</v>
      </c>
    </row>
    <row r="214" spans="1:2" x14ac:dyDescent="0.25">
      <c r="A214" s="4">
        <v>1214</v>
      </c>
      <c r="B214" s="8">
        <v>2880505</v>
      </c>
    </row>
    <row r="215" spans="1:2" x14ac:dyDescent="0.25">
      <c r="A215" s="4">
        <v>1215</v>
      </c>
      <c r="B215" s="8">
        <v>6655006</v>
      </c>
    </row>
    <row r="216" spans="1:2" x14ac:dyDescent="0.25">
      <c r="A216" s="4">
        <v>1216</v>
      </c>
      <c r="B216" s="8">
        <v>1141450</v>
      </c>
    </row>
    <row r="217" spans="1:2" x14ac:dyDescent="0.25">
      <c r="A217" s="4">
        <v>1217</v>
      </c>
      <c r="B217" s="8">
        <v>3755354</v>
      </c>
    </row>
    <row r="218" spans="1:2" x14ac:dyDescent="0.25">
      <c r="A218" s="4">
        <v>1218</v>
      </c>
      <c r="B218" s="8">
        <v>2352643</v>
      </c>
    </row>
    <row r="219" spans="1:2" x14ac:dyDescent="0.25">
      <c r="A219" s="4">
        <v>1219</v>
      </c>
      <c r="B219" s="8">
        <v>7625267</v>
      </c>
    </row>
    <row r="220" spans="1:2" x14ac:dyDescent="0.25">
      <c r="A220" s="4">
        <v>1220</v>
      </c>
      <c r="B220" s="8">
        <v>1237251</v>
      </c>
    </row>
    <row r="221" spans="1:2" x14ac:dyDescent="0.25">
      <c r="A221" s="4">
        <v>1221</v>
      </c>
      <c r="B221" s="8">
        <v>7355835</v>
      </c>
    </row>
    <row r="222" spans="1:2" x14ac:dyDescent="0.25">
      <c r="A222" s="4">
        <v>1222</v>
      </c>
      <c r="B222" s="8">
        <v>5972470</v>
      </c>
    </row>
    <row r="223" spans="1:2" x14ac:dyDescent="0.25">
      <c r="A223" s="4">
        <v>1223</v>
      </c>
      <c r="B223" s="8">
        <v>159474</v>
      </c>
    </row>
    <row r="224" spans="1:2" x14ac:dyDescent="0.25">
      <c r="A224" s="4">
        <v>1224</v>
      </c>
      <c r="B224" s="8">
        <v>5670183</v>
      </c>
    </row>
    <row r="225" spans="1:2" x14ac:dyDescent="0.25">
      <c r="A225" s="4">
        <v>1225</v>
      </c>
      <c r="B225" s="8">
        <v>5611938</v>
      </c>
    </row>
    <row r="226" spans="1:2" x14ac:dyDescent="0.25">
      <c r="A226" s="4">
        <v>1226</v>
      </c>
      <c r="B226" s="8">
        <v>1189840</v>
      </c>
    </row>
    <row r="227" spans="1:2" x14ac:dyDescent="0.25">
      <c r="A227" s="4">
        <v>1227</v>
      </c>
      <c r="B227" s="8">
        <v>2489495</v>
      </c>
    </row>
    <row r="228" spans="1:2" x14ac:dyDescent="0.25">
      <c r="A228" s="4">
        <v>1228</v>
      </c>
      <c r="B228" s="8">
        <v>5819006</v>
      </c>
    </row>
    <row r="229" spans="1:2" x14ac:dyDescent="0.25">
      <c r="A229" s="4">
        <v>1229</v>
      </c>
      <c r="B229" s="8">
        <v>3722883</v>
      </c>
    </row>
    <row r="230" spans="1:2" x14ac:dyDescent="0.25">
      <c r="A230" s="4">
        <v>1230</v>
      </c>
      <c r="B230" s="8">
        <v>6212860</v>
      </c>
    </row>
    <row r="231" spans="1:2" x14ac:dyDescent="0.25">
      <c r="A231" s="4">
        <v>1231</v>
      </c>
      <c r="B231" s="8">
        <v>2470175</v>
      </c>
    </row>
    <row r="232" spans="1:2" x14ac:dyDescent="0.25">
      <c r="A232" s="4">
        <v>1232</v>
      </c>
      <c r="B232" s="8">
        <v>7076230</v>
      </c>
    </row>
    <row r="233" spans="1:2" x14ac:dyDescent="0.25">
      <c r="A233" s="4">
        <v>1233</v>
      </c>
      <c r="B233" s="8">
        <v>430079</v>
      </c>
    </row>
    <row r="234" spans="1:2" x14ac:dyDescent="0.25">
      <c r="A234" s="4">
        <v>1234</v>
      </c>
      <c r="B234" s="8">
        <v>6172019</v>
      </c>
    </row>
    <row r="235" spans="1:2" x14ac:dyDescent="0.25">
      <c r="A235" s="4">
        <v>1235</v>
      </c>
      <c r="B235" s="8">
        <v>6312271</v>
      </c>
    </row>
    <row r="236" spans="1:2" x14ac:dyDescent="0.25">
      <c r="A236" s="4">
        <v>1236</v>
      </c>
      <c r="B236" s="8">
        <v>6833536</v>
      </c>
    </row>
    <row r="237" spans="1:2" x14ac:dyDescent="0.25">
      <c r="A237" s="4">
        <v>1237</v>
      </c>
      <c r="B237" s="8">
        <v>6389435</v>
      </c>
    </row>
    <row r="238" spans="1:2" x14ac:dyDescent="0.25">
      <c r="A238" s="4">
        <v>1238</v>
      </c>
      <c r="B238" s="8">
        <v>7417994</v>
      </c>
    </row>
    <row r="239" spans="1:2" x14ac:dyDescent="0.25">
      <c r="A239" s="4">
        <v>1239</v>
      </c>
      <c r="B239" s="8">
        <v>4159896</v>
      </c>
    </row>
    <row r="240" spans="1:2" x14ac:dyDescent="0.25">
      <c r="A240" s="4">
        <v>1240</v>
      </c>
      <c r="B240" s="8">
        <v>7536513</v>
      </c>
    </row>
    <row r="241" spans="1:2" x14ac:dyDescent="0.25">
      <c r="A241" s="4">
        <v>1241</v>
      </c>
      <c r="B241" s="8">
        <v>6492813</v>
      </c>
    </row>
    <row r="242" spans="1:2" x14ac:dyDescent="0.25">
      <c r="A242" s="4">
        <v>1242</v>
      </c>
      <c r="B242" s="8">
        <v>1330725</v>
      </c>
    </row>
    <row r="243" spans="1:2" x14ac:dyDescent="0.25">
      <c r="A243" s="4">
        <v>1243</v>
      </c>
      <c r="B243" s="8">
        <v>4309215</v>
      </c>
    </row>
    <row r="244" spans="1:2" x14ac:dyDescent="0.25">
      <c r="A244" s="4">
        <v>1244</v>
      </c>
      <c r="B244" s="8">
        <v>5681802</v>
      </c>
    </row>
    <row r="245" spans="1:2" x14ac:dyDescent="0.25">
      <c r="A245" s="4">
        <v>1245</v>
      </c>
      <c r="B245" s="8">
        <v>7361193</v>
      </c>
    </row>
    <row r="246" spans="1:2" x14ac:dyDescent="0.25">
      <c r="A246" s="4">
        <v>1246</v>
      </c>
      <c r="B246" s="8">
        <v>6592682</v>
      </c>
    </row>
    <row r="247" spans="1:2" x14ac:dyDescent="0.25">
      <c r="A247" s="4">
        <v>1247</v>
      </c>
      <c r="B247" s="8">
        <v>5762430</v>
      </c>
    </row>
    <row r="248" spans="1:2" x14ac:dyDescent="0.25">
      <c r="A248" s="4">
        <v>1248</v>
      </c>
      <c r="B248" s="8">
        <v>7432676</v>
      </c>
    </row>
    <row r="249" spans="1:2" x14ac:dyDescent="0.25">
      <c r="A249" s="4">
        <v>1249</v>
      </c>
      <c r="B249" s="8">
        <v>7474917</v>
      </c>
    </row>
    <row r="250" spans="1:2" x14ac:dyDescent="0.25">
      <c r="A250" s="4">
        <v>1250</v>
      </c>
      <c r="B250" s="8">
        <v>5517261</v>
      </c>
    </row>
    <row r="251" spans="1:2" x14ac:dyDescent="0.25">
      <c r="A251" s="4">
        <v>1251</v>
      </c>
      <c r="B251" s="8">
        <v>2825842</v>
      </c>
    </row>
    <row r="252" spans="1:2" x14ac:dyDescent="0.25">
      <c r="A252" s="4">
        <v>1252</v>
      </c>
      <c r="B252" s="8">
        <v>7622871</v>
      </c>
    </row>
    <row r="253" spans="1:2" x14ac:dyDescent="0.25">
      <c r="A253" s="4">
        <v>1253</v>
      </c>
      <c r="B253" s="8">
        <v>1987077</v>
      </c>
    </row>
    <row r="254" spans="1:2" x14ac:dyDescent="0.25">
      <c r="A254" s="4">
        <v>1254</v>
      </c>
      <c r="B254" s="8">
        <v>2192435</v>
      </c>
    </row>
    <row r="255" spans="1:2" x14ac:dyDescent="0.25">
      <c r="A255" s="4">
        <v>1255</v>
      </c>
      <c r="B255" s="8">
        <v>7639217</v>
      </c>
    </row>
    <row r="256" spans="1:2" x14ac:dyDescent="0.25">
      <c r="A256" s="4">
        <v>1256</v>
      </c>
      <c r="B256" s="8">
        <v>5896802</v>
      </c>
    </row>
    <row r="257" spans="1:2" x14ac:dyDescent="0.25">
      <c r="A257" s="4">
        <v>1257</v>
      </c>
      <c r="B257" s="8">
        <v>7382312</v>
      </c>
    </row>
    <row r="258" spans="1:2" x14ac:dyDescent="0.25">
      <c r="A258" s="4">
        <v>1258</v>
      </c>
      <c r="B258" s="8">
        <v>6547593</v>
      </c>
    </row>
    <row r="259" spans="1:2" x14ac:dyDescent="0.25">
      <c r="A259" s="4">
        <v>1259</v>
      </c>
      <c r="B259" s="8">
        <v>5468746</v>
      </c>
    </row>
    <row r="260" spans="1:2" x14ac:dyDescent="0.25">
      <c r="A260" s="4">
        <v>1260</v>
      </c>
      <c r="B260" s="8">
        <v>1622839</v>
      </c>
    </row>
    <row r="261" spans="1:2" x14ac:dyDescent="0.25">
      <c r="A261" s="4">
        <v>1261</v>
      </c>
      <c r="B261" s="8">
        <v>1166050</v>
      </c>
    </row>
    <row r="262" spans="1:2" x14ac:dyDescent="0.25">
      <c r="A262" s="4">
        <v>1262</v>
      </c>
      <c r="B262" s="8">
        <v>5623636</v>
      </c>
    </row>
    <row r="263" spans="1:2" x14ac:dyDescent="0.25">
      <c r="A263" s="4">
        <v>1263</v>
      </c>
      <c r="B263" s="8">
        <v>5407650</v>
      </c>
    </row>
    <row r="264" spans="1:2" x14ac:dyDescent="0.25">
      <c r="A264" s="4">
        <v>1264</v>
      </c>
      <c r="B264" s="8">
        <v>5395318</v>
      </c>
    </row>
    <row r="265" spans="1:2" x14ac:dyDescent="0.25">
      <c r="A265" s="4">
        <v>1265</v>
      </c>
      <c r="B265" s="8">
        <v>5773790</v>
      </c>
    </row>
    <row r="266" spans="1:2" x14ac:dyDescent="0.25">
      <c r="A266" s="4">
        <v>1266</v>
      </c>
      <c r="B266" s="8">
        <v>5055347</v>
      </c>
    </row>
    <row r="267" spans="1:2" x14ac:dyDescent="0.25">
      <c r="A267" s="4">
        <v>1267</v>
      </c>
      <c r="B267" s="8">
        <v>7555145</v>
      </c>
    </row>
    <row r="268" spans="1:2" x14ac:dyDescent="0.25">
      <c r="A268" s="4">
        <v>1268</v>
      </c>
      <c r="B268" s="8">
        <v>514730</v>
      </c>
    </row>
    <row r="269" spans="1:2" x14ac:dyDescent="0.25">
      <c r="A269" s="4">
        <v>1269</v>
      </c>
      <c r="B269" s="8">
        <v>7306034</v>
      </c>
    </row>
    <row r="270" spans="1:2" x14ac:dyDescent="0.25">
      <c r="A270" s="4">
        <v>1270</v>
      </c>
      <c r="B270" s="8">
        <v>6681250</v>
      </c>
    </row>
    <row r="271" spans="1:2" x14ac:dyDescent="0.25">
      <c r="A271" s="4">
        <v>1271</v>
      </c>
      <c r="B271" s="8">
        <v>6825361</v>
      </c>
    </row>
    <row r="272" spans="1:2" x14ac:dyDescent="0.25">
      <c r="A272" s="4">
        <v>1272</v>
      </c>
      <c r="B272" s="8">
        <v>7579783</v>
      </c>
    </row>
    <row r="273" spans="1:2" x14ac:dyDescent="0.25">
      <c r="A273" s="4">
        <v>1273</v>
      </c>
      <c r="B273" s="8">
        <v>1260863</v>
      </c>
    </row>
    <row r="274" spans="1:2" x14ac:dyDescent="0.25">
      <c r="A274" s="4">
        <v>1274</v>
      </c>
      <c r="B274" s="8">
        <v>4884864</v>
      </c>
    </row>
    <row r="275" spans="1:2" x14ac:dyDescent="0.25">
      <c r="A275" s="4">
        <v>1275</v>
      </c>
      <c r="B275" s="8">
        <v>7270993</v>
      </c>
    </row>
    <row r="276" spans="1:2" x14ac:dyDescent="0.25">
      <c r="A276" s="4">
        <v>1276</v>
      </c>
      <c r="B276" s="8">
        <v>5751055</v>
      </c>
    </row>
    <row r="277" spans="1:2" x14ac:dyDescent="0.25">
      <c r="A277" s="4">
        <v>1277</v>
      </c>
      <c r="B277" s="8">
        <v>1284418</v>
      </c>
    </row>
    <row r="278" spans="1:2" x14ac:dyDescent="0.25">
      <c r="A278" s="4">
        <v>1278</v>
      </c>
      <c r="B278" s="8">
        <v>6464957</v>
      </c>
    </row>
    <row r="279" spans="1:2" x14ac:dyDescent="0.25">
      <c r="A279" s="4">
        <v>1279</v>
      </c>
      <c r="B279" s="8">
        <v>6511204</v>
      </c>
    </row>
    <row r="280" spans="1:2" x14ac:dyDescent="0.25">
      <c r="A280" s="4">
        <v>1280</v>
      </c>
      <c r="B280" s="8">
        <v>4748564</v>
      </c>
    </row>
    <row r="281" spans="1:2" x14ac:dyDescent="0.25">
      <c r="A281" s="4">
        <v>1281</v>
      </c>
      <c r="B281" s="8">
        <v>4099362</v>
      </c>
    </row>
    <row r="282" spans="1:2" x14ac:dyDescent="0.25">
      <c r="A282" s="4">
        <v>1282</v>
      </c>
      <c r="B282" s="8">
        <v>7276978</v>
      </c>
    </row>
    <row r="283" spans="1:2" x14ac:dyDescent="0.25">
      <c r="A283" s="4">
        <v>1283</v>
      </c>
      <c r="B283" s="8">
        <v>3706615</v>
      </c>
    </row>
    <row r="284" spans="1:2" x14ac:dyDescent="0.25">
      <c r="A284" s="4">
        <v>1284</v>
      </c>
      <c r="B284" s="8">
        <v>5444411</v>
      </c>
    </row>
    <row r="285" spans="1:2" x14ac:dyDescent="0.25">
      <c r="A285" s="4">
        <v>1285</v>
      </c>
      <c r="B285" s="8">
        <v>1489503</v>
      </c>
    </row>
    <row r="286" spans="1:2" x14ac:dyDescent="0.25">
      <c r="A286" s="4">
        <v>1286</v>
      </c>
      <c r="B286" s="8">
        <v>3457607</v>
      </c>
    </row>
    <row r="287" spans="1:2" x14ac:dyDescent="0.25">
      <c r="A287" s="4">
        <v>1287</v>
      </c>
      <c r="B287" s="8">
        <v>5529269</v>
      </c>
    </row>
    <row r="288" spans="1:2" x14ac:dyDescent="0.25">
      <c r="A288" s="4">
        <v>1288</v>
      </c>
      <c r="B288" s="8">
        <v>342343</v>
      </c>
    </row>
    <row r="289" spans="1:2" x14ac:dyDescent="0.25">
      <c r="A289" s="4">
        <v>1289</v>
      </c>
      <c r="B289" s="8">
        <v>2007858</v>
      </c>
    </row>
    <row r="290" spans="1:2" x14ac:dyDescent="0.25">
      <c r="A290" s="4">
        <v>1290</v>
      </c>
      <c r="B290" s="8">
        <v>6529454</v>
      </c>
    </row>
    <row r="291" spans="1:2" x14ac:dyDescent="0.25">
      <c r="A291" s="4">
        <v>1291</v>
      </c>
      <c r="B291" s="8">
        <v>6455588</v>
      </c>
    </row>
    <row r="292" spans="1:2" x14ac:dyDescent="0.25">
      <c r="A292" s="4">
        <v>1292</v>
      </c>
      <c r="B292" s="8">
        <v>7164220</v>
      </c>
    </row>
    <row r="293" spans="1:2" x14ac:dyDescent="0.25">
      <c r="A293" s="4">
        <v>1293</v>
      </c>
      <c r="B293" s="8">
        <v>5195597</v>
      </c>
    </row>
    <row r="294" spans="1:2" x14ac:dyDescent="0.25">
      <c r="A294" s="4">
        <v>1294</v>
      </c>
      <c r="B294" s="8">
        <v>4582261</v>
      </c>
    </row>
    <row r="295" spans="1:2" x14ac:dyDescent="0.25">
      <c r="A295" s="4">
        <v>1295</v>
      </c>
      <c r="B295" s="8">
        <v>6067722</v>
      </c>
    </row>
    <row r="296" spans="1:2" x14ac:dyDescent="0.25">
      <c r="A296" s="4">
        <v>1296</v>
      </c>
      <c r="B296" s="8">
        <v>3389883</v>
      </c>
    </row>
    <row r="297" spans="1:2" x14ac:dyDescent="0.25">
      <c r="A297" s="4">
        <v>1297</v>
      </c>
      <c r="B297" s="8">
        <v>7403067</v>
      </c>
    </row>
    <row r="298" spans="1:2" x14ac:dyDescent="0.25">
      <c r="A298" s="4">
        <v>1298</v>
      </c>
      <c r="B298" s="8">
        <v>6370298</v>
      </c>
    </row>
    <row r="299" spans="1:2" x14ac:dyDescent="0.25">
      <c r="A299" s="4">
        <v>1300</v>
      </c>
      <c r="B299" s="8">
        <v>7012212</v>
      </c>
    </row>
    <row r="300" spans="1:2" x14ac:dyDescent="0.25">
      <c r="A300" s="4">
        <v>1301</v>
      </c>
      <c r="B300" s="8">
        <v>2508729</v>
      </c>
    </row>
    <row r="301" spans="1:2" x14ac:dyDescent="0.25">
      <c r="A301" s="4">
        <v>1302</v>
      </c>
      <c r="B301" s="8">
        <v>190971</v>
      </c>
    </row>
    <row r="302" spans="1:2" x14ac:dyDescent="0.25">
      <c r="A302" s="4">
        <v>1303</v>
      </c>
      <c r="B302" s="8">
        <v>1213592</v>
      </c>
    </row>
    <row r="303" spans="1:2" x14ac:dyDescent="0.25">
      <c r="A303" s="4">
        <v>1304</v>
      </c>
      <c r="B303" s="8">
        <v>5635277</v>
      </c>
    </row>
    <row r="304" spans="1:2" x14ac:dyDescent="0.25">
      <c r="A304" s="4">
        <v>1305</v>
      </c>
      <c r="B304" s="8">
        <v>2111051</v>
      </c>
    </row>
    <row r="305" spans="1:2" x14ac:dyDescent="0.25">
      <c r="A305" s="4">
        <v>1306</v>
      </c>
      <c r="B305" s="8">
        <v>4174972</v>
      </c>
    </row>
    <row r="306" spans="1:2" x14ac:dyDescent="0.25">
      <c r="A306" s="4">
        <v>1307</v>
      </c>
      <c r="B306" s="8">
        <v>7300269</v>
      </c>
    </row>
    <row r="307" spans="1:2" x14ac:dyDescent="0.25">
      <c r="A307" s="4">
        <v>1308</v>
      </c>
      <c r="B307" s="8">
        <v>6952727</v>
      </c>
    </row>
    <row r="308" spans="1:2" x14ac:dyDescent="0.25">
      <c r="A308" s="4">
        <v>1309</v>
      </c>
      <c r="B308" s="8">
        <v>6202717</v>
      </c>
    </row>
    <row r="309" spans="1:2" x14ac:dyDescent="0.25">
      <c r="A309" s="4">
        <v>1310</v>
      </c>
      <c r="B309" s="8">
        <v>7576460</v>
      </c>
    </row>
    <row r="310" spans="1:2" x14ac:dyDescent="0.25">
      <c r="A310" s="4">
        <v>1311</v>
      </c>
      <c r="B310" s="8">
        <v>5874725</v>
      </c>
    </row>
    <row r="311" spans="1:2" x14ac:dyDescent="0.25">
      <c r="A311" s="4">
        <v>1312</v>
      </c>
      <c r="B311" s="8">
        <v>6538541</v>
      </c>
    </row>
    <row r="312" spans="1:2" x14ac:dyDescent="0.25">
      <c r="A312" s="4">
        <v>1313</v>
      </c>
      <c r="B312" s="8">
        <v>2131478</v>
      </c>
    </row>
    <row r="313" spans="1:2" x14ac:dyDescent="0.25">
      <c r="A313" s="4">
        <v>1314</v>
      </c>
      <c r="B313" s="8">
        <v>3113131</v>
      </c>
    </row>
    <row r="314" spans="1:2" x14ac:dyDescent="0.25">
      <c r="A314" s="4">
        <v>1315</v>
      </c>
      <c r="B314" s="8">
        <v>7451828</v>
      </c>
    </row>
    <row r="315" spans="1:2" x14ac:dyDescent="0.25">
      <c r="A315" s="4">
        <v>1316</v>
      </c>
      <c r="B315" s="8">
        <v>6161735</v>
      </c>
    </row>
    <row r="316" spans="1:2" x14ac:dyDescent="0.25">
      <c r="A316" s="4">
        <v>1317</v>
      </c>
      <c r="B316" s="8">
        <v>7646666</v>
      </c>
    </row>
    <row r="317" spans="1:2" x14ac:dyDescent="0.25">
      <c r="A317" s="4">
        <v>1318</v>
      </c>
      <c r="B317" s="8">
        <v>624479</v>
      </c>
    </row>
    <row r="318" spans="1:2" x14ac:dyDescent="0.25">
      <c r="A318" s="4">
        <v>1319</v>
      </c>
      <c r="B318" s="8">
        <v>7634052</v>
      </c>
    </row>
    <row r="319" spans="1:2" x14ac:dyDescent="0.25">
      <c r="A319" s="4">
        <v>1320</v>
      </c>
      <c r="B319" s="8">
        <v>2527801</v>
      </c>
    </row>
    <row r="320" spans="1:2" x14ac:dyDescent="0.25">
      <c r="A320" s="4">
        <v>1321</v>
      </c>
      <c r="B320" s="8">
        <v>5157644</v>
      </c>
    </row>
    <row r="321" spans="1:2" x14ac:dyDescent="0.25">
      <c r="A321" s="4">
        <v>1322</v>
      </c>
      <c r="B321" s="8">
        <v>7461195</v>
      </c>
    </row>
    <row r="322" spans="1:2" x14ac:dyDescent="0.25">
      <c r="A322" s="4">
        <v>1323</v>
      </c>
      <c r="B322" s="8">
        <v>3130692</v>
      </c>
    </row>
    <row r="323" spans="1:2" x14ac:dyDescent="0.25">
      <c r="A323" s="4">
        <v>1324</v>
      </c>
      <c r="B323" s="8">
        <v>5807784</v>
      </c>
    </row>
    <row r="324" spans="1:2" x14ac:dyDescent="0.25">
      <c r="A324" s="4">
        <v>1325</v>
      </c>
      <c r="B324" s="8">
        <v>6078236</v>
      </c>
    </row>
    <row r="325" spans="1:2" x14ac:dyDescent="0.25">
      <c r="A325" s="4">
        <v>1326</v>
      </c>
      <c r="B325" s="8">
        <v>4924848</v>
      </c>
    </row>
    <row r="326" spans="1:2" x14ac:dyDescent="0.25">
      <c r="A326" s="4">
        <v>1327</v>
      </c>
      <c r="B326" s="8">
        <v>5658553</v>
      </c>
    </row>
    <row r="327" spans="1:2" x14ac:dyDescent="0.25">
      <c r="A327" s="4">
        <v>1328</v>
      </c>
      <c r="B327" s="8">
        <v>6427404</v>
      </c>
    </row>
    <row r="328" spans="1:2" x14ac:dyDescent="0.25">
      <c r="A328" s="4">
        <v>1329</v>
      </c>
      <c r="B328" s="8">
        <v>4693424</v>
      </c>
    </row>
    <row r="329" spans="1:2" x14ac:dyDescent="0.25">
      <c r="A329" s="4">
        <v>1330</v>
      </c>
      <c r="B329" s="8">
        <v>4454694</v>
      </c>
    </row>
    <row r="330" spans="1:2" x14ac:dyDescent="0.25">
      <c r="A330" s="4">
        <v>1331</v>
      </c>
      <c r="B330" s="8">
        <v>6015002</v>
      </c>
    </row>
    <row r="331" spans="1:2" x14ac:dyDescent="0.25">
      <c r="A331" s="4">
        <v>1332</v>
      </c>
      <c r="B331" s="8">
        <v>7240600</v>
      </c>
    </row>
    <row r="332" spans="1:2" x14ac:dyDescent="0.25">
      <c r="A332" s="4">
        <v>1333</v>
      </c>
      <c r="B332" s="8">
        <v>7598640</v>
      </c>
    </row>
    <row r="333" spans="1:2" x14ac:dyDescent="0.25">
      <c r="A333" s="4">
        <v>1334</v>
      </c>
      <c r="B333" s="8">
        <v>4525923</v>
      </c>
    </row>
    <row r="334" spans="1:2" x14ac:dyDescent="0.25">
      <c r="A334" s="4">
        <v>1335</v>
      </c>
      <c r="B334" s="8">
        <v>3355793</v>
      </c>
    </row>
    <row r="335" spans="1:2" x14ac:dyDescent="0.25">
      <c r="A335" s="4">
        <v>1336</v>
      </c>
      <c r="B335" s="8">
        <v>4483232</v>
      </c>
    </row>
    <row r="336" spans="1:2" x14ac:dyDescent="0.25">
      <c r="A336" s="4">
        <v>1337</v>
      </c>
      <c r="B336" s="8">
        <v>3508075</v>
      </c>
    </row>
    <row r="337" spans="1:2" x14ac:dyDescent="0.25">
      <c r="A337" s="4">
        <v>1338</v>
      </c>
      <c r="B337" s="8">
        <v>2232717</v>
      </c>
    </row>
    <row r="338" spans="1:2" x14ac:dyDescent="0.25">
      <c r="A338" s="4">
        <v>1339</v>
      </c>
      <c r="B338" s="8">
        <v>7392789</v>
      </c>
    </row>
    <row r="339" spans="1:2" x14ac:dyDescent="0.25">
      <c r="A339" s="4">
        <v>1340</v>
      </c>
      <c r="B339" s="8">
        <v>6417965</v>
      </c>
    </row>
    <row r="340" spans="1:2" x14ac:dyDescent="0.25">
      <c r="A340" s="4">
        <v>1341</v>
      </c>
      <c r="B340" s="8">
        <v>6619572</v>
      </c>
    </row>
    <row r="341" spans="1:2" x14ac:dyDescent="0.25">
      <c r="A341" s="4">
        <v>1342</v>
      </c>
      <c r="B341" s="8">
        <v>127870</v>
      </c>
    </row>
    <row r="342" spans="1:2" x14ac:dyDescent="0.25">
      <c r="A342" s="4">
        <v>1343</v>
      </c>
      <c r="B342" s="8">
        <v>5295901</v>
      </c>
    </row>
    <row r="343" spans="1:2" x14ac:dyDescent="0.25">
      <c r="A343" s="4">
        <v>1344</v>
      </c>
      <c r="B343" s="8">
        <v>312563</v>
      </c>
    </row>
    <row r="344" spans="1:2" x14ac:dyDescent="0.25">
      <c r="A344" s="4">
        <v>1345</v>
      </c>
      <c r="B344" s="8">
        <v>6408498</v>
      </c>
    </row>
    <row r="345" spans="1:2" x14ac:dyDescent="0.25">
      <c r="A345" s="4">
        <v>1346</v>
      </c>
      <c r="B345" s="8">
        <v>3771515</v>
      </c>
    </row>
    <row r="346" spans="1:2" x14ac:dyDescent="0.25">
      <c r="A346" s="4">
        <v>1347</v>
      </c>
      <c r="B346" s="8">
        <v>7573052</v>
      </c>
    </row>
    <row r="347" spans="1:2" x14ac:dyDescent="0.25">
      <c r="A347" s="4">
        <v>1348</v>
      </c>
      <c r="B347" s="8">
        <v>4324025</v>
      </c>
    </row>
    <row r="348" spans="1:2" x14ac:dyDescent="0.25">
      <c r="A348" s="4">
        <v>1349</v>
      </c>
      <c r="B348" s="8">
        <v>966843</v>
      </c>
    </row>
    <row r="349" spans="1:2" x14ac:dyDescent="0.25">
      <c r="A349" s="4">
        <v>1350</v>
      </c>
      <c r="B349" s="8">
        <v>4665765</v>
      </c>
    </row>
    <row r="350" spans="1:2" x14ac:dyDescent="0.25">
      <c r="A350" s="4">
        <v>1351</v>
      </c>
      <c r="B350" s="8">
        <v>7288700</v>
      </c>
    </row>
    <row r="351" spans="1:2" x14ac:dyDescent="0.25">
      <c r="A351" s="4">
        <v>1352</v>
      </c>
      <c r="B351" s="8">
        <v>7612633</v>
      </c>
    </row>
    <row r="352" spans="1:2" x14ac:dyDescent="0.25">
      <c r="A352" s="4">
        <v>1353</v>
      </c>
      <c r="B352" s="8">
        <v>5208224</v>
      </c>
    </row>
    <row r="353" spans="1:2" x14ac:dyDescent="0.25">
      <c r="A353" s="4">
        <v>1354</v>
      </c>
      <c r="B353" s="8">
        <v>3591449</v>
      </c>
    </row>
    <row r="354" spans="1:2" x14ac:dyDescent="0.25">
      <c r="A354" s="4">
        <v>1355</v>
      </c>
      <c r="B354" s="8">
        <v>7547796</v>
      </c>
    </row>
    <row r="355" spans="1:2" x14ac:dyDescent="0.25">
      <c r="A355" s="4">
        <v>1356</v>
      </c>
      <c r="B355" s="8">
        <v>4294404</v>
      </c>
    </row>
    <row r="356" spans="1:2" x14ac:dyDescent="0.25">
      <c r="A356" s="4">
        <v>1357</v>
      </c>
      <c r="B356" s="8">
        <v>7228218</v>
      </c>
    </row>
    <row r="357" spans="1:2" x14ac:dyDescent="0.25">
      <c r="A357" s="4">
        <v>1358</v>
      </c>
      <c r="B357" s="8">
        <v>5588513</v>
      </c>
    </row>
    <row r="358" spans="1:2" x14ac:dyDescent="0.25">
      <c r="A358" s="4">
        <v>1359</v>
      </c>
      <c r="B358" s="8">
        <v>4234903</v>
      </c>
    </row>
    <row r="359" spans="1:2" x14ac:dyDescent="0.25">
      <c r="A359" s="4">
        <v>1360</v>
      </c>
      <c r="B359" s="8">
        <v>4279582</v>
      </c>
    </row>
    <row r="360" spans="1:2" x14ac:dyDescent="0.25">
      <c r="A360" s="4">
        <v>1361</v>
      </c>
      <c r="B360" s="8">
        <v>4264724</v>
      </c>
    </row>
    <row r="361" spans="1:2" x14ac:dyDescent="0.25">
      <c r="A361" s="4">
        <v>1362</v>
      </c>
      <c r="B361" s="8">
        <v>7144286</v>
      </c>
    </row>
    <row r="362" spans="1:2" x14ac:dyDescent="0.25">
      <c r="A362" s="4">
        <v>1363</v>
      </c>
      <c r="B362" s="8">
        <v>1466970</v>
      </c>
    </row>
    <row r="363" spans="1:2" x14ac:dyDescent="0.25">
      <c r="A363" s="4">
        <v>1364</v>
      </c>
      <c r="B363" s="8">
        <v>2151869</v>
      </c>
    </row>
    <row r="364" spans="1:2" x14ac:dyDescent="0.25">
      <c r="A364" s="4">
        <v>1365</v>
      </c>
      <c r="B364" s="8">
        <v>1902990</v>
      </c>
    </row>
    <row r="365" spans="1:2" x14ac:dyDescent="0.25">
      <c r="A365" s="4">
        <v>1366</v>
      </c>
      <c r="B365" s="8">
        <v>6262979</v>
      </c>
    </row>
    <row r="366" spans="1:2" x14ac:dyDescent="0.25">
      <c r="A366" s="4">
        <v>1367</v>
      </c>
      <c r="B366" s="8">
        <v>6628458</v>
      </c>
    </row>
    <row r="367" spans="1:2" x14ac:dyDescent="0.25">
      <c r="A367" s="4">
        <v>1368</v>
      </c>
      <c r="B367" s="8">
        <v>7635996</v>
      </c>
    </row>
    <row r="368" spans="1:2" x14ac:dyDescent="0.25">
      <c r="A368" s="4">
        <v>1369</v>
      </c>
      <c r="B368" s="8">
        <v>6302425</v>
      </c>
    </row>
    <row r="369" spans="1:2" x14ac:dyDescent="0.25">
      <c r="A369" s="4">
        <v>1370</v>
      </c>
      <c r="B369" s="8">
        <v>6556639</v>
      </c>
    </row>
    <row r="370" spans="1:2" x14ac:dyDescent="0.25">
      <c r="A370" s="4">
        <v>1371</v>
      </c>
      <c r="B370" s="8">
        <v>4951309</v>
      </c>
    </row>
    <row r="371" spans="1:2" x14ac:dyDescent="0.25">
      <c r="A371" s="4">
        <v>1372</v>
      </c>
      <c r="B371" s="8">
        <v>6483546</v>
      </c>
    </row>
    <row r="372" spans="1:2" x14ac:dyDescent="0.25">
      <c r="A372" s="4">
        <v>1373</v>
      </c>
      <c r="B372" s="8">
        <v>5929441</v>
      </c>
    </row>
    <row r="373" spans="1:2" x14ac:dyDescent="0.25">
      <c r="A373" s="4">
        <v>1374</v>
      </c>
      <c r="B373" s="8">
        <v>1511916</v>
      </c>
    </row>
    <row r="374" spans="1:2" x14ac:dyDescent="0.25">
      <c r="A374" s="4">
        <v>1375</v>
      </c>
      <c r="B374" s="8">
        <v>3338671</v>
      </c>
    </row>
    <row r="375" spans="1:2" x14ac:dyDescent="0.25">
      <c r="A375" s="4">
        <v>1376</v>
      </c>
      <c r="B375" s="8">
        <v>1600861</v>
      </c>
    </row>
    <row r="376" spans="1:2" x14ac:dyDescent="0.25">
      <c r="A376" s="4">
        <v>1377</v>
      </c>
      <c r="B376" s="8">
        <v>3977481</v>
      </c>
    </row>
    <row r="377" spans="1:2" x14ac:dyDescent="0.25">
      <c r="A377" s="4">
        <v>1378</v>
      </c>
      <c r="B377" s="8">
        <v>1924165</v>
      </c>
    </row>
    <row r="378" spans="1:2" x14ac:dyDescent="0.25">
      <c r="A378" s="4">
        <v>1379</v>
      </c>
      <c r="B378" s="8">
        <v>5841355</v>
      </c>
    </row>
    <row r="379" spans="1:2" x14ac:dyDescent="0.25">
      <c r="A379" s="4">
        <v>1380</v>
      </c>
      <c r="B379" s="8">
        <v>1709948</v>
      </c>
    </row>
    <row r="380" spans="1:2" x14ac:dyDescent="0.25">
      <c r="A380" s="4">
        <v>1381</v>
      </c>
      <c r="B380" s="8">
        <v>1556714</v>
      </c>
    </row>
    <row r="381" spans="1:2" x14ac:dyDescent="0.25">
      <c r="A381" s="4">
        <v>1382</v>
      </c>
      <c r="B381" s="8">
        <v>5907740</v>
      </c>
    </row>
    <row r="382" spans="1:2" x14ac:dyDescent="0.25">
      <c r="A382" s="4">
        <v>1383</v>
      </c>
      <c r="B382" s="8">
        <v>6982827</v>
      </c>
    </row>
    <row r="383" spans="1:2" x14ac:dyDescent="0.25">
      <c r="A383" s="4">
        <v>1384</v>
      </c>
      <c r="B383" s="8">
        <v>7096915</v>
      </c>
    </row>
    <row r="384" spans="1:2" x14ac:dyDescent="0.25">
      <c r="A384" s="4">
        <v>1385</v>
      </c>
      <c r="B384" s="8">
        <v>4368056</v>
      </c>
    </row>
    <row r="385" spans="1:2" x14ac:dyDescent="0.25">
      <c r="A385" s="4">
        <v>1386</v>
      </c>
      <c r="B385" s="8">
        <v>2392176</v>
      </c>
    </row>
    <row r="386" spans="1:2" x14ac:dyDescent="0.25">
      <c r="A386" s="4">
        <v>1387</v>
      </c>
      <c r="B386" s="8">
        <v>3321531</v>
      </c>
    </row>
    <row r="387" spans="1:2" x14ac:dyDescent="0.25">
      <c r="A387" s="4">
        <v>1388</v>
      </c>
      <c r="B387" s="8">
        <v>7282845</v>
      </c>
    </row>
    <row r="388" spans="1:2" x14ac:dyDescent="0.25">
      <c r="A388" s="4">
        <v>1389</v>
      </c>
      <c r="B388" s="8">
        <v>7492599</v>
      </c>
    </row>
    <row r="389" spans="1:2" x14ac:dyDescent="0.25">
      <c r="A389" s="4">
        <v>1390</v>
      </c>
      <c r="B389" s="8">
        <v>5600228</v>
      </c>
    </row>
    <row r="390" spans="1:2" x14ac:dyDescent="0.25">
      <c r="A390" s="4">
        <v>1391</v>
      </c>
      <c r="B390" s="8">
        <v>3624506</v>
      </c>
    </row>
    <row r="391" spans="1:2" x14ac:dyDescent="0.25">
      <c r="A391" s="4">
        <v>1392</v>
      </c>
      <c r="B391" s="8">
        <v>3541515</v>
      </c>
    </row>
    <row r="392" spans="1:2" x14ac:dyDescent="0.25">
      <c r="A392" s="4">
        <v>1393</v>
      </c>
      <c r="B392" s="8">
        <v>5553186</v>
      </c>
    </row>
    <row r="393" spans="1:2" x14ac:dyDescent="0.25">
      <c r="A393" s="4">
        <v>1394</v>
      </c>
      <c r="B393" s="8">
        <v>6905828</v>
      </c>
    </row>
    <row r="394" spans="1:2" x14ac:dyDescent="0.25">
      <c r="A394" s="4">
        <v>1395</v>
      </c>
      <c r="B394" s="8">
        <v>5565068</v>
      </c>
    </row>
    <row r="395" spans="1:2" x14ac:dyDescent="0.25">
      <c r="A395" s="4">
        <v>1396</v>
      </c>
      <c r="B395" s="8">
        <v>6783906</v>
      </c>
    </row>
    <row r="396" spans="1:2" x14ac:dyDescent="0.25">
      <c r="A396" s="4">
        <v>1397</v>
      </c>
      <c r="B396" s="8">
        <v>3287069</v>
      </c>
    </row>
    <row r="397" spans="1:2" x14ac:dyDescent="0.25">
      <c r="A397" s="4">
        <v>1398</v>
      </c>
      <c r="B397" s="8">
        <v>6004415</v>
      </c>
    </row>
    <row r="398" spans="1:2" x14ac:dyDescent="0.25">
      <c r="A398" s="4">
        <v>1399</v>
      </c>
      <c r="B398" s="8">
        <v>1444399</v>
      </c>
    </row>
    <row r="399" spans="1:2" x14ac:dyDescent="0.25">
      <c r="A399" s="4">
        <v>1400</v>
      </c>
      <c r="B399" s="8">
        <v>4721025</v>
      </c>
    </row>
    <row r="400" spans="1:2" x14ac:dyDescent="0.25">
      <c r="A400" s="4">
        <v>1401</v>
      </c>
      <c r="B400" s="8">
        <v>569743</v>
      </c>
    </row>
    <row r="401" spans="1:2" x14ac:dyDescent="0.25">
      <c r="A401" s="4">
        <v>1402</v>
      </c>
      <c r="B401" s="8">
        <v>7041051</v>
      </c>
    </row>
    <row r="402" spans="1:2" x14ac:dyDescent="0.25">
      <c r="A402" s="4">
        <v>1403</v>
      </c>
      <c r="B402" s="8">
        <v>6945020</v>
      </c>
    </row>
    <row r="403" spans="1:2" x14ac:dyDescent="0.25">
      <c r="A403" s="4">
        <v>1404</v>
      </c>
      <c r="B403" s="8">
        <v>5693381</v>
      </c>
    </row>
    <row r="404" spans="1:2" x14ac:dyDescent="0.25">
      <c r="A404" s="4">
        <v>1405</v>
      </c>
      <c r="B404" s="8">
        <v>2898714</v>
      </c>
    </row>
    <row r="405" spans="1:2" x14ac:dyDescent="0.25">
      <c r="A405" s="4">
        <v>1406</v>
      </c>
      <c r="B405" s="8">
        <v>4624123</v>
      </c>
    </row>
    <row r="406" spans="1:2" x14ac:dyDescent="0.25">
      <c r="A406" s="4">
        <v>1407</v>
      </c>
      <c r="B406" s="8">
        <v>2272903</v>
      </c>
    </row>
    <row r="407" spans="1:2" x14ac:dyDescent="0.25">
      <c r="A407" s="4">
        <v>1408</v>
      </c>
      <c r="B407" s="8">
        <v>5016646</v>
      </c>
    </row>
    <row r="408" spans="1:2" x14ac:dyDescent="0.25">
      <c r="A408" s="4">
        <v>1409</v>
      </c>
      <c r="B408" s="8">
        <v>7413055</v>
      </c>
    </row>
    <row r="409" spans="1:2" x14ac:dyDescent="0.25">
      <c r="A409" s="4">
        <v>1410</v>
      </c>
      <c r="B409" s="8">
        <v>5961777</v>
      </c>
    </row>
    <row r="410" spans="1:2" x14ac:dyDescent="0.25">
      <c r="A410" s="4">
        <v>1411</v>
      </c>
      <c r="B410" s="8">
        <v>7350468</v>
      </c>
    </row>
    <row r="411" spans="1:2" x14ac:dyDescent="0.25">
      <c r="A411" s="4">
        <v>1412</v>
      </c>
      <c r="B411" s="8">
        <v>7137584</v>
      </c>
    </row>
    <row r="412" spans="1:2" x14ac:dyDescent="0.25">
      <c r="A412" s="4">
        <v>1413</v>
      </c>
      <c r="B412" s="8">
        <v>7629892</v>
      </c>
    </row>
    <row r="413" spans="1:2" x14ac:dyDescent="0.25">
      <c r="A413" s="4">
        <v>1414</v>
      </c>
      <c r="B413" s="8">
        <v>3077925</v>
      </c>
    </row>
    <row r="414" spans="1:2" x14ac:dyDescent="0.25">
      <c r="A414" s="4">
        <v>1415</v>
      </c>
      <c r="B414" s="8">
        <v>4734804</v>
      </c>
    </row>
    <row r="415" spans="1:2" x14ac:dyDescent="0.25">
      <c r="A415" s="4">
        <v>1416</v>
      </c>
      <c r="B415" s="8">
        <v>5382965</v>
      </c>
    </row>
    <row r="416" spans="1:2" x14ac:dyDescent="0.25">
      <c r="A416" s="4">
        <v>1417</v>
      </c>
      <c r="B416" s="8">
        <v>6057202</v>
      </c>
    </row>
    <row r="417" spans="1:2" x14ac:dyDescent="0.25">
      <c r="A417" s="4">
        <v>1418</v>
      </c>
      <c r="B417" s="8">
        <v>6724484</v>
      </c>
    </row>
    <row r="418" spans="1:2" x14ac:dyDescent="0.25">
      <c r="A418" s="4">
        <v>1419</v>
      </c>
      <c r="B418" s="8">
        <v>5419921</v>
      </c>
    </row>
    <row r="419" spans="1:2" x14ac:dyDescent="0.25">
      <c r="A419" s="4">
        <v>1420</v>
      </c>
      <c r="B419" s="8">
        <v>1817518</v>
      </c>
    </row>
    <row r="420" spans="1:2" x14ac:dyDescent="0.25">
      <c r="A420" s="4">
        <v>1421</v>
      </c>
      <c r="B420" s="8">
        <v>7328553</v>
      </c>
    </row>
    <row r="421" spans="1:2" x14ac:dyDescent="0.25">
      <c r="A421" s="4">
        <v>1422</v>
      </c>
      <c r="B421" s="8">
        <v>3148176</v>
      </c>
    </row>
    <row r="422" spans="1:2" x14ac:dyDescent="0.25">
      <c r="A422" s="4">
        <v>1423</v>
      </c>
      <c r="B422" s="8">
        <v>7456523</v>
      </c>
    </row>
    <row r="423" spans="1:2" x14ac:dyDescent="0.25">
      <c r="A423" s="4">
        <v>1424</v>
      </c>
      <c r="B423" s="8">
        <v>4144773</v>
      </c>
    </row>
    <row r="424" spans="1:2" x14ac:dyDescent="0.25">
      <c r="A424" s="4">
        <v>1425</v>
      </c>
      <c r="B424" s="8">
        <v>5182964</v>
      </c>
    </row>
    <row r="425" spans="1:2" x14ac:dyDescent="0.25">
      <c r="A425" s="4">
        <v>1426</v>
      </c>
      <c r="B425" s="8">
        <v>4776053</v>
      </c>
    </row>
    <row r="426" spans="1:2" x14ac:dyDescent="0.25">
      <c r="A426" s="4">
        <v>1427</v>
      </c>
      <c r="B426" s="8">
        <v>2565747</v>
      </c>
    </row>
    <row r="427" spans="1:2" x14ac:dyDescent="0.25">
      <c r="A427" s="4">
        <v>1428</v>
      </c>
      <c r="B427" s="8">
        <v>5493039</v>
      </c>
    </row>
    <row r="428" spans="1:2" x14ac:dyDescent="0.25">
      <c r="A428" s="4">
        <v>1429</v>
      </c>
      <c r="B428" s="8">
        <v>5951031</v>
      </c>
    </row>
    <row r="429" spans="1:2" x14ac:dyDescent="0.25">
      <c r="A429" s="4">
        <v>1430</v>
      </c>
      <c r="B429" s="8">
        <v>7110577</v>
      </c>
    </row>
    <row r="430" spans="1:2" x14ac:dyDescent="0.25">
      <c r="A430" s="4">
        <v>1431</v>
      </c>
      <c r="B430" s="8">
        <v>6857936</v>
      </c>
    </row>
    <row r="431" spans="1:2" x14ac:dyDescent="0.25">
      <c r="A431" s="4">
        <v>1432</v>
      </c>
      <c r="B431" s="8">
        <v>1796089</v>
      </c>
    </row>
    <row r="432" spans="1:2" x14ac:dyDescent="0.25">
      <c r="A432" s="4">
        <v>1434</v>
      </c>
      <c r="B432" s="8">
        <v>6960363</v>
      </c>
    </row>
    <row r="433" spans="1:2" x14ac:dyDescent="0.25">
      <c r="A433" s="4">
        <v>1435</v>
      </c>
      <c r="B433" s="8">
        <v>64553</v>
      </c>
    </row>
    <row r="434" spans="1:2" x14ac:dyDescent="0.25">
      <c r="A434" s="4">
        <v>1436</v>
      </c>
      <c r="B434" s="8">
        <v>1666554</v>
      </c>
    </row>
    <row r="435" spans="1:2" x14ac:dyDescent="0.25">
      <c r="A435" s="4">
        <v>1437</v>
      </c>
      <c r="B435" s="8">
        <v>4249824</v>
      </c>
    </row>
    <row r="436" spans="1:2" x14ac:dyDescent="0.25">
      <c r="A436" s="4">
        <v>1438</v>
      </c>
      <c r="B436" s="8">
        <v>6990218</v>
      </c>
    </row>
    <row r="437" spans="1:2" x14ac:dyDescent="0.25">
      <c r="A437" s="4">
        <v>1439</v>
      </c>
      <c r="B437" s="8">
        <v>7252894</v>
      </c>
    </row>
    <row r="438" spans="1:2" x14ac:dyDescent="0.25">
      <c r="A438" s="4">
        <v>1440</v>
      </c>
      <c r="B438" s="8">
        <v>5345760</v>
      </c>
    </row>
    <row r="439" spans="1:2" x14ac:dyDescent="0.25">
      <c r="A439" s="4">
        <v>1441</v>
      </c>
      <c r="B439" s="8">
        <v>1376378</v>
      </c>
    </row>
    <row r="440" spans="1:2" x14ac:dyDescent="0.25">
      <c r="A440" s="4">
        <v>1442</v>
      </c>
      <c r="B440" s="8">
        <v>3914968</v>
      </c>
    </row>
    <row r="441" spans="1:2" x14ac:dyDescent="0.25">
      <c r="A441" s="4">
        <v>1443</v>
      </c>
      <c r="B441" s="8">
        <v>3930732</v>
      </c>
    </row>
    <row r="442" spans="1:2" x14ac:dyDescent="0.25">
      <c r="A442" s="4">
        <v>1444</v>
      </c>
      <c r="B442" s="8">
        <v>7483914</v>
      </c>
    </row>
    <row r="443" spans="1:2" x14ac:dyDescent="0.25">
      <c r="A443" s="4">
        <v>1445</v>
      </c>
      <c r="B443" s="8">
        <v>4679608</v>
      </c>
    </row>
    <row r="444" spans="1:2" x14ac:dyDescent="0.25">
      <c r="A444" s="4">
        <v>1446</v>
      </c>
      <c r="B444" s="8">
        <v>6610620</v>
      </c>
    </row>
    <row r="445" spans="1:2" x14ac:dyDescent="0.25">
      <c r="A445" s="4">
        <v>1447</v>
      </c>
      <c r="B445" s="8">
        <v>5785136</v>
      </c>
    </row>
    <row r="446" spans="1:2" x14ac:dyDescent="0.25">
      <c r="A446" s="4">
        <v>1448</v>
      </c>
      <c r="B446" s="8">
        <v>6223003</v>
      </c>
    </row>
    <row r="447" spans="1:2" x14ac:dyDescent="0.25">
      <c r="A447" s="4">
        <v>1449</v>
      </c>
      <c r="B447" s="8">
        <v>3217842</v>
      </c>
    </row>
    <row r="448" spans="1:2" x14ac:dyDescent="0.25">
      <c r="A448" s="4">
        <v>1450</v>
      </c>
      <c r="B448" s="8">
        <v>2641261</v>
      </c>
    </row>
    <row r="449" spans="1:2" x14ac:dyDescent="0.25">
      <c r="A449" s="4">
        <v>1451</v>
      </c>
      <c r="B449" s="8">
        <v>6637343</v>
      </c>
    </row>
    <row r="450" spans="1:2" x14ac:dyDescent="0.25">
      <c r="A450" s="4">
        <v>1452</v>
      </c>
      <c r="B450" s="8">
        <v>7055255</v>
      </c>
    </row>
    <row r="451" spans="1:2" x14ac:dyDescent="0.25">
      <c r="A451" s="4">
        <v>1453</v>
      </c>
      <c r="B451" s="8">
        <v>6233088</v>
      </c>
    </row>
    <row r="452" spans="1:2" x14ac:dyDescent="0.25">
      <c r="A452" s="4">
        <v>1454</v>
      </c>
      <c r="B452" s="8">
        <v>6130592</v>
      </c>
    </row>
    <row r="453" spans="1:2" x14ac:dyDescent="0.25">
      <c r="A453" s="4">
        <v>1455</v>
      </c>
      <c r="B453" s="8">
        <v>1399085</v>
      </c>
    </row>
    <row r="454" spans="1:2" x14ac:dyDescent="0.25">
      <c r="A454" s="4">
        <v>1456</v>
      </c>
      <c r="B454" s="8">
        <v>3372906</v>
      </c>
    </row>
    <row r="455" spans="1:2" x14ac:dyDescent="0.25">
      <c r="A455" s="4">
        <v>1457</v>
      </c>
      <c r="B455" s="8">
        <v>5983127</v>
      </c>
    </row>
    <row r="456" spans="1:2" x14ac:dyDescent="0.25">
      <c r="A456" s="4">
        <v>1458</v>
      </c>
      <c r="B456" s="8">
        <v>7465785</v>
      </c>
    </row>
    <row r="457" spans="1:2" x14ac:dyDescent="0.25">
      <c r="A457" s="4">
        <v>1459</v>
      </c>
      <c r="B457" s="8">
        <v>2916890</v>
      </c>
    </row>
    <row r="458" spans="1:2" x14ac:dyDescent="0.25">
      <c r="A458" s="4">
        <v>1460</v>
      </c>
      <c r="B458" s="8">
        <v>3851584</v>
      </c>
    </row>
    <row r="459" spans="1:2" x14ac:dyDescent="0.25">
      <c r="A459" s="4">
        <v>1461</v>
      </c>
      <c r="B459" s="8">
        <v>6351072</v>
      </c>
    </row>
    <row r="460" spans="1:2" x14ac:dyDescent="0.25">
      <c r="A460" s="4">
        <v>1462</v>
      </c>
      <c r="B460" s="8">
        <v>6646219</v>
      </c>
    </row>
    <row r="461" spans="1:2" x14ac:dyDescent="0.25">
      <c r="A461" s="4">
        <v>1463</v>
      </c>
      <c r="B461" s="8">
        <v>4651902</v>
      </c>
    </row>
    <row r="462" spans="1:2" x14ac:dyDescent="0.25">
      <c r="A462" s="4">
        <v>1464</v>
      </c>
      <c r="B462" s="8">
        <v>7643178</v>
      </c>
    </row>
    <row r="463" spans="1:2" x14ac:dyDescent="0.25">
      <c r="A463" s="4">
        <v>1465</v>
      </c>
      <c r="B463" s="8">
        <v>7589338</v>
      </c>
    </row>
    <row r="464" spans="1:2" x14ac:dyDescent="0.25">
      <c r="A464" s="4">
        <v>1466</v>
      </c>
      <c r="B464" s="8">
        <v>1966247</v>
      </c>
    </row>
    <row r="465" spans="1:2" x14ac:dyDescent="0.25">
      <c r="A465" s="4">
        <v>1467</v>
      </c>
      <c r="B465" s="8">
        <v>4038652</v>
      </c>
    </row>
    <row r="466" spans="1:2" x14ac:dyDescent="0.25">
      <c r="A466" s="4">
        <v>1468</v>
      </c>
      <c r="B466" s="8">
        <v>7569552</v>
      </c>
    </row>
    <row r="467" spans="1:2" x14ac:dyDescent="0.25">
      <c r="A467" s="4">
        <v>1469</v>
      </c>
      <c r="B467" s="8">
        <v>4219975</v>
      </c>
    </row>
    <row r="468" spans="1:2" x14ac:dyDescent="0.25">
      <c r="A468" s="4">
        <v>1470</v>
      </c>
      <c r="B468" s="8">
        <v>6707259</v>
      </c>
    </row>
    <row r="469" spans="1:2" x14ac:dyDescent="0.25">
      <c r="A469" s="4">
        <v>1471</v>
      </c>
      <c r="B469" s="8">
        <v>3946431</v>
      </c>
    </row>
    <row r="470" spans="1:2" x14ac:dyDescent="0.25">
      <c r="A470" s="4">
        <v>1472</v>
      </c>
      <c r="B470" s="8">
        <v>7033898</v>
      </c>
    </row>
    <row r="471" spans="1:2" x14ac:dyDescent="0.25">
      <c r="A471" s="4">
        <v>1473</v>
      </c>
      <c r="B471" s="8">
        <v>3673880</v>
      </c>
    </row>
    <row r="472" spans="1:2" x14ac:dyDescent="0.25">
      <c r="A472" s="4">
        <v>1474</v>
      </c>
      <c r="B472" s="8">
        <v>2028639</v>
      </c>
    </row>
    <row r="473" spans="1:2" x14ac:dyDescent="0.25">
      <c r="A473" s="4">
        <v>1475</v>
      </c>
      <c r="B473" s="8">
        <v>5728083</v>
      </c>
    </row>
    <row r="474" spans="1:2" x14ac:dyDescent="0.25">
      <c r="A474" s="4">
        <v>1476</v>
      </c>
      <c r="B474" s="8">
        <v>96245</v>
      </c>
    </row>
    <row r="475" spans="1:2" x14ac:dyDescent="0.25">
      <c r="A475" s="4">
        <v>1477</v>
      </c>
      <c r="B475" s="8">
        <v>1731597</v>
      </c>
    </row>
    <row r="476" spans="1:2" x14ac:dyDescent="0.25">
      <c r="A476" s="4">
        <v>1478</v>
      </c>
      <c r="B476" s="8">
        <v>7601634</v>
      </c>
    </row>
    <row r="477" spans="1:2" x14ac:dyDescent="0.25">
      <c r="A477" s="4">
        <v>1479</v>
      </c>
      <c r="B477" s="8">
        <v>7505022</v>
      </c>
    </row>
    <row r="478" spans="1:2" x14ac:dyDescent="0.25">
      <c r="A478" s="4">
        <v>1480</v>
      </c>
      <c r="B478" s="8">
        <v>7509034</v>
      </c>
    </row>
    <row r="479" spans="1:2" x14ac:dyDescent="0.25">
      <c r="A479" s="4">
        <v>1481</v>
      </c>
      <c r="B479" s="8">
        <v>6897872</v>
      </c>
    </row>
    <row r="480" spans="1:2" x14ac:dyDescent="0.25">
      <c r="A480" s="4">
        <v>1482</v>
      </c>
      <c r="B480" s="8">
        <v>6808928</v>
      </c>
    </row>
    <row r="481" spans="1:2" x14ac:dyDescent="0.25">
      <c r="A481" s="4">
        <v>1483</v>
      </c>
      <c r="B481" s="8">
        <v>2988949</v>
      </c>
    </row>
    <row r="482" spans="1:2" x14ac:dyDescent="0.25">
      <c r="A482" s="4">
        <v>1484</v>
      </c>
      <c r="B482" s="8">
        <v>7234414</v>
      </c>
    </row>
    <row r="483" spans="1:2" x14ac:dyDescent="0.25">
      <c r="A483" s="4">
        <v>1485</v>
      </c>
      <c r="B483" s="8">
        <v>3558169</v>
      </c>
    </row>
    <row r="484" spans="1:2" x14ac:dyDescent="0.25">
      <c r="A484" s="4">
        <v>1486</v>
      </c>
      <c r="B484" s="8">
        <v>5885782</v>
      </c>
    </row>
    <row r="485" spans="1:2" x14ac:dyDescent="0.25">
      <c r="A485" s="4">
        <v>1487</v>
      </c>
      <c r="B485" s="8">
        <v>7520978</v>
      </c>
    </row>
    <row r="486" spans="1:2" x14ac:dyDescent="0.25">
      <c r="A486" s="4">
        <v>1488</v>
      </c>
      <c r="B486" s="8">
        <v>5170323</v>
      </c>
    </row>
    <row r="487" spans="1:2" x14ac:dyDescent="0.25">
      <c r="A487" s="4">
        <v>1489</v>
      </c>
      <c r="B487" s="8">
        <v>5480901</v>
      </c>
    </row>
    <row r="488" spans="1:2" x14ac:dyDescent="0.25">
      <c r="A488" s="4">
        <v>1490</v>
      </c>
      <c r="B488" s="8">
        <v>4707228</v>
      </c>
    </row>
    <row r="489" spans="1:2" x14ac:dyDescent="0.25">
      <c r="A489" s="4">
        <v>1491</v>
      </c>
      <c r="B489" s="8">
        <v>6253047</v>
      </c>
    </row>
    <row r="490" spans="1:2" x14ac:dyDescent="0.25">
      <c r="A490" s="4">
        <v>1492</v>
      </c>
      <c r="B490" s="8">
        <v>5308393</v>
      </c>
    </row>
    <row r="491" spans="1:2" x14ac:dyDescent="0.25">
      <c r="A491" s="4">
        <v>1493</v>
      </c>
      <c r="B491" s="8">
        <v>5220802</v>
      </c>
    </row>
    <row r="492" spans="1:2" x14ac:dyDescent="0.25">
      <c r="A492" s="4">
        <v>1494</v>
      </c>
      <c r="B492" s="8">
        <v>759250</v>
      </c>
    </row>
    <row r="493" spans="1:2" x14ac:dyDescent="0.25">
      <c r="A493" s="4">
        <v>1495</v>
      </c>
      <c r="B493" s="8">
        <v>5505177</v>
      </c>
    </row>
    <row r="494" spans="1:2" x14ac:dyDescent="0.25">
      <c r="A494" s="4">
        <v>1496</v>
      </c>
      <c r="B494" s="8">
        <v>7551474</v>
      </c>
    </row>
    <row r="495" spans="1:2" x14ac:dyDescent="0.25">
      <c r="A495" s="4">
        <v>1497</v>
      </c>
      <c r="B495" s="8">
        <v>1042310</v>
      </c>
    </row>
    <row r="496" spans="1:2" x14ac:dyDescent="0.25">
      <c r="A496" s="4">
        <v>1498</v>
      </c>
      <c r="B496" s="8">
        <v>7524905</v>
      </c>
    </row>
    <row r="497" spans="1:2" x14ac:dyDescent="0.25">
      <c r="A497" s="4">
        <v>1499</v>
      </c>
      <c r="B497" s="8">
        <v>4817161</v>
      </c>
    </row>
    <row r="498" spans="1:2" x14ac:dyDescent="0.25">
      <c r="A498" s="4">
        <v>1500</v>
      </c>
      <c r="B498" s="8">
        <v>890518</v>
      </c>
    </row>
    <row r="499" spans="1:2" x14ac:dyDescent="0.25">
      <c r="A499" s="4">
        <v>1501</v>
      </c>
      <c r="B499" s="8">
        <v>2862285</v>
      </c>
    </row>
    <row r="500" spans="1:2" x14ac:dyDescent="0.25">
      <c r="A500" s="4">
        <v>1502</v>
      </c>
      <c r="B500" s="8">
        <v>6109716</v>
      </c>
    </row>
    <row r="501" spans="1:2" x14ac:dyDescent="0.25">
      <c r="A501" s="4">
        <v>1503</v>
      </c>
      <c r="B501" s="8">
        <v>4830836</v>
      </c>
    </row>
    <row r="502" spans="1:2" x14ac:dyDescent="0.25">
      <c r="A502" s="4">
        <v>1504</v>
      </c>
      <c r="B502" s="8">
        <v>5320864</v>
      </c>
    </row>
    <row r="503" spans="1:2" x14ac:dyDescent="0.25">
      <c r="A503" s="4">
        <v>1505</v>
      </c>
      <c r="B503" s="8">
        <v>4596256</v>
      </c>
    </row>
    <row r="504" spans="1:2" x14ac:dyDescent="0.25">
      <c r="A504" s="4">
        <v>1506</v>
      </c>
      <c r="B504" s="8">
        <v>2292940</v>
      </c>
    </row>
    <row r="505" spans="1:2" x14ac:dyDescent="0.25">
      <c r="A505" s="4">
        <v>1507</v>
      </c>
      <c r="B505" s="8">
        <v>7311778</v>
      </c>
    </row>
    <row r="506" spans="1:2" x14ac:dyDescent="0.25">
      <c r="A506" s="4">
        <v>1508</v>
      </c>
      <c r="B506" s="8">
        <v>5132239</v>
      </c>
    </row>
    <row r="507" spans="1:2" x14ac:dyDescent="0.25">
      <c r="A507" s="4">
        <v>1509</v>
      </c>
      <c r="B507" s="8">
        <v>6767038</v>
      </c>
    </row>
    <row r="508" spans="1:2" x14ac:dyDescent="0.25">
      <c r="A508" s="4">
        <v>1510</v>
      </c>
      <c r="B508" s="8">
        <v>7258948</v>
      </c>
    </row>
    <row r="509" spans="1:2" x14ac:dyDescent="0.25">
      <c r="A509" s="4">
        <v>1511</v>
      </c>
      <c r="B509" s="8">
        <v>3883359</v>
      </c>
    </row>
    <row r="510" spans="1:2" x14ac:dyDescent="0.25">
      <c r="A510" s="4">
        <v>1512</v>
      </c>
      <c r="B510" s="8">
        <v>7513037</v>
      </c>
    </row>
    <row r="511" spans="1:2" x14ac:dyDescent="0.25">
      <c r="A511" s="4">
        <v>1513</v>
      </c>
      <c r="B511" s="8">
        <v>7130855</v>
      </c>
    </row>
    <row r="512" spans="1:2" x14ac:dyDescent="0.25">
      <c r="A512" s="4">
        <v>1514</v>
      </c>
      <c r="B512" s="8">
        <v>6292577</v>
      </c>
    </row>
    <row r="513" spans="1:2" x14ac:dyDescent="0.25">
      <c r="A513" s="4">
        <v>1515</v>
      </c>
      <c r="B513" s="8">
        <v>3524855</v>
      </c>
    </row>
    <row r="514" spans="1:2" x14ac:dyDescent="0.25">
      <c r="A514" s="4">
        <v>1516</v>
      </c>
      <c r="B514" s="8">
        <v>2603552</v>
      </c>
    </row>
    <row r="515" spans="1:2" x14ac:dyDescent="0.25">
      <c r="A515" s="4">
        <v>1517</v>
      </c>
      <c r="B515" s="8">
        <v>651722</v>
      </c>
    </row>
    <row r="516" spans="1:2" x14ac:dyDescent="0.25">
      <c r="A516" s="4">
        <v>1518</v>
      </c>
      <c r="B516" s="8">
        <v>5852502</v>
      </c>
    </row>
    <row r="517" spans="1:2" x14ac:dyDescent="0.25">
      <c r="A517" s="4">
        <v>1519</v>
      </c>
      <c r="B517" s="8">
        <v>5370601</v>
      </c>
    </row>
    <row r="518" spans="1:2" x14ac:dyDescent="0.25">
      <c r="A518" s="4">
        <v>1520</v>
      </c>
      <c r="B518" s="8">
        <v>3269796</v>
      </c>
    </row>
    <row r="519" spans="1:2" x14ac:dyDescent="0.25">
      <c r="A519" s="4">
        <v>1521</v>
      </c>
      <c r="B519" s="8">
        <v>2789261</v>
      </c>
    </row>
    <row r="520" spans="1:2" x14ac:dyDescent="0.25">
      <c r="A520" s="4">
        <v>1522</v>
      </c>
      <c r="B520" s="8">
        <v>6841710</v>
      </c>
    </row>
    <row r="521" spans="1:2" x14ac:dyDescent="0.25">
      <c r="A521" s="4">
        <v>1523</v>
      </c>
      <c r="B521" s="8">
        <v>6574676</v>
      </c>
    </row>
    <row r="522" spans="1:2" x14ac:dyDescent="0.25">
      <c r="A522" s="4">
        <v>1524</v>
      </c>
      <c r="B522" s="8">
        <v>1116792</v>
      </c>
    </row>
    <row r="523" spans="1:2" x14ac:dyDescent="0.25">
      <c r="A523" s="4">
        <v>1525</v>
      </c>
      <c r="B523" s="8">
        <v>5541276</v>
      </c>
    </row>
    <row r="524" spans="1:2" x14ac:dyDescent="0.25">
      <c r="A524" s="4">
        <v>1526</v>
      </c>
      <c r="B524" s="8">
        <v>401259</v>
      </c>
    </row>
    <row r="525" spans="1:2" x14ac:dyDescent="0.25">
      <c r="A525" s="4">
        <v>1527</v>
      </c>
      <c r="B525" s="8">
        <v>7366504</v>
      </c>
    </row>
    <row r="526" spans="1:2" x14ac:dyDescent="0.25">
      <c r="A526" s="4">
        <v>1528</v>
      </c>
      <c r="B526" s="8">
        <v>7422915</v>
      </c>
    </row>
    <row r="527" spans="1:2" x14ac:dyDescent="0.25">
      <c r="A527" s="4">
        <v>1529</v>
      </c>
      <c r="B527" s="8">
        <v>5119450</v>
      </c>
    </row>
    <row r="528" spans="1:2" x14ac:dyDescent="0.25">
      <c r="A528" s="4">
        <v>1530</v>
      </c>
      <c r="B528" s="8">
        <v>7479457</v>
      </c>
    </row>
    <row r="529" spans="1:2" x14ac:dyDescent="0.25">
      <c r="A529" s="4">
        <v>1531</v>
      </c>
      <c r="B529" s="8">
        <v>7544103</v>
      </c>
    </row>
    <row r="530" spans="1:2" x14ac:dyDescent="0.25">
      <c r="A530" s="4">
        <v>1532</v>
      </c>
      <c r="B530" s="8">
        <v>4468976</v>
      </c>
    </row>
    <row r="531" spans="1:2" x14ac:dyDescent="0.25">
      <c r="A531" s="4">
        <v>1533</v>
      </c>
      <c r="B531" s="8">
        <v>4205025</v>
      </c>
    </row>
    <row r="532" spans="1:2" x14ac:dyDescent="0.25">
      <c r="A532" s="4">
        <v>1534</v>
      </c>
      <c r="B532" s="8">
        <v>7334076</v>
      </c>
    </row>
    <row r="533" spans="1:2" x14ac:dyDescent="0.25">
      <c r="A533" s="4">
        <v>1535</v>
      </c>
      <c r="B533" s="8">
        <v>7203093</v>
      </c>
    </row>
    <row r="534" spans="1:2" x14ac:dyDescent="0.25">
      <c r="A534" s="4">
        <v>1536</v>
      </c>
      <c r="B534" s="8">
        <v>6889907</v>
      </c>
    </row>
    <row r="535" spans="1:2" x14ac:dyDescent="0.25">
      <c r="A535" s="4">
        <v>1537</v>
      </c>
      <c r="B535" s="8">
        <v>864667</v>
      </c>
    </row>
    <row r="536" spans="1:2" x14ac:dyDescent="0.25">
      <c r="A536" s="4">
        <v>1538</v>
      </c>
      <c r="B536" s="8">
        <v>5270888</v>
      </c>
    </row>
    <row r="537" spans="1:2" x14ac:dyDescent="0.25">
      <c r="A537" s="4">
        <v>1539</v>
      </c>
      <c r="B537" s="8">
        <v>6997596</v>
      </c>
    </row>
    <row r="538" spans="1:2" x14ac:dyDescent="0.25">
      <c r="A538" s="4">
        <v>1540</v>
      </c>
      <c r="B538" s="8">
        <v>7183737</v>
      </c>
    </row>
    <row r="539" spans="1:2" x14ac:dyDescent="0.25">
      <c r="A539" s="4">
        <v>1541</v>
      </c>
      <c r="B539" s="8">
        <v>7610013</v>
      </c>
    </row>
    <row r="540" spans="1:2" x14ac:dyDescent="0.25">
      <c r="A540" s="4">
        <v>1542</v>
      </c>
      <c r="B540" s="8">
        <v>4964509</v>
      </c>
    </row>
    <row r="541" spans="1:2" x14ac:dyDescent="0.25">
      <c r="A541" s="4">
        <v>1543</v>
      </c>
      <c r="B541" s="8">
        <v>7582973</v>
      </c>
    </row>
    <row r="542" spans="1:2" x14ac:dyDescent="0.25">
      <c r="A542" s="4">
        <v>1544</v>
      </c>
      <c r="B542" s="8">
        <v>6182284</v>
      </c>
    </row>
    <row r="543" spans="1:2" x14ac:dyDescent="0.25">
      <c r="A543" s="4">
        <v>1545</v>
      </c>
      <c r="B543" s="8">
        <v>7646891</v>
      </c>
    </row>
    <row r="544" spans="1:2" x14ac:dyDescent="0.25">
      <c r="A544" s="4">
        <v>1546</v>
      </c>
      <c r="B544" s="8">
        <v>3423782</v>
      </c>
    </row>
    <row r="545" spans="1:2" x14ac:dyDescent="0.25">
      <c r="A545" s="4">
        <v>1547</v>
      </c>
      <c r="B545" s="8">
        <v>3183065</v>
      </c>
    </row>
    <row r="546" spans="1:2" x14ac:dyDescent="0.25">
      <c r="A546" s="4">
        <v>1548</v>
      </c>
      <c r="B546" s="8">
        <v>2844065</v>
      </c>
    </row>
    <row r="547" spans="1:2" x14ac:dyDescent="0.25">
      <c r="A547" s="4">
        <v>1549</v>
      </c>
      <c r="B547" s="8">
        <v>6758582</v>
      </c>
    </row>
    <row r="548" spans="1:2" x14ac:dyDescent="0.25">
      <c r="A548" s="4">
        <v>1550</v>
      </c>
      <c r="B548" s="8">
        <v>3006887</v>
      </c>
    </row>
    <row r="549" spans="1:2" x14ac:dyDescent="0.25">
      <c r="A549" s="4">
        <v>1551</v>
      </c>
      <c r="B549" s="8">
        <v>2090607</v>
      </c>
    </row>
    <row r="550" spans="1:2" x14ac:dyDescent="0.25">
      <c r="A550" s="4">
        <v>1552</v>
      </c>
      <c r="B550" s="8">
        <v>6865948</v>
      </c>
    </row>
    <row r="551" spans="1:2" x14ac:dyDescent="0.25">
      <c r="A551" s="4">
        <v>1553</v>
      </c>
      <c r="B551" s="8">
        <v>5245863</v>
      </c>
    </row>
    <row r="552" spans="1:2" x14ac:dyDescent="0.25">
      <c r="A552" s="4">
        <v>1554</v>
      </c>
      <c r="B552" s="8">
        <v>487020</v>
      </c>
    </row>
    <row r="553" spans="1:2" x14ac:dyDescent="0.25">
      <c r="A553" s="4">
        <v>1555</v>
      </c>
      <c r="B553" s="8">
        <v>7540324</v>
      </c>
    </row>
    <row r="554" spans="1:2" x14ac:dyDescent="0.25">
      <c r="A554" s="4">
        <v>1556</v>
      </c>
      <c r="B554" s="8">
        <v>5716531</v>
      </c>
    </row>
    <row r="555" spans="1:2" x14ac:dyDescent="0.25">
      <c r="A555" s="4">
        <v>1557</v>
      </c>
      <c r="B555" s="8">
        <v>3867476</v>
      </c>
    </row>
    <row r="556" spans="1:2" x14ac:dyDescent="0.25">
      <c r="A556" s="4">
        <v>1558</v>
      </c>
      <c r="B556" s="8">
        <v>3607984</v>
      </c>
    </row>
    <row r="557" spans="1:2" x14ac:dyDescent="0.25">
      <c r="A557" s="4">
        <v>1559</v>
      </c>
      <c r="B557" s="8">
        <v>2935000</v>
      </c>
    </row>
    <row r="558" spans="1:2" x14ac:dyDescent="0.25">
      <c r="A558" s="4">
        <v>1560</v>
      </c>
      <c r="B558" s="8">
        <v>7069299</v>
      </c>
    </row>
    <row r="559" spans="1:2" x14ac:dyDescent="0.25">
      <c r="A559" s="4">
        <v>1561</v>
      </c>
      <c r="B559" s="8">
        <v>597137</v>
      </c>
    </row>
    <row r="560" spans="1:2" x14ac:dyDescent="0.25">
      <c r="A560" s="4">
        <v>1562</v>
      </c>
      <c r="B560" s="8">
        <v>5258376</v>
      </c>
    </row>
    <row r="561" spans="1:2" x14ac:dyDescent="0.25">
      <c r="A561" s="4">
        <v>1563</v>
      </c>
      <c r="B561" s="8">
        <v>2770960</v>
      </c>
    </row>
    <row r="562" spans="1:2" x14ac:dyDescent="0.25">
      <c r="A562" s="4">
        <v>1564</v>
      </c>
      <c r="B562" s="8">
        <v>3235184</v>
      </c>
    </row>
    <row r="563" spans="1:2" x14ac:dyDescent="0.25">
      <c r="A563" s="4">
        <v>1565</v>
      </c>
      <c r="B563" s="8">
        <v>6873949</v>
      </c>
    </row>
    <row r="564" spans="1:2" x14ac:dyDescent="0.25">
      <c r="A564" s="4">
        <v>1566</v>
      </c>
      <c r="B564" s="8">
        <v>1421770</v>
      </c>
    </row>
    <row r="565" spans="1:2" x14ac:dyDescent="0.25">
      <c r="A565" s="4">
        <v>1567</v>
      </c>
      <c r="B565" s="8">
        <v>6088742</v>
      </c>
    </row>
    <row r="566" spans="1:2" x14ac:dyDescent="0.25">
      <c r="A566" s="4">
        <v>1568</v>
      </c>
      <c r="B566" s="8">
        <v>6800654</v>
      </c>
    </row>
    <row r="567" spans="1:2" x14ac:dyDescent="0.25">
      <c r="A567" s="4">
        <v>1569</v>
      </c>
      <c r="B567" s="8">
        <v>6446208</v>
      </c>
    </row>
    <row r="568" spans="1:2" x14ac:dyDescent="0.25">
      <c r="A568" s="4">
        <v>1570</v>
      </c>
      <c r="B568" s="8">
        <v>6817162</v>
      </c>
    </row>
    <row r="569" spans="1:2" x14ac:dyDescent="0.25">
      <c r="A569" s="4">
        <v>1571</v>
      </c>
      <c r="B569" s="8">
        <v>4008190</v>
      </c>
    </row>
    <row r="570" spans="1:2" x14ac:dyDescent="0.25">
      <c r="A570" s="4">
        <v>1572</v>
      </c>
      <c r="B570" s="8">
        <v>3690279</v>
      </c>
    </row>
    <row r="571" spans="1:2" x14ac:dyDescent="0.25">
      <c r="A571" s="4">
        <v>1573</v>
      </c>
      <c r="B571" s="8">
        <v>2584654</v>
      </c>
    </row>
    <row r="572" spans="1:2" x14ac:dyDescent="0.25">
      <c r="A572" s="4">
        <v>1574</v>
      </c>
      <c r="B572" s="8">
        <v>2172256</v>
      </c>
    </row>
    <row r="573" spans="1:2" x14ac:dyDescent="0.25">
      <c r="A573" s="4">
        <v>1575</v>
      </c>
      <c r="B573" s="8">
        <v>3491286</v>
      </c>
    </row>
    <row r="574" spans="1:2" x14ac:dyDescent="0.25">
      <c r="A574" s="4">
        <v>1576</v>
      </c>
      <c r="B574" s="8">
        <v>6967993</v>
      </c>
    </row>
    <row r="575" spans="1:2" x14ac:dyDescent="0.25">
      <c r="A575" s="4">
        <v>1577</v>
      </c>
      <c r="B575" s="8">
        <v>6099236</v>
      </c>
    </row>
    <row r="576" spans="1:2" x14ac:dyDescent="0.25">
      <c r="A576" s="4">
        <v>1578</v>
      </c>
      <c r="B576" s="8">
        <v>5042485</v>
      </c>
    </row>
    <row r="577" spans="1:2" x14ac:dyDescent="0.25">
      <c r="A577" s="4">
        <v>1579</v>
      </c>
      <c r="B577" s="8">
        <v>4911585</v>
      </c>
    </row>
    <row r="578" spans="1:2" x14ac:dyDescent="0.25">
      <c r="A578" s="4">
        <v>1580</v>
      </c>
      <c r="B578" s="8">
        <v>5739621</v>
      </c>
    </row>
    <row r="579" spans="1:2" x14ac:dyDescent="0.25">
      <c r="A579" s="4">
        <v>1581</v>
      </c>
      <c r="B579" s="8">
        <v>5093838</v>
      </c>
    </row>
    <row r="580" spans="1:2" x14ac:dyDescent="0.25">
      <c r="A580" s="4">
        <v>1582</v>
      </c>
      <c r="B580" s="8">
        <v>5918604</v>
      </c>
    </row>
    <row r="581" spans="1:2" x14ac:dyDescent="0.25">
      <c r="A581" s="4">
        <v>1583</v>
      </c>
      <c r="B581" s="8">
        <v>7500987</v>
      </c>
    </row>
    <row r="582" spans="1:2" x14ac:dyDescent="0.25">
      <c r="A582" s="4">
        <v>1584</v>
      </c>
      <c r="B582" s="8">
        <v>3406833</v>
      </c>
    </row>
    <row r="583" spans="1:2" x14ac:dyDescent="0.25">
      <c r="A583" s="4">
        <v>1585</v>
      </c>
      <c r="B583" s="8">
        <v>5863626</v>
      </c>
    </row>
    <row r="584" spans="1:2" x14ac:dyDescent="0.25">
      <c r="A584" s="4">
        <v>1586</v>
      </c>
      <c r="B584" s="8">
        <v>6436812</v>
      </c>
    </row>
    <row r="585" spans="1:2" x14ac:dyDescent="0.25">
      <c r="A585" s="4">
        <v>1587</v>
      </c>
      <c r="B585" s="8">
        <v>6331768</v>
      </c>
    </row>
    <row r="586" spans="1:2" x14ac:dyDescent="0.25">
      <c r="A586" s="4">
        <v>1588</v>
      </c>
      <c r="B586" s="8">
        <v>4540124</v>
      </c>
    </row>
    <row r="587" spans="1:2" x14ac:dyDescent="0.25">
      <c r="A587" s="4">
        <v>1589</v>
      </c>
      <c r="B587" s="8">
        <v>7062304</v>
      </c>
    </row>
    <row r="588" spans="1:2" x14ac:dyDescent="0.25">
      <c r="A588" s="4">
        <v>1590</v>
      </c>
      <c r="B588" s="8">
        <v>6672535</v>
      </c>
    </row>
    <row r="589" spans="1:2" x14ac:dyDescent="0.25">
      <c r="A589" s="4">
        <v>1591</v>
      </c>
      <c r="B589" s="8">
        <v>7317406</v>
      </c>
    </row>
    <row r="590" spans="1:2" x14ac:dyDescent="0.25">
      <c r="A590" s="4">
        <v>1592</v>
      </c>
      <c r="B590" s="8">
        <v>7150981</v>
      </c>
    </row>
    <row r="591" spans="1:2" x14ac:dyDescent="0.25">
      <c r="A591" s="4">
        <v>1593</v>
      </c>
      <c r="B591" s="8">
        <v>6741565</v>
      </c>
    </row>
    <row r="592" spans="1:2" x14ac:dyDescent="0.25">
      <c r="A592" s="4">
        <v>1594</v>
      </c>
      <c r="B592" s="8">
        <v>3899190</v>
      </c>
    </row>
    <row r="593" spans="1:2" x14ac:dyDescent="0.25">
      <c r="A593" s="4">
        <v>1595</v>
      </c>
      <c r="B593" s="8">
        <v>7646250</v>
      </c>
    </row>
    <row r="594" spans="1:2" x14ac:dyDescent="0.25">
      <c r="A594" s="4">
        <v>1596</v>
      </c>
      <c r="B594" s="8">
        <v>5283400</v>
      </c>
    </row>
    <row r="595" spans="1:2" x14ac:dyDescent="0.25">
      <c r="A595" s="4">
        <v>1597</v>
      </c>
      <c r="B595" s="8">
        <v>7209495</v>
      </c>
    </row>
    <row r="596" spans="1:2" x14ac:dyDescent="0.25">
      <c r="A596" s="4">
        <v>1598</v>
      </c>
      <c r="B596" s="8">
        <v>3739146</v>
      </c>
    </row>
    <row r="597" spans="1:2" x14ac:dyDescent="0.25">
      <c r="A597" s="4">
        <v>1599</v>
      </c>
      <c r="B597" s="8">
        <v>7488301</v>
      </c>
    </row>
    <row r="598" spans="1:2" x14ac:dyDescent="0.25">
      <c r="A598" s="4" t="s">
        <v>18</v>
      </c>
      <c r="B598" s="8">
        <v>2951777441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0EE2-3F2C-47D7-B580-D858C3B2A054}">
  <dimension ref="A1"/>
  <sheetViews>
    <sheetView tabSelected="1" workbookViewId="0">
      <selection activeCell="G1" sqref="G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7B7A-A2B8-446F-92C3-0232234D57F5}">
  <dimension ref="A1:B2"/>
  <sheetViews>
    <sheetView topLeftCell="A9" workbookViewId="0">
      <selection activeCell="O22" sqref="K22:O26"/>
    </sheetView>
  </sheetViews>
  <sheetFormatPr defaultRowHeight="15" x14ac:dyDescent="0.25"/>
  <cols>
    <col min="1" max="1" width="13.140625" bestFit="1" customWidth="1"/>
    <col min="2" max="2" width="23.5703125" bestFit="1" customWidth="1"/>
  </cols>
  <sheetData>
    <row r="1" spans="1:2" x14ac:dyDescent="0.25">
      <c r="A1" s="3" t="s">
        <v>17</v>
      </c>
      <c r="B1" t="s">
        <v>30</v>
      </c>
    </row>
    <row r="2" spans="1:2" x14ac:dyDescent="0.25">
      <c r="A2" s="4" t="s">
        <v>20</v>
      </c>
      <c r="B2" s="8">
        <v>77204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53CD-0411-43FE-A915-490E62524ADC}">
  <dimension ref="A1:H595"/>
  <sheetViews>
    <sheetView zoomScale="120" zoomScaleNormal="120" workbookViewId="0">
      <selection activeCell="C4" sqref="C4"/>
    </sheetView>
  </sheetViews>
  <sheetFormatPr defaultRowHeight="15" x14ac:dyDescent="0.25"/>
  <cols>
    <col min="2" max="2" width="12.42578125" style="6" bestFit="1" customWidth="1"/>
    <col min="3" max="3" width="13.85546875" style="6" bestFit="1" customWidth="1"/>
    <col min="4" max="4" width="16.7109375" style="6" bestFit="1" customWidth="1"/>
    <col min="5" max="5" width="22.42578125" bestFit="1" customWidth="1"/>
    <col min="6" max="6" width="19.7109375" style="6" bestFit="1" customWidth="1"/>
    <col min="7" max="7" width="10.85546875" style="7" bestFit="1" customWidth="1"/>
    <col min="8" max="8" width="14.28515625" bestFit="1" customWidth="1"/>
  </cols>
  <sheetData>
    <row r="1" spans="1:8" x14ac:dyDescent="0.25">
      <c r="A1" s="1" t="s">
        <v>0</v>
      </c>
      <c r="B1" s="6" t="s">
        <v>13</v>
      </c>
      <c r="C1" s="6" t="s">
        <v>14</v>
      </c>
      <c r="D1" s="6" t="s">
        <v>15</v>
      </c>
      <c r="E1" t="s">
        <v>16</v>
      </c>
      <c r="F1" s="6" t="s">
        <v>22</v>
      </c>
      <c r="G1" s="7" t="s">
        <v>23</v>
      </c>
      <c r="H1" t="s">
        <v>24</v>
      </c>
    </row>
    <row r="2" spans="1:8" x14ac:dyDescent="0.25">
      <c r="A2">
        <v>1154</v>
      </c>
      <c r="B2" s="6">
        <f>COUNTIF(Raw_Data!A:A,A2)</f>
        <v>9</v>
      </c>
      <c r="C2" s="6">
        <f>SUMIFS(Raw_Data!G:G, Raw_Data!A:A, A2)</f>
        <v>32724</v>
      </c>
      <c r="D2" s="6">
        <f t="shared" ref="D2:D65" si="0">C2/B2</f>
        <v>3636</v>
      </c>
      <c r="E2" t="str">
        <f t="shared" ref="E2:E65" si="1">IF(B2&gt;1,"Repeat","New")</f>
        <v>Repeat</v>
      </c>
      <c r="F2" s="6">
        <f>C2</f>
        <v>32724</v>
      </c>
      <c r="G2" s="7">
        <f>F2/SUM($C:$C)</f>
        <v>4.2793862237607413E-3</v>
      </c>
      <c r="H2" t="str">
        <f>IF(G2&lt;=0.8,"Top Customers","Others")</f>
        <v>Top Customers</v>
      </c>
    </row>
    <row r="3" spans="1:8" x14ac:dyDescent="0.25">
      <c r="A3">
        <v>1435</v>
      </c>
      <c r="B3" s="6">
        <f>COUNTIF(Raw_Data!A:A,A3)</f>
        <v>10</v>
      </c>
      <c r="C3" s="6">
        <f>SUMIFS(Raw_Data!G:G, Raw_Data!A:A, A3)</f>
        <v>31829</v>
      </c>
      <c r="D3" s="6">
        <f t="shared" si="0"/>
        <v>3182.9</v>
      </c>
      <c r="E3" t="str">
        <f t="shared" si="1"/>
        <v>Repeat</v>
      </c>
      <c r="F3" s="6">
        <f>F2+C3</f>
        <v>64553</v>
      </c>
      <c r="G3" s="7">
        <f t="shared" ref="G3:G66" si="2">F3/SUM($C:$C)</f>
        <v>8.4417314173825669E-3</v>
      </c>
      <c r="H3" t="str">
        <f t="shared" ref="H3:H66" si="3">IF(G3&lt;=0.8,"Top Customers","Others")</f>
        <v>Top Customers</v>
      </c>
    </row>
    <row r="4" spans="1:8" x14ac:dyDescent="0.25">
      <c r="A4">
        <v>1476</v>
      </c>
      <c r="B4" s="6">
        <f>COUNTIF(Raw_Data!A:A,A4)</f>
        <v>11</v>
      </c>
      <c r="C4" s="6">
        <f>SUMIFS(Raw_Data!G:G, Raw_Data!A:A, A4)</f>
        <v>31692</v>
      </c>
      <c r="D4" s="6">
        <f t="shared" si="0"/>
        <v>2881.090909090909</v>
      </c>
      <c r="E4" t="str">
        <f t="shared" si="1"/>
        <v>Repeat</v>
      </c>
      <c r="F4" s="6">
        <f t="shared" ref="F4:F67" si="4">F3+C4</f>
        <v>96245</v>
      </c>
      <c r="G4" s="7">
        <f t="shared" si="2"/>
        <v>1.2586160833206593E-2</v>
      </c>
      <c r="H4" t="str">
        <f t="shared" si="3"/>
        <v>Top Customers</v>
      </c>
    </row>
    <row r="5" spans="1:8" x14ac:dyDescent="0.25">
      <c r="A5">
        <v>1342</v>
      </c>
      <c r="B5" s="6">
        <f>COUNTIF(Raw_Data!A:A,A5)</f>
        <v>8</v>
      </c>
      <c r="C5" s="6">
        <f>SUMIFS(Raw_Data!G:G, Raw_Data!A:A, A5)</f>
        <v>31625</v>
      </c>
      <c r="D5" s="6">
        <f t="shared" si="0"/>
        <v>3953.125</v>
      </c>
      <c r="E5" t="str">
        <f t="shared" si="1"/>
        <v>Repeat</v>
      </c>
      <c r="F5" s="6">
        <f t="shared" si="4"/>
        <v>127870</v>
      </c>
      <c r="G5" s="7">
        <f t="shared" si="2"/>
        <v>1.6721828518282789E-2</v>
      </c>
      <c r="H5" t="str">
        <f t="shared" si="3"/>
        <v>Top Customers</v>
      </c>
    </row>
    <row r="6" spans="1:8" x14ac:dyDescent="0.25">
      <c r="A6">
        <v>1223</v>
      </c>
      <c r="B6" s="6">
        <f>COUNTIF(Raw_Data!A:A,A6)</f>
        <v>9</v>
      </c>
      <c r="C6" s="6">
        <f>SUMIFS(Raw_Data!G:G, Raw_Data!A:A, A6)</f>
        <v>31604</v>
      </c>
      <c r="D6" s="6">
        <f t="shared" si="0"/>
        <v>3511.5555555555557</v>
      </c>
      <c r="E6" t="str">
        <f t="shared" si="1"/>
        <v>Repeat</v>
      </c>
      <c r="F6" s="6">
        <f t="shared" si="4"/>
        <v>159474</v>
      </c>
      <c r="G6" s="7">
        <f t="shared" si="2"/>
        <v>2.0854749989243995E-2</v>
      </c>
      <c r="H6" t="str">
        <f t="shared" si="3"/>
        <v>Top Customers</v>
      </c>
    </row>
    <row r="7" spans="1:8" x14ac:dyDescent="0.25">
      <c r="A7">
        <v>1302</v>
      </c>
      <c r="B7" s="6">
        <f>COUNTIF(Raw_Data!A:A,A7)</f>
        <v>10</v>
      </c>
      <c r="C7" s="6">
        <f>SUMIFS(Raw_Data!G:G, Raw_Data!A:A, A7)</f>
        <v>31497</v>
      </c>
      <c r="D7" s="6">
        <f t="shared" si="0"/>
        <v>3149.7</v>
      </c>
      <c r="E7" t="str">
        <f t="shared" si="1"/>
        <v>Repeat</v>
      </c>
      <c r="F7" s="6">
        <f t="shared" si="4"/>
        <v>190971</v>
      </c>
      <c r="G7" s="7">
        <f t="shared" si="2"/>
        <v>2.4973678845428816E-2</v>
      </c>
      <c r="H7" t="str">
        <f t="shared" si="3"/>
        <v>Top Customers</v>
      </c>
    </row>
    <row r="8" spans="1:8" x14ac:dyDescent="0.25">
      <c r="A8">
        <v>1075</v>
      </c>
      <c r="B8" s="6">
        <f>COUNTIF(Raw_Data!A:A,A8)</f>
        <v>12</v>
      </c>
      <c r="C8" s="6">
        <f>SUMIFS(Raw_Data!G:G, Raw_Data!A:A, A8)</f>
        <v>30814</v>
      </c>
      <c r="D8" s="6">
        <f t="shared" si="0"/>
        <v>2567.8333333333335</v>
      </c>
      <c r="E8" t="str">
        <f t="shared" si="1"/>
        <v>Repeat</v>
      </c>
      <c r="F8" s="6">
        <f t="shared" si="4"/>
        <v>221785</v>
      </c>
      <c r="G8" s="7">
        <f t="shared" si="2"/>
        <v>2.9003290356826063E-2</v>
      </c>
      <c r="H8" t="str">
        <f t="shared" si="3"/>
        <v>Top Customers</v>
      </c>
    </row>
    <row r="9" spans="1:8" x14ac:dyDescent="0.25">
      <c r="A9">
        <v>1183</v>
      </c>
      <c r="B9" s="6">
        <f>COUNTIF(Raw_Data!A:A,A9)</f>
        <v>9</v>
      </c>
      <c r="C9" s="6">
        <f>SUMIFS(Raw_Data!G:G, Raw_Data!A:A, A9)</f>
        <v>30544</v>
      </c>
      <c r="D9" s="6">
        <f t="shared" si="0"/>
        <v>3393.7777777777778</v>
      </c>
      <c r="E9" t="str">
        <f t="shared" si="1"/>
        <v>Repeat</v>
      </c>
      <c r="F9" s="6">
        <f t="shared" si="4"/>
        <v>252329</v>
      </c>
      <c r="G9" s="7">
        <f t="shared" si="2"/>
        <v>3.2997593401030562E-2</v>
      </c>
      <c r="H9" t="str">
        <f t="shared" si="3"/>
        <v>Top Customers</v>
      </c>
    </row>
    <row r="10" spans="1:8" x14ac:dyDescent="0.25">
      <c r="A10">
        <v>1160</v>
      </c>
      <c r="B10" s="6">
        <f>COUNTIF(Raw_Data!A:A,A10)</f>
        <v>8</v>
      </c>
      <c r="C10" s="6">
        <f>SUMIFS(Raw_Data!G:G, Raw_Data!A:A, A10)</f>
        <v>30277</v>
      </c>
      <c r="D10" s="6">
        <f t="shared" si="0"/>
        <v>3784.625</v>
      </c>
      <c r="E10" t="str">
        <f t="shared" si="1"/>
        <v>Repeat</v>
      </c>
      <c r="F10" s="6">
        <f t="shared" si="4"/>
        <v>282606</v>
      </c>
      <c r="G10" s="7">
        <f t="shared" si="2"/>
        <v>3.6956980294344459E-2</v>
      </c>
      <c r="H10" t="str">
        <f t="shared" si="3"/>
        <v>Top Customers</v>
      </c>
    </row>
    <row r="11" spans="1:8" x14ac:dyDescent="0.25">
      <c r="A11">
        <v>1344</v>
      </c>
      <c r="B11" s="6">
        <f>COUNTIF(Raw_Data!A:A,A11)</f>
        <v>9</v>
      </c>
      <c r="C11" s="6">
        <f>SUMIFS(Raw_Data!G:G, Raw_Data!A:A, A11)</f>
        <v>29957</v>
      </c>
      <c r="D11" s="6">
        <f t="shared" si="0"/>
        <v>3328.5555555555557</v>
      </c>
      <c r="E11" t="str">
        <f t="shared" si="1"/>
        <v>Repeat</v>
      </c>
      <c r="F11" s="6">
        <f t="shared" si="4"/>
        <v>312563</v>
      </c>
      <c r="G11" s="7">
        <f t="shared" si="2"/>
        <v>4.087452011542992E-2</v>
      </c>
      <c r="H11" t="str">
        <f t="shared" si="3"/>
        <v>Top Customers</v>
      </c>
    </row>
    <row r="12" spans="1:8" x14ac:dyDescent="0.25">
      <c r="A12">
        <v>1288</v>
      </c>
      <c r="B12" s="6">
        <f>COUNTIF(Raw_Data!A:A,A12)</f>
        <v>8</v>
      </c>
      <c r="C12" s="6">
        <f>SUMIFS(Raw_Data!G:G, Raw_Data!A:A, A12)</f>
        <v>29780</v>
      </c>
      <c r="D12" s="6">
        <f t="shared" si="0"/>
        <v>3722.5</v>
      </c>
      <c r="E12" t="str">
        <f t="shared" si="1"/>
        <v>Repeat</v>
      </c>
      <c r="F12" s="6">
        <f t="shared" si="4"/>
        <v>342343</v>
      </c>
      <c r="G12" s="7">
        <f t="shared" si="2"/>
        <v>4.4768913274689022E-2</v>
      </c>
      <c r="H12" t="str">
        <f t="shared" si="3"/>
        <v>Top Customers</v>
      </c>
    </row>
    <row r="13" spans="1:8" x14ac:dyDescent="0.25">
      <c r="A13">
        <v>1084</v>
      </c>
      <c r="B13" s="6">
        <f>COUNTIF(Raw_Data!A:A,A13)</f>
        <v>10</v>
      </c>
      <c r="C13" s="6">
        <f>SUMIFS(Raw_Data!G:G, Raw_Data!A:A, A13)</f>
        <v>29588</v>
      </c>
      <c r="D13" s="6">
        <f t="shared" si="0"/>
        <v>2958.8</v>
      </c>
      <c r="E13" t="str">
        <f t="shared" si="1"/>
        <v>Repeat</v>
      </c>
      <c r="F13" s="6">
        <f t="shared" si="4"/>
        <v>371931</v>
      </c>
      <c r="G13" s="7">
        <f t="shared" si="2"/>
        <v>4.8638198190611062E-2</v>
      </c>
      <c r="H13" t="str">
        <f t="shared" si="3"/>
        <v>Top Customers</v>
      </c>
    </row>
    <row r="14" spans="1:8" x14ac:dyDescent="0.25">
      <c r="A14">
        <v>1526</v>
      </c>
      <c r="B14" s="6">
        <f>COUNTIF(Raw_Data!A:A,A14)</f>
        <v>10</v>
      </c>
      <c r="C14" s="6">
        <f>SUMIFS(Raw_Data!G:G, Raw_Data!A:A, A14)</f>
        <v>29328</v>
      </c>
      <c r="D14" s="6">
        <f t="shared" si="0"/>
        <v>2932.8</v>
      </c>
      <c r="E14" t="str">
        <f t="shared" si="1"/>
        <v>Repeat</v>
      </c>
      <c r="F14" s="6">
        <f t="shared" si="4"/>
        <v>401259</v>
      </c>
      <c r="G14" s="7">
        <f t="shared" si="2"/>
        <v>5.247348236034749E-2</v>
      </c>
      <c r="H14" t="str">
        <f t="shared" si="3"/>
        <v>Top Customers</v>
      </c>
    </row>
    <row r="15" spans="1:8" x14ac:dyDescent="0.25">
      <c r="A15">
        <v>1233</v>
      </c>
      <c r="B15" s="6">
        <f>COUNTIF(Raw_Data!A:A,A15)</f>
        <v>11</v>
      </c>
      <c r="C15" s="6">
        <f>SUMIFS(Raw_Data!G:G, Raw_Data!A:A, A15)</f>
        <v>28820</v>
      </c>
      <c r="D15" s="6">
        <f t="shared" si="0"/>
        <v>2620</v>
      </c>
      <c r="E15" t="str">
        <f t="shared" si="1"/>
        <v>Repeat</v>
      </c>
      <c r="F15" s="6">
        <f t="shared" si="4"/>
        <v>430079</v>
      </c>
      <c r="G15" s="7">
        <f t="shared" si="2"/>
        <v>5.6242334302921276E-2</v>
      </c>
      <c r="H15" t="str">
        <f t="shared" si="3"/>
        <v>Top Customers</v>
      </c>
    </row>
    <row r="16" spans="1:8" x14ac:dyDescent="0.25">
      <c r="A16">
        <v>1118</v>
      </c>
      <c r="B16" s="6">
        <f>COUNTIF(Raw_Data!A:A,A16)</f>
        <v>9</v>
      </c>
      <c r="C16" s="6">
        <f>SUMIFS(Raw_Data!G:G, Raw_Data!A:A, A16)</f>
        <v>28787</v>
      </c>
      <c r="D16" s="6">
        <f t="shared" si="0"/>
        <v>3198.5555555555557</v>
      </c>
      <c r="E16" t="str">
        <f t="shared" si="1"/>
        <v>Repeat</v>
      </c>
      <c r="F16" s="6">
        <f t="shared" si="4"/>
        <v>458866</v>
      </c>
      <c r="G16" s="7">
        <f t="shared" si="2"/>
        <v>6.0006870766171505E-2</v>
      </c>
      <c r="H16" t="str">
        <f t="shared" si="3"/>
        <v>Top Customers</v>
      </c>
    </row>
    <row r="17" spans="1:8" x14ac:dyDescent="0.25">
      <c r="A17">
        <v>1554</v>
      </c>
      <c r="B17" s="6">
        <f>COUNTIF(Raw_Data!A:A,A17)</f>
        <v>10</v>
      </c>
      <c r="C17" s="6">
        <f>SUMIFS(Raw_Data!G:G, Raw_Data!A:A, A17)</f>
        <v>28154</v>
      </c>
      <c r="D17" s="6">
        <f t="shared" si="0"/>
        <v>2815.4</v>
      </c>
      <c r="E17" t="str">
        <f t="shared" si="1"/>
        <v>Repeat</v>
      </c>
      <c r="F17" s="6">
        <f t="shared" si="4"/>
        <v>487020</v>
      </c>
      <c r="G17" s="7">
        <f t="shared" si="2"/>
        <v>6.3688628489669857E-2</v>
      </c>
      <c r="H17" t="str">
        <f t="shared" si="3"/>
        <v>Top Customers</v>
      </c>
    </row>
    <row r="18" spans="1:8" x14ac:dyDescent="0.25">
      <c r="A18">
        <v>1268</v>
      </c>
      <c r="B18" s="6">
        <f>COUNTIF(Raw_Data!A:A,A18)</f>
        <v>11</v>
      </c>
      <c r="C18" s="6">
        <f>SUMIFS(Raw_Data!G:G, Raw_Data!A:A, A18)</f>
        <v>27710</v>
      </c>
      <c r="D18" s="6">
        <f t="shared" si="0"/>
        <v>2519.090909090909</v>
      </c>
      <c r="E18" t="str">
        <f t="shared" si="1"/>
        <v>Repeat</v>
      </c>
      <c r="F18" s="6">
        <f t="shared" si="4"/>
        <v>514730</v>
      </c>
      <c r="G18" s="7">
        <f t="shared" si="2"/>
        <v>6.7312323400451249E-2</v>
      </c>
      <c r="H18" t="str">
        <f t="shared" si="3"/>
        <v>Top Customers</v>
      </c>
    </row>
    <row r="19" spans="1:8" x14ac:dyDescent="0.25">
      <c r="A19">
        <v>1130</v>
      </c>
      <c r="B19" s="6">
        <f>COUNTIF(Raw_Data!A:A,A19)</f>
        <v>9</v>
      </c>
      <c r="C19" s="6">
        <f>SUMIFS(Raw_Data!G:G, Raw_Data!A:A, A19)</f>
        <v>27521</v>
      </c>
      <c r="D19" s="6">
        <f t="shared" si="0"/>
        <v>3057.8888888888887</v>
      </c>
      <c r="E19" t="str">
        <f t="shared" si="1"/>
        <v>Repeat</v>
      </c>
      <c r="F19" s="6">
        <f t="shared" si="4"/>
        <v>542251</v>
      </c>
      <c r="G19" s="7">
        <f t="shared" si="2"/>
        <v>7.0911302384197711E-2</v>
      </c>
      <c r="H19" t="str">
        <f t="shared" si="3"/>
        <v>Top Customers</v>
      </c>
    </row>
    <row r="20" spans="1:8" x14ac:dyDescent="0.25">
      <c r="A20">
        <v>1401</v>
      </c>
      <c r="B20" s="6">
        <f>COUNTIF(Raw_Data!A:A,A20)</f>
        <v>11</v>
      </c>
      <c r="C20" s="6">
        <f>SUMIFS(Raw_Data!G:G, Raw_Data!A:A, A20)</f>
        <v>27492</v>
      </c>
      <c r="D20" s="6">
        <f t="shared" si="0"/>
        <v>2499.2727272727275</v>
      </c>
      <c r="E20" t="str">
        <f t="shared" si="1"/>
        <v>Repeat</v>
      </c>
      <c r="F20" s="6">
        <f t="shared" si="4"/>
        <v>569743</v>
      </c>
      <c r="G20" s="7">
        <f t="shared" si="2"/>
        <v>7.4506488977023472E-2</v>
      </c>
      <c r="H20" t="str">
        <f t="shared" si="3"/>
        <v>Top Customers</v>
      </c>
    </row>
    <row r="21" spans="1:8" x14ac:dyDescent="0.25">
      <c r="A21">
        <v>1561</v>
      </c>
      <c r="B21" s="6">
        <f>COUNTIF(Raw_Data!A:A,A21)</f>
        <v>8</v>
      </c>
      <c r="C21" s="6">
        <f>SUMIFS(Raw_Data!G:G, Raw_Data!A:A, A21)</f>
        <v>27394</v>
      </c>
      <c r="D21" s="6">
        <f t="shared" si="0"/>
        <v>3424.25</v>
      </c>
      <c r="E21" t="str">
        <f t="shared" si="1"/>
        <v>Repeat</v>
      </c>
      <c r="F21" s="6">
        <f t="shared" si="4"/>
        <v>597137</v>
      </c>
      <c r="G21" s="7">
        <f t="shared" si="2"/>
        <v>7.8088859903979277E-2</v>
      </c>
      <c r="H21" t="str">
        <f t="shared" si="3"/>
        <v>Top Customers</v>
      </c>
    </row>
    <row r="22" spans="1:8" x14ac:dyDescent="0.25">
      <c r="A22">
        <v>1318</v>
      </c>
      <c r="B22" s="6">
        <f>COUNTIF(Raw_Data!A:A,A22)</f>
        <v>10</v>
      </c>
      <c r="C22" s="6">
        <f>SUMIFS(Raw_Data!G:G, Raw_Data!A:A, A22)</f>
        <v>27342</v>
      </c>
      <c r="D22" s="6">
        <f t="shared" si="0"/>
        <v>2734.2</v>
      </c>
      <c r="E22" t="str">
        <f t="shared" si="1"/>
        <v>Repeat</v>
      </c>
      <c r="F22" s="6">
        <f t="shared" si="4"/>
        <v>624479</v>
      </c>
      <c r="G22" s="7">
        <f t="shared" si="2"/>
        <v>8.1664430681697958E-2</v>
      </c>
      <c r="H22" t="str">
        <f t="shared" si="3"/>
        <v>Top Customers</v>
      </c>
    </row>
    <row r="23" spans="1:8" x14ac:dyDescent="0.25">
      <c r="A23">
        <v>1517</v>
      </c>
      <c r="B23" s="6">
        <f>COUNTIF(Raw_Data!A:A,A23)</f>
        <v>10</v>
      </c>
      <c r="C23" s="6">
        <f>SUMIFS(Raw_Data!G:G, Raw_Data!A:A, A23)</f>
        <v>27243</v>
      </c>
      <c r="D23" s="6">
        <f t="shared" si="0"/>
        <v>2724.3</v>
      </c>
      <c r="E23" t="str">
        <f t="shared" si="1"/>
        <v>Repeat</v>
      </c>
      <c r="F23" s="6">
        <f t="shared" si="4"/>
        <v>651722</v>
      </c>
      <c r="G23" s="7">
        <f t="shared" si="2"/>
        <v>8.5227055021445966E-2</v>
      </c>
      <c r="H23" t="str">
        <f t="shared" si="3"/>
        <v>Top Customers</v>
      </c>
    </row>
    <row r="24" spans="1:8" x14ac:dyDescent="0.25">
      <c r="A24">
        <v>1188</v>
      </c>
      <c r="B24" s="6">
        <f>COUNTIF(Raw_Data!A:A,A24)</f>
        <v>9</v>
      </c>
      <c r="C24" s="6">
        <f>SUMIFS(Raw_Data!G:G, Raw_Data!A:A, A24)</f>
        <v>27179</v>
      </c>
      <c r="D24" s="6">
        <f t="shared" si="0"/>
        <v>3019.8888888888887</v>
      </c>
      <c r="E24" t="str">
        <f t="shared" si="1"/>
        <v>Repeat</v>
      </c>
      <c r="F24" s="6">
        <f t="shared" si="4"/>
        <v>678901</v>
      </c>
      <c r="G24" s="7">
        <f t="shared" si="2"/>
        <v>8.8781309946748294E-2</v>
      </c>
      <c r="H24" t="str">
        <f t="shared" si="3"/>
        <v>Top Customers</v>
      </c>
    </row>
    <row r="25" spans="1:8" x14ac:dyDescent="0.25">
      <c r="A25">
        <v>1113</v>
      </c>
      <c r="B25" s="6">
        <f>COUNTIF(Raw_Data!A:A,A25)</f>
        <v>12</v>
      </c>
      <c r="C25" s="6">
        <f>SUMIFS(Raw_Data!G:G, Raw_Data!A:A, A25)</f>
        <v>26958</v>
      </c>
      <c r="D25" s="6">
        <f t="shared" si="0"/>
        <v>2246.5</v>
      </c>
      <c r="E25" t="str">
        <f t="shared" si="1"/>
        <v>Repeat</v>
      </c>
      <c r="F25" s="6">
        <f t="shared" si="4"/>
        <v>705859</v>
      </c>
      <c r="G25" s="7">
        <f t="shared" si="2"/>
        <v>9.2306664237792851E-2</v>
      </c>
      <c r="H25" t="str">
        <f t="shared" si="3"/>
        <v>Top Customers</v>
      </c>
    </row>
    <row r="26" spans="1:8" x14ac:dyDescent="0.25">
      <c r="A26">
        <v>1161</v>
      </c>
      <c r="B26" s="6">
        <f>COUNTIF(Raw_Data!A:A,A26)</f>
        <v>10</v>
      </c>
      <c r="C26" s="6">
        <f>SUMIFS(Raw_Data!G:G, Raw_Data!A:A, A26)</f>
        <v>26753</v>
      </c>
      <c r="D26" s="6">
        <f t="shared" si="0"/>
        <v>2675.3</v>
      </c>
      <c r="E26" t="str">
        <f t="shared" si="1"/>
        <v>Repeat</v>
      </c>
      <c r="F26" s="6">
        <f t="shared" si="4"/>
        <v>732612</v>
      </c>
      <c r="G26" s="7">
        <f t="shared" si="2"/>
        <v>9.5805210248191067E-2</v>
      </c>
      <c r="H26" t="str">
        <f t="shared" si="3"/>
        <v>Top Customers</v>
      </c>
    </row>
    <row r="27" spans="1:8" x14ac:dyDescent="0.25">
      <c r="A27">
        <v>1494</v>
      </c>
      <c r="B27" s="6">
        <f>COUNTIF(Raw_Data!A:A,A27)</f>
        <v>8</v>
      </c>
      <c r="C27" s="6">
        <f>SUMIFS(Raw_Data!G:G, Raw_Data!A:A, A27)</f>
        <v>26638</v>
      </c>
      <c r="D27" s="6">
        <f t="shared" si="0"/>
        <v>3329.75</v>
      </c>
      <c r="E27" t="str">
        <f t="shared" si="1"/>
        <v>Repeat</v>
      </c>
      <c r="F27" s="6">
        <f t="shared" si="4"/>
        <v>759250</v>
      </c>
      <c r="G27" s="7">
        <f t="shared" si="2"/>
        <v>9.9288717467007181E-2</v>
      </c>
      <c r="H27" t="str">
        <f t="shared" si="3"/>
        <v>Top Customers</v>
      </c>
    </row>
    <row r="28" spans="1:8" x14ac:dyDescent="0.25">
      <c r="A28">
        <v>1047</v>
      </c>
      <c r="B28" s="6">
        <f>COUNTIF(Raw_Data!A:A,A28)</f>
        <v>9</v>
      </c>
      <c r="C28" s="6">
        <f>SUMIFS(Raw_Data!G:G, Raw_Data!A:A, A28)</f>
        <v>26577</v>
      </c>
      <c r="D28" s="6">
        <f t="shared" si="0"/>
        <v>2953</v>
      </c>
      <c r="E28" t="str">
        <f t="shared" si="1"/>
        <v>Repeat</v>
      </c>
      <c r="F28" s="6">
        <f t="shared" si="4"/>
        <v>785827</v>
      </c>
      <c r="G28" s="7">
        <f t="shared" si="2"/>
        <v>0.10276424758767976</v>
      </c>
      <c r="H28" t="str">
        <f t="shared" si="3"/>
        <v>Top Customers</v>
      </c>
    </row>
    <row r="29" spans="1:8" x14ac:dyDescent="0.25">
      <c r="A29">
        <v>1012</v>
      </c>
      <c r="B29" s="6">
        <f>COUNTIF(Raw_Data!A:A,A29)</f>
        <v>11</v>
      </c>
      <c r="C29" s="6">
        <f>SUMIFS(Raw_Data!G:G, Raw_Data!A:A, A29)</f>
        <v>26364</v>
      </c>
      <c r="D29" s="6">
        <f t="shared" si="0"/>
        <v>2396.7272727272725</v>
      </c>
      <c r="E29" t="str">
        <f t="shared" si="1"/>
        <v>Repeat</v>
      </c>
      <c r="F29" s="6">
        <f t="shared" si="4"/>
        <v>812191</v>
      </c>
      <c r="G29" s="7">
        <f t="shared" si="2"/>
        <v>0.10621192325090027</v>
      </c>
      <c r="H29" t="str">
        <f t="shared" si="3"/>
        <v>Top Customers</v>
      </c>
    </row>
    <row r="30" spans="1:8" x14ac:dyDescent="0.25">
      <c r="A30">
        <v>1196</v>
      </c>
      <c r="B30" s="6">
        <f>COUNTIF(Raw_Data!A:A,A30)</f>
        <v>8</v>
      </c>
      <c r="C30" s="6">
        <f>SUMIFS(Raw_Data!G:G, Raw_Data!A:A, A30)</f>
        <v>26307</v>
      </c>
      <c r="D30" s="6">
        <f t="shared" si="0"/>
        <v>3288.375</v>
      </c>
      <c r="E30" t="str">
        <f t="shared" si="1"/>
        <v>Repeat</v>
      </c>
      <c r="F30" s="6">
        <f t="shared" si="4"/>
        <v>838498</v>
      </c>
      <c r="G30" s="7">
        <f t="shared" si="2"/>
        <v>0.10965214490438009</v>
      </c>
      <c r="H30" t="str">
        <f t="shared" si="3"/>
        <v>Top Customers</v>
      </c>
    </row>
    <row r="31" spans="1:8" x14ac:dyDescent="0.25">
      <c r="A31">
        <v>1537</v>
      </c>
      <c r="B31" s="6">
        <f>COUNTIF(Raw_Data!A:A,A31)</f>
        <v>8</v>
      </c>
      <c r="C31" s="6">
        <f>SUMIFS(Raw_Data!G:G, Raw_Data!A:A, A31)</f>
        <v>26169</v>
      </c>
      <c r="D31" s="6">
        <f t="shared" si="0"/>
        <v>3271.125</v>
      </c>
      <c r="E31" t="str">
        <f t="shared" si="1"/>
        <v>Repeat</v>
      </c>
      <c r="F31" s="6">
        <f t="shared" si="4"/>
        <v>864667</v>
      </c>
      <c r="G31" s="7">
        <f t="shared" si="2"/>
        <v>0.1130743200079614</v>
      </c>
      <c r="H31" t="str">
        <f t="shared" si="3"/>
        <v>Top Customers</v>
      </c>
    </row>
    <row r="32" spans="1:8" x14ac:dyDescent="0.25">
      <c r="A32">
        <v>1500</v>
      </c>
      <c r="B32" s="6">
        <f>COUNTIF(Raw_Data!A:A,A32)</f>
        <v>9</v>
      </c>
      <c r="C32" s="6">
        <f>SUMIFS(Raw_Data!G:G, Raw_Data!A:A, A32)</f>
        <v>25851</v>
      </c>
      <c r="D32" s="6">
        <f t="shared" si="0"/>
        <v>2872.3333333333335</v>
      </c>
      <c r="E32" t="str">
        <f t="shared" si="1"/>
        <v>Repeat</v>
      </c>
      <c r="F32" s="6">
        <f t="shared" si="4"/>
        <v>890518</v>
      </c>
      <c r="G32" s="7">
        <f t="shared" si="2"/>
        <v>0.1164549095835157</v>
      </c>
      <c r="H32" t="str">
        <f t="shared" si="3"/>
        <v>Top Customers</v>
      </c>
    </row>
    <row r="33" spans="1:8" x14ac:dyDescent="0.25">
      <c r="A33">
        <v>1147</v>
      </c>
      <c r="B33" s="6">
        <f>COUNTIF(Raw_Data!A:A,A33)</f>
        <v>7</v>
      </c>
      <c r="C33" s="6">
        <f>SUMIFS(Raw_Data!G:G, Raw_Data!A:A, A33)</f>
        <v>25618</v>
      </c>
      <c r="D33" s="6">
        <f t="shared" si="0"/>
        <v>3659.7142857142858</v>
      </c>
      <c r="E33" t="str">
        <f t="shared" si="1"/>
        <v>Repeat</v>
      </c>
      <c r="F33" s="6">
        <f t="shared" si="4"/>
        <v>916136</v>
      </c>
      <c r="G33" s="7">
        <f t="shared" si="2"/>
        <v>0.11980502925960368</v>
      </c>
      <c r="H33" t="str">
        <f t="shared" si="3"/>
        <v>Top Customers</v>
      </c>
    </row>
    <row r="34" spans="1:8" x14ac:dyDescent="0.25">
      <c r="A34">
        <v>1190</v>
      </c>
      <c r="B34" s="6">
        <f>COUNTIF(Raw_Data!A:A,A34)</f>
        <v>9</v>
      </c>
      <c r="C34" s="6">
        <f>SUMIFS(Raw_Data!G:G, Raw_Data!A:A, A34)</f>
        <v>25383</v>
      </c>
      <c r="D34" s="6">
        <f t="shared" si="0"/>
        <v>2820.3333333333335</v>
      </c>
      <c r="E34" t="str">
        <f t="shared" si="1"/>
        <v>Repeat</v>
      </c>
      <c r="F34" s="6">
        <f t="shared" si="4"/>
        <v>941519</v>
      </c>
      <c r="G34" s="7">
        <f t="shared" si="2"/>
        <v>0.12312441749202388</v>
      </c>
      <c r="H34" t="str">
        <f t="shared" si="3"/>
        <v>Top Customers</v>
      </c>
    </row>
    <row r="35" spans="1:8" x14ac:dyDescent="0.25">
      <c r="A35">
        <v>1349</v>
      </c>
      <c r="B35" s="6">
        <f>COUNTIF(Raw_Data!A:A,A35)</f>
        <v>9</v>
      </c>
      <c r="C35" s="6">
        <f>SUMIFS(Raw_Data!G:G, Raw_Data!A:A, A35)</f>
        <v>25324</v>
      </c>
      <c r="D35" s="6">
        <f t="shared" si="0"/>
        <v>2813.7777777777778</v>
      </c>
      <c r="E35" t="str">
        <f t="shared" si="1"/>
        <v>Repeat</v>
      </c>
      <c r="F35" s="6">
        <f t="shared" si="4"/>
        <v>966843</v>
      </c>
      <c r="G35" s="7">
        <f t="shared" si="2"/>
        <v>0.12643609017050197</v>
      </c>
      <c r="H35" t="str">
        <f t="shared" si="3"/>
        <v>Top Customers</v>
      </c>
    </row>
    <row r="36" spans="1:8" x14ac:dyDescent="0.25">
      <c r="A36">
        <v>1039</v>
      </c>
      <c r="B36" s="6">
        <f>COUNTIF(Raw_Data!A:A,A36)</f>
        <v>12</v>
      </c>
      <c r="C36" s="6">
        <f>SUMIFS(Raw_Data!G:G, Raw_Data!A:A, A36)</f>
        <v>25200</v>
      </c>
      <c r="D36" s="6">
        <f t="shared" si="0"/>
        <v>2100</v>
      </c>
      <c r="E36" t="str">
        <f t="shared" si="1"/>
        <v>Repeat</v>
      </c>
      <c r="F36" s="6">
        <f t="shared" si="4"/>
        <v>992043</v>
      </c>
      <c r="G36" s="7">
        <f t="shared" si="2"/>
        <v>0.12973154710849155</v>
      </c>
      <c r="H36" t="str">
        <f t="shared" si="3"/>
        <v>Top Customers</v>
      </c>
    </row>
    <row r="37" spans="1:8" x14ac:dyDescent="0.25">
      <c r="A37">
        <v>1099</v>
      </c>
      <c r="B37" s="6">
        <f>COUNTIF(Raw_Data!A:A,A37)</f>
        <v>12</v>
      </c>
      <c r="C37" s="6">
        <f>SUMIFS(Raw_Data!G:G, Raw_Data!A:A, A37)</f>
        <v>25162</v>
      </c>
      <c r="D37" s="6">
        <f t="shared" si="0"/>
        <v>2096.8333333333335</v>
      </c>
      <c r="E37" t="str">
        <f t="shared" si="1"/>
        <v>Repeat</v>
      </c>
      <c r="F37" s="6">
        <f t="shared" si="4"/>
        <v>1017205</v>
      </c>
      <c r="G37" s="7">
        <f t="shared" si="2"/>
        <v>0.133022034706654</v>
      </c>
      <c r="H37" t="str">
        <f t="shared" si="3"/>
        <v>Top Customers</v>
      </c>
    </row>
    <row r="38" spans="1:8" x14ac:dyDescent="0.25">
      <c r="A38">
        <v>1497</v>
      </c>
      <c r="B38" s="6">
        <f>COUNTIF(Raw_Data!A:A,A38)</f>
        <v>10</v>
      </c>
      <c r="C38" s="6">
        <f>SUMIFS(Raw_Data!G:G, Raw_Data!A:A, A38)</f>
        <v>25105</v>
      </c>
      <c r="D38" s="6">
        <f t="shared" si="0"/>
        <v>2510.5</v>
      </c>
      <c r="E38" t="str">
        <f t="shared" si="1"/>
        <v>Repeat</v>
      </c>
      <c r="F38" s="6">
        <f t="shared" si="4"/>
        <v>1042310</v>
      </c>
      <c r="G38" s="7">
        <f t="shared" si="2"/>
        <v>0.13630506829507574</v>
      </c>
      <c r="H38" t="str">
        <f t="shared" si="3"/>
        <v>Top Customers</v>
      </c>
    </row>
    <row r="39" spans="1:8" x14ac:dyDescent="0.25">
      <c r="A39">
        <v>1144</v>
      </c>
      <c r="B39" s="6">
        <f>COUNTIF(Raw_Data!A:A,A39)</f>
        <v>7</v>
      </c>
      <c r="C39" s="6">
        <f>SUMIFS(Raw_Data!G:G, Raw_Data!A:A, A39)</f>
        <v>24936</v>
      </c>
      <c r="D39" s="6">
        <f t="shared" si="0"/>
        <v>3562.2857142857142</v>
      </c>
      <c r="E39" t="str">
        <f t="shared" si="1"/>
        <v>Repeat</v>
      </c>
      <c r="F39" s="6">
        <f t="shared" si="4"/>
        <v>1067246</v>
      </c>
      <c r="G39" s="7">
        <f t="shared" si="2"/>
        <v>0.13956600139847686</v>
      </c>
      <c r="H39" t="str">
        <f t="shared" si="3"/>
        <v>Top Customers</v>
      </c>
    </row>
    <row r="40" spans="1:8" x14ac:dyDescent="0.25">
      <c r="A40">
        <v>1041</v>
      </c>
      <c r="B40" s="6">
        <f>COUNTIF(Raw_Data!A:A,A40)</f>
        <v>9</v>
      </c>
      <c r="C40" s="6">
        <f>SUMIFS(Raw_Data!G:G, Raw_Data!A:A, A40)</f>
        <v>24820</v>
      </c>
      <c r="D40" s="6">
        <f t="shared" si="0"/>
        <v>2757.7777777777778</v>
      </c>
      <c r="E40" t="str">
        <f t="shared" si="1"/>
        <v>Repeat</v>
      </c>
      <c r="F40" s="6">
        <f t="shared" si="4"/>
        <v>1092066</v>
      </c>
      <c r="G40" s="7">
        <f t="shared" si="2"/>
        <v>0.14281176493819514</v>
      </c>
      <c r="H40" t="str">
        <f t="shared" si="3"/>
        <v>Top Customers</v>
      </c>
    </row>
    <row r="41" spans="1:8" x14ac:dyDescent="0.25">
      <c r="A41">
        <v>1524</v>
      </c>
      <c r="B41" s="6">
        <f>COUNTIF(Raw_Data!A:A,A41)</f>
        <v>8</v>
      </c>
      <c r="C41" s="6">
        <f>SUMIFS(Raw_Data!G:G, Raw_Data!A:A, A41)</f>
        <v>24726</v>
      </c>
      <c r="D41" s="6">
        <f t="shared" si="0"/>
        <v>3090.75</v>
      </c>
      <c r="E41" t="str">
        <f t="shared" si="1"/>
        <v>Repeat</v>
      </c>
      <c r="F41" s="6">
        <f t="shared" si="4"/>
        <v>1116792</v>
      </c>
      <c r="G41" s="7">
        <f t="shared" si="2"/>
        <v>0.14604523590044635</v>
      </c>
      <c r="H41" t="str">
        <f t="shared" si="3"/>
        <v>Top Customers</v>
      </c>
    </row>
    <row r="42" spans="1:8" x14ac:dyDescent="0.25">
      <c r="A42">
        <v>1216</v>
      </c>
      <c r="B42" s="6">
        <f>COUNTIF(Raw_Data!A:A,A42)</f>
        <v>8</v>
      </c>
      <c r="C42" s="6">
        <f>SUMIFS(Raw_Data!G:G, Raw_Data!A:A, A42)</f>
        <v>24658</v>
      </c>
      <c r="D42" s="6">
        <f t="shared" si="0"/>
        <v>3082.25</v>
      </c>
      <c r="E42" t="str">
        <f t="shared" si="1"/>
        <v>Repeat</v>
      </c>
      <c r="F42" s="6">
        <f t="shared" si="4"/>
        <v>1141450</v>
      </c>
      <c r="G42" s="7">
        <f t="shared" si="2"/>
        <v>0.14926981435984898</v>
      </c>
      <c r="H42" t="str">
        <f t="shared" si="3"/>
        <v>Top Customers</v>
      </c>
    </row>
    <row r="43" spans="1:8" x14ac:dyDescent="0.25">
      <c r="A43">
        <v>1261</v>
      </c>
      <c r="B43" s="6">
        <f>COUNTIF(Raw_Data!A:A,A43)</f>
        <v>8</v>
      </c>
      <c r="C43" s="6">
        <f>SUMIFS(Raw_Data!G:G, Raw_Data!A:A, A43)</f>
        <v>24600</v>
      </c>
      <c r="D43" s="6">
        <f t="shared" si="0"/>
        <v>3075</v>
      </c>
      <c r="E43" t="str">
        <f t="shared" si="1"/>
        <v>Repeat</v>
      </c>
      <c r="F43" s="6">
        <f t="shared" si="4"/>
        <v>1166050</v>
      </c>
      <c r="G43" s="7">
        <f t="shared" si="2"/>
        <v>0.15248680803741024</v>
      </c>
      <c r="H43" t="str">
        <f t="shared" si="3"/>
        <v>Top Customers</v>
      </c>
    </row>
    <row r="44" spans="1:8" x14ac:dyDescent="0.25">
      <c r="A44">
        <v>1226</v>
      </c>
      <c r="B44" s="6">
        <f>COUNTIF(Raw_Data!A:A,A44)</f>
        <v>8</v>
      </c>
      <c r="C44" s="6">
        <f>SUMIFS(Raw_Data!G:G, Raw_Data!A:A, A44)</f>
        <v>23790</v>
      </c>
      <c r="D44" s="6">
        <f t="shared" si="0"/>
        <v>2973.75</v>
      </c>
      <c r="E44" t="str">
        <f t="shared" si="1"/>
        <v>Repeat</v>
      </c>
      <c r="F44" s="6">
        <f t="shared" si="4"/>
        <v>1189840</v>
      </c>
      <c r="G44" s="7">
        <f t="shared" si="2"/>
        <v>0.15559787631339325</v>
      </c>
      <c r="H44" t="str">
        <f t="shared" si="3"/>
        <v>Top Customers</v>
      </c>
    </row>
    <row r="45" spans="1:8" x14ac:dyDescent="0.25">
      <c r="A45">
        <v>1303</v>
      </c>
      <c r="B45" s="6">
        <f>COUNTIF(Raw_Data!A:A,A45)</f>
        <v>8</v>
      </c>
      <c r="C45" s="6">
        <f>SUMIFS(Raw_Data!G:G, Raw_Data!A:A, A45)</f>
        <v>23752</v>
      </c>
      <c r="D45" s="6">
        <f t="shared" si="0"/>
        <v>2969</v>
      </c>
      <c r="E45" t="str">
        <f t="shared" si="1"/>
        <v>Repeat</v>
      </c>
      <c r="F45" s="6">
        <f t="shared" si="4"/>
        <v>1213592</v>
      </c>
      <c r="G45" s="7">
        <f t="shared" si="2"/>
        <v>0.15870397524954913</v>
      </c>
      <c r="H45" t="str">
        <f t="shared" si="3"/>
        <v>Top Customers</v>
      </c>
    </row>
    <row r="46" spans="1:8" x14ac:dyDescent="0.25">
      <c r="A46">
        <v>1220</v>
      </c>
      <c r="B46" s="6">
        <f>COUNTIF(Raw_Data!A:A,A46)</f>
        <v>10</v>
      </c>
      <c r="C46" s="6">
        <f>SUMIFS(Raw_Data!G:G, Raw_Data!A:A, A46)</f>
        <v>23659</v>
      </c>
      <c r="D46" s="6">
        <f t="shared" si="0"/>
        <v>2365.9</v>
      </c>
      <c r="E46" t="str">
        <f t="shared" si="1"/>
        <v>Repeat</v>
      </c>
      <c r="F46" s="6">
        <f t="shared" si="4"/>
        <v>1237251</v>
      </c>
      <c r="G46" s="7">
        <f t="shared" si="2"/>
        <v>0.16179791238033864</v>
      </c>
      <c r="H46" t="str">
        <f t="shared" si="3"/>
        <v>Top Customers</v>
      </c>
    </row>
    <row r="47" spans="1:8" x14ac:dyDescent="0.25">
      <c r="A47">
        <v>1273</v>
      </c>
      <c r="B47" s="6">
        <f>COUNTIF(Raw_Data!A:A,A47)</f>
        <v>8</v>
      </c>
      <c r="C47" s="6">
        <f>SUMIFS(Raw_Data!G:G, Raw_Data!A:A, A47)</f>
        <v>23612</v>
      </c>
      <c r="D47" s="6">
        <f t="shared" si="0"/>
        <v>2951.5</v>
      </c>
      <c r="E47" t="str">
        <f t="shared" si="1"/>
        <v>Repeat</v>
      </c>
      <c r="F47" s="6">
        <f t="shared" si="4"/>
        <v>1260863</v>
      </c>
      <c r="G47" s="7">
        <f t="shared" si="2"/>
        <v>0.16488570322239457</v>
      </c>
      <c r="H47" t="str">
        <f t="shared" si="3"/>
        <v>Top Customers</v>
      </c>
    </row>
    <row r="48" spans="1:8" x14ac:dyDescent="0.25">
      <c r="A48">
        <v>1277</v>
      </c>
      <c r="B48" s="6">
        <f>COUNTIF(Raw_Data!A:A,A48)</f>
        <v>11</v>
      </c>
      <c r="C48" s="6">
        <f>SUMIFS(Raw_Data!G:G, Raw_Data!A:A, A48)</f>
        <v>23555</v>
      </c>
      <c r="D48" s="6">
        <f t="shared" si="0"/>
        <v>2141.3636363636365</v>
      </c>
      <c r="E48" t="str">
        <f t="shared" si="1"/>
        <v>Repeat</v>
      </c>
      <c r="F48" s="6">
        <f t="shared" si="4"/>
        <v>1284418</v>
      </c>
      <c r="G48" s="7">
        <f t="shared" si="2"/>
        <v>0.1679660400547098</v>
      </c>
      <c r="H48" t="str">
        <f t="shared" si="3"/>
        <v>Top Customers</v>
      </c>
    </row>
    <row r="49" spans="1:8" x14ac:dyDescent="0.25">
      <c r="A49">
        <v>1163</v>
      </c>
      <c r="B49" s="6">
        <f>COUNTIF(Raw_Data!A:A,A49)</f>
        <v>7</v>
      </c>
      <c r="C49" s="6">
        <f>SUMIFS(Raw_Data!G:G, Raw_Data!A:A, A49)</f>
        <v>23237</v>
      </c>
      <c r="D49" s="6">
        <f t="shared" si="0"/>
        <v>3319.5714285714284</v>
      </c>
      <c r="E49" t="str">
        <f t="shared" si="1"/>
        <v>Repeat</v>
      </c>
      <c r="F49" s="6">
        <f t="shared" si="4"/>
        <v>1307655</v>
      </c>
      <c r="G49" s="7">
        <f t="shared" si="2"/>
        <v>0.17100479135899804</v>
      </c>
      <c r="H49" t="str">
        <f t="shared" si="3"/>
        <v>Top Customers</v>
      </c>
    </row>
    <row r="50" spans="1:8" x14ac:dyDescent="0.25">
      <c r="A50">
        <v>1242</v>
      </c>
      <c r="B50" s="6">
        <f>COUNTIF(Raw_Data!A:A,A50)</f>
        <v>8</v>
      </c>
      <c r="C50" s="6">
        <f>SUMIFS(Raw_Data!G:G, Raw_Data!A:A, A50)</f>
        <v>23070</v>
      </c>
      <c r="D50" s="6">
        <f t="shared" si="0"/>
        <v>2883.75</v>
      </c>
      <c r="E50" t="str">
        <f t="shared" si="1"/>
        <v>Repeat</v>
      </c>
      <c r="F50" s="6">
        <f t="shared" si="4"/>
        <v>1330725</v>
      </c>
      <c r="G50" s="7">
        <f t="shared" si="2"/>
        <v>0.17402170372246709</v>
      </c>
      <c r="H50" t="str">
        <f t="shared" si="3"/>
        <v>Top Customers</v>
      </c>
    </row>
    <row r="51" spans="1:8" x14ac:dyDescent="0.25">
      <c r="A51">
        <v>1201</v>
      </c>
      <c r="B51" s="6">
        <f>COUNTIF(Raw_Data!A:A,A51)</f>
        <v>9</v>
      </c>
      <c r="C51" s="6">
        <f>SUMIFS(Raw_Data!G:G, Raw_Data!A:A, A51)</f>
        <v>22845</v>
      </c>
      <c r="D51" s="6">
        <f t="shared" si="0"/>
        <v>2538.3333333333335</v>
      </c>
      <c r="E51" t="str">
        <f t="shared" si="1"/>
        <v>Repeat</v>
      </c>
      <c r="F51" s="6">
        <f t="shared" si="4"/>
        <v>1353570</v>
      </c>
      <c r="G51" s="7">
        <f t="shared" si="2"/>
        <v>0.17700919236327547</v>
      </c>
      <c r="H51" t="str">
        <f t="shared" si="3"/>
        <v>Top Customers</v>
      </c>
    </row>
    <row r="52" spans="1:8" x14ac:dyDescent="0.25">
      <c r="A52">
        <v>1441</v>
      </c>
      <c r="B52" s="6">
        <f>COUNTIF(Raw_Data!A:A,A52)</f>
        <v>7</v>
      </c>
      <c r="C52" s="6">
        <f>SUMIFS(Raw_Data!G:G, Raw_Data!A:A, A52)</f>
        <v>22808</v>
      </c>
      <c r="D52" s="6">
        <f t="shared" si="0"/>
        <v>3258.2857142857142</v>
      </c>
      <c r="E52" t="str">
        <f t="shared" si="1"/>
        <v>Repeat</v>
      </c>
      <c r="F52" s="6">
        <f t="shared" si="4"/>
        <v>1376378</v>
      </c>
      <c r="G52" s="7">
        <f t="shared" si="2"/>
        <v>0.17999184243635746</v>
      </c>
      <c r="H52" t="str">
        <f t="shared" si="3"/>
        <v>Top Customers</v>
      </c>
    </row>
    <row r="53" spans="1:8" x14ac:dyDescent="0.25">
      <c r="A53">
        <v>1455</v>
      </c>
      <c r="B53" s="6">
        <f>COUNTIF(Raw_Data!A:A,A53)</f>
        <v>9</v>
      </c>
      <c r="C53" s="6">
        <f>SUMIFS(Raw_Data!G:G, Raw_Data!A:A, A53)</f>
        <v>22707</v>
      </c>
      <c r="D53" s="6">
        <f t="shared" si="0"/>
        <v>2523</v>
      </c>
      <c r="E53" t="str">
        <f t="shared" si="1"/>
        <v>Repeat</v>
      </c>
      <c r="F53" s="6">
        <f t="shared" si="4"/>
        <v>1399085</v>
      </c>
      <c r="G53" s="7">
        <f t="shared" si="2"/>
        <v>0.18296128452726734</v>
      </c>
      <c r="H53" t="str">
        <f t="shared" si="3"/>
        <v>Top Customers</v>
      </c>
    </row>
    <row r="54" spans="1:8" x14ac:dyDescent="0.25">
      <c r="A54">
        <v>1566</v>
      </c>
      <c r="B54" s="6">
        <f>COUNTIF(Raw_Data!A:A,A54)</f>
        <v>7</v>
      </c>
      <c r="C54" s="6">
        <f>SUMIFS(Raw_Data!G:G, Raw_Data!A:A, A54)</f>
        <v>22685</v>
      </c>
      <c r="D54" s="6">
        <f t="shared" si="0"/>
        <v>3240.7142857142858</v>
      </c>
      <c r="E54" t="str">
        <f t="shared" si="1"/>
        <v>Repeat</v>
      </c>
      <c r="F54" s="6">
        <f t="shared" si="4"/>
        <v>1421770</v>
      </c>
      <c r="G54" s="7">
        <f t="shared" si="2"/>
        <v>0.18592784963196154</v>
      </c>
      <c r="H54" t="str">
        <f t="shared" si="3"/>
        <v>Top Customers</v>
      </c>
    </row>
    <row r="55" spans="1:8" x14ac:dyDescent="0.25">
      <c r="A55">
        <v>1399</v>
      </c>
      <c r="B55" s="6">
        <f>COUNTIF(Raw_Data!A:A,A55)</f>
        <v>7</v>
      </c>
      <c r="C55" s="6">
        <f>SUMIFS(Raw_Data!G:G, Raw_Data!A:A, A55)</f>
        <v>22629</v>
      </c>
      <c r="D55" s="6">
        <f t="shared" si="0"/>
        <v>3232.7142857142858</v>
      </c>
      <c r="E55" t="str">
        <f t="shared" si="1"/>
        <v>Repeat</v>
      </c>
      <c r="F55" s="6">
        <f t="shared" si="4"/>
        <v>1444399</v>
      </c>
      <c r="G55" s="7">
        <f t="shared" si="2"/>
        <v>0.18888709149901575</v>
      </c>
      <c r="H55" t="str">
        <f t="shared" si="3"/>
        <v>Top Customers</v>
      </c>
    </row>
    <row r="56" spans="1:8" x14ac:dyDescent="0.25">
      <c r="A56">
        <v>1363</v>
      </c>
      <c r="B56" s="6">
        <f>COUNTIF(Raw_Data!A:A,A56)</f>
        <v>7</v>
      </c>
      <c r="C56" s="6">
        <f>SUMIFS(Raw_Data!G:G, Raw_Data!A:A, A56)</f>
        <v>22571</v>
      </c>
      <c r="D56" s="6">
        <f t="shared" si="0"/>
        <v>3224.4285714285716</v>
      </c>
      <c r="E56" t="str">
        <f t="shared" si="1"/>
        <v>Repeat</v>
      </c>
      <c r="F56" s="6">
        <f t="shared" si="4"/>
        <v>1466970</v>
      </c>
      <c r="G56" s="7">
        <f t="shared" si="2"/>
        <v>0.19183874858422856</v>
      </c>
      <c r="H56" t="str">
        <f t="shared" si="3"/>
        <v>Top Customers</v>
      </c>
    </row>
    <row r="57" spans="1:8" x14ac:dyDescent="0.25">
      <c r="A57">
        <v>1285</v>
      </c>
      <c r="B57" s="6">
        <f>COUNTIF(Raw_Data!A:A,A57)</f>
        <v>7</v>
      </c>
      <c r="C57" s="6">
        <f>SUMIFS(Raw_Data!G:G, Raw_Data!A:A, A57)</f>
        <v>22533</v>
      </c>
      <c r="D57" s="6">
        <f t="shared" si="0"/>
        <v>3219</v>
      </c>
      <c r="E57" t="str">
        <f t="shared" si="1"/>
        <v>Repeat</v>
      </c>
      <c r="F57" s="6">
        <f t="shared" si="4"/>
        <v>1489503</v>
      </c>
      <c r="G57" s="7">
        <f t="shared" si="2"/>
        <v>0.19478543632961423</v>
      </c>
      <c r="H57" t="str">
        <f t="shared" si="3"/>
        <v>Top Customers</v>
      </c>
    </row>
    <row r="58" spans="1:8" x14ac:dyDescent="0.25">
      <c r="A58">
        <v>1374</v>
      </c>
      <c r="B58" s="6">
        <f>COUNTIF(Raw_Data!A:A,A58)</f>
        <v>6</v>
      </c>
      <c r="C58" s="6">
        <f>SUMIFS(Raw_Data!G:G, Raw_Data!A:A, A58)</f>
        <v>22413</v>
      </c>
      <c r="D58" s="6">
        <f t="shared" si="0"/>
        <v>3735.5</v>
      </c>
      <c r="E58" t="str">
        <f t="shared" si="1"/>
        <v>Repeat</v>
      </c>
      <c r="F58" s="6">
        <f t="shared" si="4"/>
        <v>1511916</v>
      </c>
      <c r="G58" s="7">
        <f t="shared" si="2"/>
        <v>0.19771643142291423</v>
      </c>
      <c r="H58" t="str">
        <f t="shared" si="3"/>
        <v>Top Customers</v>
      </c>
    </row>
    <row r="59" spans="1:8" x14ac:dyDescent="0.25">
      <c r="A59">
        <v>1159</v>
      </c>
      <c r="B59" s="6">
        <f>COUNTIF(Raw_Data!A:A,A59)</f>
        <v>6</v>
      </c>
      <c r="C59" s="6">
        <f>SUMIFS(Raw_Data!G:G, Raw_Data!A:A, A59)</f>
        <v>22402</v>
      </c>
      <c r="D59" s="6">
        <f t="shared" si="0"/>
        <v>3733.6666666666665</v>
      </c>
      <c r="E59" t="str">
        <f t="shared" si="1"/>
        <v>Repeat</v>
      </c>
      <c r="F59" s="6">
        <f t="shared" si="4"/>
        <v>1534318</v>
      </c>
      <c r="G59" s="7">
        <f t="shared" si="2"/>
        <v>0.20064598802310638</v>
      </c>
      <c r="H59" t="str">
        <f t="shared" si="3"/>
        <v>Top Customers</v>
      </c>
    </row>
    <row r="60" spans="1:8" x14ac:dyDescent="0.25">
      <c r="A60">
        <v>1381</v>
      </c>
      <c r="B60" s="6">
        <f>COUNTIF(Raw_Data!A:A,A60)</f>
        <v>8</v>
      </c>
      <c r="C60" s="6">
        <f>SUMIFS(Raw_Data!G:G, Raw_Data!A:A, A60)</f>
        <v>22396</v>
      </c>
      <c r="D60" s="6">
        <f t="shared" si="0"/>
        <v>2799.5</v>
      </c>
      <c r="E60" t="str">
        <f t="shared" si="1"/>
        <v>Repeat</v>
      </c>
      <c r="F60" s="6">
        <f t="shared" si="4"/>
        <v>1556714</v>
      </c>
      <c r="G60" s="7">
        <f t="shared" si="2"/>
        <v>0.20357475999069427</v>
      </c>
      <c r="H60" t="str">
        <f t="shared" si="3"/>
        <v>Top Customers</v>
      </c>
    </row>
    <row r="61" spans="1:8" x14ac:dyDescent="0.25">
      <c r="A61">
        <v>1137</v>
      </c>
      <c r="B61" s="6">
        <f>COUNTIF(Raw_Data!A:A,A61)</f>
        <v>6</v>
      </c>
      <c r="C61" s="6">
        <f>SUMIFS(Raw_Data!G:G, Raw_Data!A:A, A61)</f>
        <v>22134</v>
      </c>
      <c r="D61" s="6">
        <f t="shared" si="0"/>
        <v>3689</v>
      </c>
      <c r="E61" t="str">
        <f t="shared" si="1"/>
        <v>Repeat</v>
      </c>
      <c r="F61" s="6">
        <f t="shared" si="4"/>
        <v>1578848</v>
      </c>
      <c r="G61" s="7">
        <f t="shared" si="2"/>
        <v>0.20646926966789508</v>
      </c>
      <c r="H61" t="str">
        <f t="shared" si="3"/>
        <v>Top Customers</v>
      </c>
    </row>
    <row r="62" spans="1:8" x14ac:dyDescent="0.25">
      <c r="A62">
        <v>1376</v>
      </c>
      <c r="B62" s="6">
        <f>COUNTIF(Raw_Data!A:A,A62)</f>
        <v>7</v>
      </c>
      <c r="C62" s="6">
        <f>SUMIFS(Raw_Data!G:G, Raw_Data!A:A, A62)</f>
        <v>22013</v>
      </c>
      <c r="D62" s="6">
        <f t="shared" si="0"/>
        <v>3144.7142857142858</v>
      </c>
      <c r="E62" t="str">
        <f t="shared" si="1"/>
        <v>Repeat</v>
      </c>
      <c r="F62" s="6">
        <f t="shared" si="4"/>
        <v>1600861</v>
      </c>
      <c r="G62" s="7">
        <f t="shared" si="2"/>
        <v>0.20934795592090955</v>
      </c>
      <c r="H62" t="str">
        <f t="shared" si="3"/>
        <v>Top Customers</v>
      </c>
    </row>
    <row r="63" spans="1:8" x14ac:dyDescent="0.25">
      <c r="A63">
        <v>1260</v>
      </c>
      <c r="B63" s="6">
        <f>COUNTIF(Raw_Data!A:A,A63)</f>
        <v>7</v>
      </c>
      <c r="C63" s="6">
        <f>SUMIFS(Raw_Data!G:G, Raw_Data!A:A, A63)</f>
        <v>21978</v>
      </c>
      <c r="D63" s="6">
        <f t="shared" si="0"/>
        <v>3139.7142857142858</v>
      </c>
      <c r="E63" t="str">
        <f t="shared" si="1"/>
        <v>Repeat</v>
      </c>
      <c r="F63" s="6">
        <f t="shared" si="4"/>
        <v>1622839</v>
      </c>
      <c r="G63" s="7">
        <f t="shared" si="2"/>
        <v>0.21222206515039904</v>
      </c>
      <c r="H63" t="str">
        <f t="shared" si="3"/>
        <v>Top Customers</v>
      </c>
    </row>
    <row r="64" spans="1:8" x14ac:dyDescent="0.25">
      <c r="A64">
        <v>1192</v>
      </c>
      <c r="B64" s="6">
        <f>COUNTIF(Raw_Data!A:A,A64)</f>
        <v>6</v>
      </c>
      <c r="C64" s="6">
        <f>SUMIFS(Raw_Data!G:G, Raw_Data!A:A, A64)</f>
        <v>21962</v>
      </c>
      <c r="D64" s="6">
        <f t="shared" si="0"/>
        <v>3660.3333333333335</v>
      </c>
      <c r="E64" t="str">
        <f t="shared" si="1"/>
        <v>Repeat</v>
      </c>
      <c r="F64" s="6">
        <f t="shared" si="4"/>
        <v>1644801</v>
      </c>
      <c r="G64" s="7">
        <f t="shared" si="2"/>
        <v>0.21509408202627708</v>
      </c>
      <c r="H64" t="str">
        <f t="shared" si="3"/>
        <v>Top Customers</v>
      </c>
    </row>
    <row r="65" spans="1:8" x14ac:dyDescent="0.25">
      <c r="A65">
        <v>1436</v>
      </c>
      <c r="B65" s="6">
        <f>COUNTIF(Raw_Data!A:A,A65)</f>
        <v>7</v>
      </c>
      <c r="C65" s="6">
        <f>SUMIFS(Raw_Data!G:G, Raw_Data!A:A, A65)</f>
        <v>21753</v>
      </c>
      <c r="D65" s="6">
        <f t="shared" si="0"/>
        <v>3107.5714285714284</v>
      </c>
      <c r="E65" t="str">
        <f t="shared" si="1"/>
        <v>Repeat</v>
      </c>
      <c r="F65" s="6">
        <f t="shared" si="4"/>
        <v>1666554</v>
      </c>
      <c r="G65" s="7">
        <f t="shared" si="2"/>
        <v>0.21793876753310593</v>
      </c>
      <c r="H65" t="str">
        <f t="shared" si="3"/>
        <v>Top Customers</v>
      </c>
    </row>
    <row r="66" spans="1:8" x14ac:dyDescent="0.25">
      <c r="A66">
        <v>1022</v>
      </c>
      <c r="B66" s="6">
        <f>COUNTIF(Raw_Data!A:A,A66)</f>
        <v>8</v>
      </c>
      <c r="C66" s="6">
        <f>SUMIFS(Raw_Data!G:G, Raw_Data!A:A, A66)</f>
        <v>21732</v>
      </c>
      <c r="D66" s="6">
        <f t="shared" ref="D66:D129" si="5">C66/B66</f>
        <v>2716.5</v>
      </c>
      <c r="E66" t="str">
        <f t="shared" ref="E66:E129" si="6">IF(B66&gt;1,"Repeat","New")</f>
        <v>Repeat</v>
      </c>
      <c r="F66" s="6">
        <f t="shared" si="4"/>
        <v>1688286</v>
      </c>
      <c r="G66" s="7">
        <f t="shared" si="2"/>
        <v>0.22078070682581979</v>
      </c>
      <c r="H66" t="str">
        <f t="shared" si="3"/>
        <v>Top Customers</v>
      </c>
    </row>
    <row r="67" spans="1:8" x14ac:dyDescent="0.25">
      <c r="A67">
        <v>1380</v>
      </c>
      <c r="B67" s="6">
        <f>COUNTIF(Raw_Data!A:A,A67)</f>
        <v>8</v>
      </c>
      <c r="C67" s="6">
        <f>SUMIFS(Raw_Data!G:G, Raw_Data!A:A, A67)</f>
        <v>21662</v>
      </c>
      <c r="D67" s="6">
        <f t="shared" si="5"/>
        <v>2707.75</v>
      </c>
      <c r="E67" t="str">
        <f t="shared" si="6"/>
        <v>Repeat</v>
      </c>
      <c r="F67" s="6">
        <f t="shared" si="4"/>
        <v>1709948</v>
      </c>
      <c r="G67" s="7">
        <f t="shared" ref="G67:G130" si="7">F67/SUM($C:$C)</f>
        <v>0.2236134920714837</v>
      </c>
      <c r="H67" t="str">
        <f t="shared" ref="H67:H130" si="8">IF(G67&lt;=0.8,"Top Customers","Others")</f>
        <v>Top Customers</v>
      </c>
    </row>
    <row r="68" spans="1:8" x14ac:dyDescent="0.25">
      <c r="A68">
        <v>1477</v>
      </c>
      <c r="B68" s="6">
        <f>COUNTIF(Raw_Data!A:A,A68)</f>
        <v>9</v>
      </c>
      <c r="C68" s="6">
        <f>SUMIFS(Raw_Data!G:G, Raw_Data!A:A, A68)</f>
        <v>21649</v>
      </c>
      <c r="D68" s="6">
        <f t="shared" si="5"/>
        <v>2405.4444444444443</v>
      </c>
      <c r="E68" t="str">
        <f t="shared" si="6"/>
        <v>Repeat</v>
      </c>
      <c r="F68" s="6">
        <f t="shared" ref="F68:F131" si="9">F67+C68</f>
        <v>1731597</v>
      </c>
      <c r="G68" s="7">
        <f t="shared" si="7"/>
        <v>0.2264445772798383</v>
      </c>
      <c r="H68" t="str">
        <f t="shared" si="8"/>
        <v>Top Customers</v>
      </c>
    </row>
    <row r="69" spans="1:8" x14ac:dyDescent="0.25">
      <c r="A69">
        <v>1109</v>
      </c>
      <c r="B69" s="6">
        <f>COUNTIF(Raw_Data!A:A,A69)</f>
        <v>8</v>
      </c>
      <c r="C69" s="6">
        <f>SUMIFS(Raw_Data!G:G, Raw_Data!A:A, A69)</f>
        <v>21581</v>
      </c>
      <c r="D69" s="6">
        <f t="shared" si="5"/>
        <v>2697.625</v>
      </c>
      <c r="E69" t="str">
        <f t="shared" si="6"/>
        <v>Repeat</v>
      </c>
      <c r="F69" s="6">
        <f t="shared" si="9"/>
        <v>1753178</v>
      </c>
      <c r="G69" s="7">
        <f t="shared" si="7"/>
        <v>0.22926676998534437</v>
      </c>
      <c r="H69" t="str">
        <f t="shared" si="8"/>
        <v>Top Customers</v>
      </c>
    </row>
    <row r="70" spans="1:8" x14ac:dyDescent="0.25">
      <c r="A70">
        <v>1143</v>
      </c>
      <c r="B70" s="6">
        <f>COUNTIF(Raw_Data!A:A,A70)</f>
        <v>7</v>
      </c>
      <c r="C70" s="6">
        <f>SUMIFS(Raw_Data!G:G, Raw_Data!A:A, A70)</f>
        <v>21479</v>
      </c>
      <c r="D70" s="6">
        <f t="shared" si="5"/>
        <v>3068.4285714285716</v>
      </c>
      <c r="E70" t="str">
        <f t="shared" si="6"/>
        <v>Repeat</v>
      </c>
      <c r="F70" s="6">
        <f t="shared" si="9"/>
        <v>1774657</v>
      </c>
      <c r="G70" s="7">
        <f t="shared" si="7"/>
        <v>0.23207562393657763</v>
      </c>
      <c r="H70" t="str">
        <f t="shared" si="8"/>
        <v>Top Customers</v>
      </c>
    </row>
    <row r="71" spans="1:8" x14ac:dyDescent="0.25">
      <c r="A71">
        <v>1432</v>
      </c>
      <c r="B71" s="6">
        <f>COUNTIF(Raw_Data!A:A,A71)</f>
        <v>6</v>
      </c>
      <c r="C71" s="6">
        <f>SUMIFS(Raw_Data!G:G, Raw_Data!A:A, A71)</f>
        <v>21432</v>
      </c>
      <c r="D71" s="6">
        <f t="shared" si="5"/>
        <v>3572</v>
      </c>
      <c r="E71" t="str">
        <f t="shared" si="6"/>
        <v>Repeat</v>
      </c>
      <c r="F71" s="6">
        <f t="shared" si="9"/>
        <v>1796089</v>
      </c>
      <c r="G71" s="7">
        <f t="shared" si="7"/>
        <v>0.23487833159907731</v>
      </c>
      <c r="H71" t="str">
        <f t="shared" si="8"/>
        <v>Top Customers</v>
      </c>
    </row>
    <row r="72" spans="1:8" x14ac:dyDescent="0.25">
      <c r="A72">
        <v>1420</v>
      </c>
      <c r="B72" s="6">
        <f>COUNTIF(Raw_Data!A:A,A72)</f>
        <v>9</v>
      </c>
      <c r="C72" s="6">
        <f>SUMIFS(Raw_Data!G:G, Raw_Data!A:A, A72)</f>
        <v>21429</v>
      </c>
      <c r="D72" s="6">
        <f t="shared" si="5"/>
        <v>2381</v>
      </c>
      <c r="E72" t="str">
        <f t="shared" si="6"/>
        <v>Repeat</v>
      </c>
      <c r="F72" s="6">
        <f t="shared" si="9"/>
        <v>1817518</v>
      </c>
      <c r="G72" s="7">
        <f t="shared" si="7"/>
        <v>0.23768064694527488</v>
      </c>
      <c r="H72" t="str">
        <f t="shared" si="8"/>
        <v>Top Customers</v>
      </c>
    </row>
    <row r="73" spans="1:8" x14ac:dyDescent="0.25">
      <c r="A73">
        <v>1165</v>
      </c>
      <c r="B73" s="6">
        <f>COUNTIF(Raw_Data!A:A,A73)</f>
        <v>7</v>
      </c>
      <c r="C73" s="6">
        <f>SUMIFS(Raw_Data!G:G, Raw_Data!A:A, A73)</f>
        <v>21427</v>
      </c>
      <c r="D73" s="6">
        <f t="shared" si="5"/>
        <v>3061</v>
      </c>
      <c r="E73" t="str">
        <f t="shared" si="6"/>
        <v>Repeat</v>
      </c>
      <c r="F73" s="6">
        <f t="shared" si="9"/>
        <v>1838945</v>
      </c>
      <c r="G73" s="7">
        <f t="shared" si="7"/>
        <v>0.24048270074727102</v>
      </c>
      <c r="H73" t="str">
        <f t="shared" si="8"/>
        <v>Top Customers</v>
      </c>
    </row>
    <row r="74" spans="1:8" x14ac:dyDescent="0.25">
      <c r="A74">
        <v>1023</v>
      </c>
      <c r="B74" s="6">
        <f>COUNTIF(Raw_Data!A:A,A74)</f>
        <v>8</v>
      </c>
      <c r="C74" s="6">
        <f>SUMIFS(Raw_Data!G:G, Raw_Data!A:A, A74)</f>
        <v>21418</v>
      </c>
      <c r="D74" s="6">
        <f t="shared" si="5"/>
        <v>2677.25</v>
      </c>
      <c r="E74" t="str">
        <f t="shared" si="6"/>
        <v>Repeat</v>
      </c>
      <c r="F74" s="6">
        <f t="shared" si="9"/>
        <v>1860363</v>
      </c>
      <c r="G74" s="7">
        <f t="shared" si="7"/>
        <v>0.24328357760036073</v>
      </c>
      <c r="H74" t="str">
        <f t="shared" si="8"/>
        <v>Top Customers</v>
      </c>
    </row>
    <row r="75" spans="1:8" x14ac:dyDescent="0.25">
      <c r="A75">
        <v>1092</v>
      </c>
      <c r="B75" s="6">
        <f>COUNTIF(Raw_Data!A:A,A75)</f>
        <v>6</v>
      </c>
      <c r="C75" s="6">
        <f>SUMIFS(Raw_Data!G:G, Raw_Data!A:A, A75)</f>
        <v>21387</v>
      </c>
      <c r="D75" s="6">
        <f t="shared" si="5"/>
        <v>3564.5</v>
      </c>
      <c r="E75" t="str">
        <f t="shared" si="6"/>
        <v>Repeat</v>
      </c>
      <c r="F75" s="6">
        <f t="shared" si="9"/>
        <v>1881750</v>
      </c>
      <c r="G75" s="7">
        <f t="shared" si="7"/>
        <v>0.2460804005183283</v>
      </c>
      <c r="H75" t="str">
        <f t="shared" si="8"/>
        <v>Top Customers</v>
      </c>
    </row>
    <row r="76" spans="1:8" x14ac:dyDescent="0.25">
      <c r="A76">
        <v>1365</v>
      </c>
      <c r="B76" s="6">
        <f>COUNTIF(Raw_Data!A:A,A76)</f>
        <v>8</v>
      </c>
      <c r="C76" s="6">
        <f>SUMIFS(Raw_Data!G:G, Raw_Data!A:A, A76)</f>
        <v>21240</v>
      </c>
      <c r="D76" s="6">
        <f t="shared" si="5"/>
        <v>2655</v>
      </c>
      <c r="E76" t="str">
        <f t="shared" si="6"/>
        <v>Repeat</v>
      </c>
      <c r="F76" s="6">
        <f t="shared" si="9"/>
        <v>1902990</v>
      </c>
      <c r="G76" s="7">
        <f t="shared" si="7"/>
        <v>0.24885799993749094</v>
      </c>
      <c r="H76" t="str">
        <f t="shared" si="8"/>
        <v>Top Customers</v>
      </c>
    </row>
    <row r="77" spans="1:8" x14ac:dyDescent="0.25">
      <c r="A77">
        <v>1378</v>
      </c>
      <c r="B77" s="6">
        <f>COUNTIF(Raw_Data!A:A,A77)</f>
        <v>6</v>
      </c>
      <c r="C77" s="6">
        <f>SUMIFS(Raw_Data!G:G, Raw_Data!A:A, A77)</f>
        <v>21175</v>
      </c>
      <c r="D77" s="6">
        <f t="shared" si="5"/>
        <v>3529.1666666666665</v>
      </c>
      <c r="E77" t="str">
        <f t="shared" si="6"/>
        <v>Repeat</v>
      </c>
      <c r="F77" s="6">
        <f t="shared" si="9"/>
        <v>1924165</v>
      </c>
      <c r="G77" s="7">
        <f t="shared" si="7"/>
        <v>0.25162709917010717</v>
      </c>
      <c r="H77" t="str">
        <f t="shared" si="8"/>
        <v>Top Customers</v>
      </c>
    </row>
    <row r="78" spans="1:8" x14ac:dyDescent="0.25">
      <c r="A78">
        <v>1122</v>
      </c>
      <c r="B78" s="6">
        <f>COUNTIF(Raw_Data!A:A,A78)</f>
        <v>6</v>
      </c>
      <c r="C78" s="6">
        <f>SUMIFS(Raw_Data!G:G, Raw_Data!A:A, A78)</f>
        <v>21042</v>
      </c>
      <c r="D78" s="6">
        <f t="shared" si="5"/>
        <v>3507</v>
      </c>
      <c r="E78" t="str">
        <f t="shared" si="6"/>
        <v>Repeat</v>
      </c>
      <c r="F78" s="6">
        <f t="shared" si="9"/>
        <v>1945207</v>
      </c>
      <c r="G78" s="7">
        <f t="shared" si="7"/>
        <v>0.25437880571332844</v>
      </c>
      <c r="H78" t="str">
        <f t="shared" si="8"/>
        <v>Top Customers</v>
      </c>
    </row>
    <row r="79" spans="1:8" x14ac:dyDescent="0.25">
      <c r="A79">
        <v>1466</v>
      </c>
      <c r="B79" s="6">
        <f>COUNTIF(Raw_Data!A:A,A79)</f>
        <v>6</v>
      </c>
      <c r="C79" s="6">
        <f>SUMIFS(Raw_Data!G:G, Raw_Data!A:A, A79)</f>
        <v>21040</v>
      </c>
      <c r="D79" s="6">
        <f t="shared" si="5"/>
        <v>3506.6666666666665</v>
      </c>
      <c r="E79" t="str">
        <f t="shared" si="6"/>
        <v>Repeat</v>
      </c>
      <c r="F79" s="6">
        <f t="shared" si="9"/>
        <v>1966247</v>
      </c>
      <c r="G79" s="7">
        <f t="shared" si="7"/>
        <v>0.25713025071234835</v>
      </c>
      <c r="H79" t="str">
        <f t="shared" si="8"/>
        <v>Top Customers</v>
      </c>
    </row>
    <row r="80" spans="1:8" x14ac:dyDescent="0.25">
      <c r="A80">
        <v>1253</v>
      </c>
      <c r="B80" s="6">
        <f>COUNTIF(Raw_Data!A:A,A80)</f>
        <v>8</v>
      </c>
      <c r="C80" s="6">
        <f>SUMIFS(Raw_Data!G:G, Raw_Data!A:A, A80)</f>
        <v>20830</v>
      </c>
      <c r="D80" s="6">
        <f t="shared" si="5"/>
        <v>2603.75</v>
      </c>
      <c r="E80" t="str">
        <f t="shared" si="6"/>
        <v>Repeat</v>
      </c>
      <c r="F80" s="6">
        <f t="shared" si="9"/>
        <v>1987077</v>
      </c>
      <c r="G80" s="7">
        <f t="shared" si="7"/>
        <v>0.25985423357021825</v>
      </c>
      <c r="H80" t="str">
        <f t="shared" si="8"/>
        <v>Top Customers</v>
      </c>
    </row>
    <row r="81" spans="1:8" x14ac:dyDescent="0.25">
      <c r="A81">
        <v>1289</v>
      </c>
      <c r="B81" s="6">
        <f>COUNTIF(Raw_Data!A:A,A81)</f>
        <v>10</v>
      </c>
      <c r="C81" s="6">
        <f>SUMIFS(Raw_Data!G:G, Raw_Data!A:A, A81)</f>
        <v>20781</v>
      </c>
      <c r="D81" s="6">
        <f t="shared" si="5"/>
        <v>2078.1</v>
      </c>
      <c r="E81" t="str">
        <f t="shared" si="6"/>
        <v>Repeat</v>
      </c>
      <c r="F81" s="6">
        <f t="shared" si="9"/>
        <v>2007858</v>
      </c>
      <c r="G81" s="7">
        <f t="shared" si="7"/>
        <v>0.26257180859515322</v>
      </c>
      <c r="H81" t="str">
        <f t="shared" si="8"/>
        <v>Top Customers</v>
      </c>
    </row>
    <row r="82" spans="1:8" x14ac:dyDescent="0.25">
      <c r="A82">
        <v>1474</v>
      </c>
      <c r="B82" s="6">
        <f>COUNTIF(Raw_Data!A:A,A82)</f>
        <v>6</v>
      </c>
      <c r="C82" s="6">
        <f>SUMIFS(Raw_Data!G:G, Raw_Data!A:A, A82)</f>
        <v>20781</v>
      </c>
      <c r="D82" s="6">
        <f t="shared" si="5"/>
        <v>3463.5</v>
      </c>
      <c r="E82" t="str">
        <f t="shared" si="6"/>
        <v>Repeat</v>
      </c>
      <c r="F82" s="6">
        <f t="shared" si="9"/>
        <v>2028639</v>
      </c>
      <c r="G82" s="7">
        <f t="shared" si="7"/>
        <v>0.26528938362008819</v>
      </c>
      <c r="H82" t="str">
        <f t="shared" si="8"/>
        <v>Top Customers</v>
      </c>
    </row>
    <row r="83" spans="1:8" x14ac:dyDescent="0.25">
      <c r="A83">
        <v>1156</v>
      </c>
      <c r="B83" s="6">
        <f>COUNTIF(Raw_Data!A:A,A83)</f>
        <v>7</v>
      </c>
      <c r="C83" s="6">
        <f>SUMIFS(Raw_Data!G:G, Raw_Data!A:A, A83)</f>
        <v>20728</v>
      </c>
      <c r="D83" s="6">
        <f t="shared" si="5"/>
        <v>2961.1428571428573</v>
      </c>
      <c r="E83" t="str">
        <f t="shared" si="6"/>
        <v>Repeat</v>
      </c>
      <c r="F83" s="6">
        <f t="shared" si="9"/>
        <v>2049367</v>
      </c>
      <c r="G83" s="7">
        <f t="shared" si="7"/>
        <v>0.26800002772368536</v>
      </c>
      <c r="H83" t="str">
        <f t="shared" si="8"/>
        <v>Top Customers</v>
      </c>
    </row>
    <row r="84" spans="1:8" x14ac:dyDescent="0.25">
      <c r="A84">
        <v>1102</v>
      </c>
      <c r="B84" s="6">
        <f>COUNTIF(Raw_Data!A:A,A84)</f>
        <v>7</v>
      </c>
      <c r="C84" s="6">
        <f>SUMIFS(Raw_Data!G:G, Raw_Data!A:A, A84)</f>
        <v>20691</v>
      </c>
      <c r="D84" s="6">
        <f t="shared" si="5"/>
        <v>2955.8571428571427</v>
      </c>
      <c r="E84" t="str">
        <f t="shared" si="6"/>
        <v>Repeat</v>
      </c>
      <c r="F84" s="6">
        <f t="shared" si="9"/>
        <v>2070058</v>
      </c>
      <c r="G84" s="7">
        <f t="shared" si="7"/>
        <v>0.27070583325955605</v>
      </c>
      <c r="H84" t="str">
        <f t="shared" si="8"/>
        <v>Top Customers</v>
      </c>
    </row>
    <row r="85" spans="1:8" x14ac:dyDescent="0.25">
      <c r="A85">
        <v>1551</v>
      </c>
      <c r="B85" s="6">
        <f>COUNTIF(Raw_Data!A:A,A85)</f>
        <v>7</v>
      </c>
      <c r="C85" s="6">
        <f>SUMIFS(Raw_Data!G:G, Raw_Data!A:A, A85)</f>
        <v>20549</v>
      </c>
      <c r="D85" s="6">
        <f t="shared" si="5"/>
        <v>2935.5714285714284</v>
      </c>
      <c r="E85" t="str">
        <f t="shared" si="6"/>
        <v>Repeat</v>
      </c>
      <c r="F85" s="6">
        <f t="shared" si="9"/>
        <v>2090607</v>
      </c>
      <c r="G85" s="7">
        <f t="shared" si="7"/>
        <v>0.27339306915712541</v>
      </c>
      <c r="H85" t="str">
        <f t="shared" si="8"/>
        <v>Top Customers</v>
      </c>
    </row>
    <row r="86" spans="1:8" x14ac:dyDescent="0.25">
      <c r="A86">
        <v>1305</v>
      </c>
      <c r="B86" s="6">
        <f>COUNTIF(Raw_Data!A:A,A86)</f>
        <v>8</v>
      </c>
      <c r="C86" s="6">
        <f>SUMIFS(Raw_Data!G:G, Raw_Data!A:A, A86)</f>
        <v>20444</v>
      </c>
      <c r="D86" s="6">
        <f t="shared" si="5"/>
        <v>2555.5</v>
      </c>
      <c r="E86" t="str">
        <f t="shared" si="6"/>
        <v>Repeat</v>
      </c>
      <c r="F86" s="6">
        <f t="shared" si="9"/>
        <v>2111051</v>
      </c>
      <c r="G86" s="7">
        <f t="shared" si="7"/>
        <v>0.27606657398411982</v>
      </c>
      <c r="H86" t="str">
        <f t="shared" si="8"/>
        <v>Top Customers</v>
      </c>
    </row>
    <row r="87" spans="1:8" x14ac:dyDescent="0.25">
      <c r="A87">
        <v>1313</v>
      </c>
      <c r="B87" s="6">
        <f>COUNTIF(Raw_Data!A:A,A87)</f>
        <v>7</v>
      </c>
      <c r="C87" s="6">
        <f>SUMIFS(Raw_Data!G:G, Raw_Data!A:A, A87)</f>
        <v>20427</v>
      </c>
      <c r="D87" s="6">
        <f t="shared" si="5"/>
        <v>2918.1428571428573</v>
      </c>
      <c r="E87" t="str">
        <f t="shared" si="6"/>
        <v>Repeat</v>
      </c>
      <c r="F87" s="6">
        <f t="shared" si="9"/>
        <v>2131478</v>
      </c>
      <c r="G87" s="7">
        <f t="shared" si="7"/>
        <v>0.2787378556854021</v>
      </c>
      <c r="H87" t="str">
        <f t="shared" si="8"/>
        <v>Top Customers</v>
      </c>
    </row>
    <row r="88" spans="1:8" x14ac:dyDescent="0.25">
      <c r="A88">
        <v>1364</v>
      </c>
      <c r="B88" s="6">
        <f>COUNTIF(Raw_Data!A:A,A88)</f>
        <v>8</v>
      </c>
      <c r="C88" s="6">
        <f>SUMIFS(Raw_Data!G:G, Raw_Data!A:A, A88)</f>
        <v>20391</v>
      </c>
      <c r="D88" s="6">
        <f t="shared" si="5"/>
        <v>2548.875</v>
      </c>
      <c r="E88" t="str">
        <f t="shared" si="6"/>
        <v>Repeat</v>
      </c>
      <c r="F88" s="6">
        <f t="shared" si="9"/>
        <v>2151869</v>
      </c>
      <c r="G88" s="7">
        <f t="shared" si="7"/>
        <v>0.28140442959105866</v>
      </c>
      <c r="H88" t="str">
        <f t="shared" si="8"/>
        <v>Top Customers</v>
      </c>
    </row>
    <row r="89" spans="1:8" x14ac:dyDescent="0.25">
      <c r="A89">
        <v>1574</v>
      </c>
      <c r="B89" s="6">
        <f>COUNTIF(Raw_Data!A:A,A89)</f>
        <v>7</v>
      </c>
      <c r="C89" s="6">
        <f>SUMIFS(Raw_Data!G:G, Raw_Data!A:A, A89)</f>
        <v>20387</v>
      </c>
      <c r="D89" s="6">
        <f t="shared" si="5"/>
        <v>2912.4285714285716</v>
      </c>
      <c r="E89" t="str">
        <f t="shared" si="6"/>
        <v>Repeat</v>
      </c>
      <c r="F89" s="6">
        <f t="shared" si="9"/>
        <v>2172256</v>
      </c>
      <c r="G89" s="7">
        <f t="shared" si="7"/>
        <v>0.28407048040831234</v>
      </c>
      <c r="H89" t="str">
        <f t="shared" si="8"/>
        <v>Top Customers</v>
      </c>
    </row>
    <row r="90" spans="1:8" x14ac:dyDescent="0.25">
      <c r="A90">
        <v>1254</v>
      </c>
      <c r="B90" s="6">
        <f>COUNTIF(Raw_Data!A:A,A90)</f>
        <v>9</v>
      </c>
      <c r="C90" s="6">
        <f>SUMIFS(Raw_Data!G:G, Raw_Data!A:A, A90)</f>
        <v>20179</v>
      </c>
      <c r="D90" s="6">
        <f t="shared" si="5"/>
        <v>2242.1111111111113</v>
      </c>
      <c r="E90" t="str">
        <f t="shared" si="6"/>
        <v>Repeat</v>
      </c>
      <c r="F90" s="6">
        <f t="shared" si="9"/>
        <v>2192435</v>
      </c>
      <c r="G90" s="7">
        <f t="shared" si="7"/>
        <v>0.28670933062861759</v>
      </c>
      <c r="H90" t="str">
        <f t="shared" si="8"/>
        <v>Top Customers</v>
      </c>
    </row>
    <row r="91" spans="1:8" x14ac:dyDescent="0.25">
      <c r="A91">
        <v>1119</v>
      </c>
      <c r="B91" s="6">
        <f>COUNTIF(Raw_Data!A:A,A91)</f>
        <v>6</v>
      </c>
      <c r="C91" s="6">
        <f>SUMIFS(Raw_Data!G:G, Raw_Data!A:A, A91)</f>
        <v>20152</v>
      </c>
      <c r="D91" s="6">
        <f t="shared" si="5"/>
        <v>3358.6666666666665</v>
      </c>
      <c r="E91" t="str">
        <f t="shared" si="6"/>
        <v>Repeat</v>
      </c>
      <c r="F91" s="6">
        <f t="shared" si="9"/>
        <v>2212587</v>
      </c>
      <c r="G91" s="7">
        <f t="shared" si="7"/>
        <v>0.2893446500022035</v>
      </c>
      <c r="H91" t="str">
        <f t="shared" si="8"/>
        <v>Top Customers</v>
      </c>
    </row>
    <row r="92" spans="1:8" x14ac:dyDescent="0.25">
      <c r="A92">
        <v>1338</v>
      </c>
      <c r="B92" s="6">
        <f>COUNTIF(Raw_Data!A:A,A92)</f>
        <v>6</v>
      </c>
      <c r="C92" s="6">
        <f>SUMIFS(Raw_Data!G:G, Raw_Data!A:A, A92)</f>
        <v>20130</v>
      </c>
      <c r="D92" s="6">
        <f t="shared" si="5"/>
        <v>3355</v>
      </c>
      <c r="E92" t="str">
        <f t="shared" si="6"/>
        <v>Repeat</v>
      </c>
      <c r="F92" s="6">
        <f t="shared" si="9"/>
        <v>2232717</v>
      </c>
      <c r="G92" s="7">
        <f t="shared" si="7"/>
        <v>0.29197709238957376</v>
      </c>
      <c r="H92" t="str">
        <f t="shared" si="8"/>
        <v>Top Customers</v>
      </c>
    </row>
    <row r="93" spans="1:8" x14ac:dyDescent="0.25">
      <c r="A93">
        <v>1017</v>
      </c>
      <c r="B93" s="6">
        <f>COUNTIF(Raw_Data!A:A,A93)</f>
        <v>8</v>
      </c>
      <c r="C93" s="6">
        <f>SUMIFS(Raw_Data!G:G, Raw_Data!A:A, A93)</f>
        <v>20121</v>
      </c>
      <c r="D93" s="6">
        <f t="shared" si="5"/>
        <v>2515.125</v>
      </c>
      <c r="E93" t="str">
        <f t="shared" si="6"/>
        <v>Repeat</v>
      </c>
      <c r="F93" s="6">
        <f t="shared" si="9"/>
        <v>2252838</v>
      </c>
      <c r="G93" s="7">
        <f t="shared" si="7"/>
        <v>0.29460835782803757</v>
      </c>
      <c r="H93" t="str">
        <f t="shared" si="8"/>
        <v>Top Customers</v>
      </c>
    </row>
    <row r="94" spans="1:8" x14ac:dyDescent="0.25">
      <c r="A94">
        <v>1407</v>
      </c>
      <c r="B94" s="6">
        <f>COUNTIF(Raw_Data!A:A,A94)</f>
        <v>8</v>
      </c>
      <c r="C94" s="6">
        <f>SUMIFS(Raw_Data!G:G, Raw_Data!A:A, A94)</f>
        <v>20065</v>
      </c>
      <c r="D94" s="6">
        <f t="shared" si="5"/>
        <v>2508.125</v>
      </c>
      <c r="E94" t="str">
        <f t="shared" si="6"/>
        <v>Repeat</v>
      </c>
      <c r="F94" s="6">
        <f t="shared" si="9"/>
        <v>2272903</v>
      </c>
      <c r="G94" s="7">
        <f t="shared" si="7"/>
        <v>0.29723230002886142</v>
      </c>
      <c r="H94" t="str">
        <f t="shared" si="8"/>
        <v>Top Customers</v>
      </c>
    </row>
    <row r="95" spans="1:8" x14ac:dyDescent="0.25">
      <c r="A95">
        <v>1506</v>
      </c>
      <c r="B95" s="6">
        <f>COUNTIF(Raw_Data!A:A,A95)</f>
        <v>7</v>
      </c>
      <c r="C95" s="6">
        <f>SUMIFS(Raw_Data!G:G, Raw_Data!A:A, A95)</f>
        <v>20037</v>
      </c>
      <c r="D95" s="6">
        <f t="shared" si="5"/>
        <v>2862.4285714285716</v>
      </c>
      <c r="E95" t="str">
        <f t="shared" si="6"/>
        <v>Repeat</v>
      </c>
      <c r="F95" s="6">
        <f t="shared" si="9"/>
        <v>2292940</v>
      </c>
      <c r="G95" s="7">
        <f t="shared" si="7"/>
        <v>0.29985258061086523</v>
      </c>
      <c r="H95" t="str">
        <f t="shared" si="8"/>
        <v>Top Customers</v>
      </c>
    </row>
    <row r="96" spans="1:8" x14ac:dyDescent="0.25">
      <c r="A96">
        <v>1010</v>
      </c>
      <c r="B96" s="6">
        <f>COUNTIF(Raw_Data!A:A,A96)</f>
        <v>7</v>
      </c>
      <c r="C96" s="6">
        <f>SUMIFS(Raw_Data!G:G, Raw_Data!A:A, A96)</f>
        <v>20036</v>
      </c>
      <c r="D96" s="6">
        <f t="shared" si="5"/>
        <v>2862.2857142857142</v>
      </c>
      <c r="E96" t="str">
        <f t="shared" si="6"/>
        <v>Repeat</v>
      </c>
      <c r="F96" s="6">
        <f t="shared" si="9"/>
        <v>2312976</v>
      </c>
      <c r="G96" s="7">
        <f t="shared" si="7"/>
        <v>0.30247273042076839</v>
      </c>
      <c r="H96" t="str">
        <f t="shared" si="8"/>
        <v>Top Customers</v>
      </c>
    </row>
    <row r="97" spans="1:8" x14ac:dyDescent="0.25">
      <c r="A97">
        <v>1043</v>
      </c>
      <c r="B97" s="6">
        <f>COUNTIF(Raw_Data!A:A,A97)</f>
        <v>6</v>
      </c>
      <c r="C97" s="6">
        <f>SUMIFS(Raw_Data!G:G, Raw_Data!A:A, A97)</f>
        <v>19873</v>
      </c>
      <c r="D97" s="6">
        <f t="shared" si="5"/>
        <v>3312.1666666666665</v>
      </c>
      <c r="E97" t="str">
        <f t="shared" si="6"/>
        <v>Repeat</v>
      </c>
      <c r="F97" s="6">
        <f t="shared" si="9"/>
        <v>2332849</v>
      </c>
      <c r="G97" s="7">
        <f t="shared" si="7"/>
        <v>0.30507156437825517</v>
      </c>
      <c r="H97" t="str">
        <f t="shared" si="8"/>
        <v>Top Customers</v>
      </c>
    </row>
    <row r="98" spans="1:8" x14ac:dyDescent="0.25">
      <c r="A98">
        <v>1218</v>
      </c>
      <c r="B98" s="6">
        <f>COUNTIF(Raw_Data!A:A,A98)</f>
        <v>8</v>
      </c>
      <c r="C98" s="6">
        <f>SUMIFS(Raw_Data!G:G, Raw_Data!A:A, A98)</f>
        <v>19794</v>
      </c>
      <c r="D98" s="6">
        <f t="shared" si="5"/>
        <v>2474.25</v>
      </c>
      <c r="E98" t="str">
        <f t="shared" si="6"/>
        <v>Repeat</v>
      </c>
      <c r="F98" s="6">
        <f t="shared" si="9"/>
        <v>2352643</v>
      </c>
      <c r="G98" s="7">
        <f t="shared" si="7"/>
        <v>0.30766006733978551</v>
      </c>
      <c r="H98" t="str">
        <f t="shared" si="8"/>
        <v>Top Customers</v>
      </c>
    </row>
    <row r="99" spans="1:8" x14ac:dyDescent="0.25">
      <c r="A99">
        <v>1053</v>
      </c>
      <c r="B99" s="6">
        <f>COUNTIF(Raw_Data!A:A,A99)</f>
        <v>8</v>
      </c>
      <c r="C99" s="6">
        <f>SUMIFS(Raw_Data!G:G, Raw_Data!A:A, A99)</f>
        <v>19772</v>
      </c>
      <c r="D99" s="6">
        <f t="shared" si="5"/>
        <v>2471.5</v>
      </c>
      <c r="E99" t="str">
        <f t="shared" si="6"/>
        <v>Repeat</v>
      </c>
      <c r="F99" s="6">
        <f t="shared" si="9"/>
        <v>2372415</v>
      </c>
      <c r="G99" s="7">
        <f t="shared" si="7"/>
        <v>0.31024569331510021</v>
      </c>
      <c r="H99" t="str">
        <f t="shared" si="8"/>
        <v>Top Customers</v>
      </c>
    </row>
    <row r="100" spans="1:8" x14ac:dyDescent="0.25">
      <c r="A100">
        <v>1386</v>
      </c>
      <c r="B100" s="6">
        <f>COUNTIF(Raw_Data!A:A,A100)</f>
        <v>9</v>
      </c>
      <c r="C100" s="6">
        <f>SUMIFS(Raw_Data!G:G, Raw_Data!A:A, A100)</f>
        <v>19761</v>
      </c>
      <c r="D100" s="6">
        <f t="shared" si="5"/>
        <v>2195.6666666666665</v>
      </c>
      <c r="E100" t="str">
        <f t="shared" si="6"/>
        <v>Repeat</v>
      </c>
      <c r="F100" s="6">
        <f t="shared" si="9"/>
        <v>2392176</v>
      </c>
      <c r="G100" s="7">
        <f t="shared" si="7"/>
        <v>0.31282988079730706</v>
      </c>
      <c r="H100" t="str">
        <f t="shared" si="8"/>
        <v>Top Customers</v>
      </c>
    </row>
    <row r="101" spans="1:8" x14ac:dyDescent="0.25">
      <c r="A101">
        <v>1019</v>
      </c>
      <c r="B101" s="6">
        <f>COUNTIF(Raw_Data!A:A,A101)</f>
        <v>7</v>
      </c>
      <c r="C101" s="6">
        <f>SUMIFS(Raw_Data!G:G, Raw_Data!A:A, A101)</f>
        <v>19724</v>
      </c>
      <c r="D101" s="6">
        <f t="shared" si="5"/>
        <v>2817.7142857142858</v>
      </c>
      <c r="E101" t="str">
        <f t="shared" si="6"/>
        <v>Repeat</v>
      </c>
      <c r="F101" s="6">
        <f t="shared" si="9"/>
        <v>2411900</v>
      </c>
      <c r="G101" s="7">
        <f t="shared" si="7"/>
        <v>0.31540922971178742</v>
      </c>
      <c r="H101" t="str">
        <f t="shared" si="8"/>
        <v>Top Customers</v>
      </c>
    </row>
    <row r="102" spans="1:8" x14ac:dyDescent="0.25">
      <c r="A102">
        <v>1117</v>
      </c>
      <c r="B102" s="6">
        <f>COUNTIF(Raw_Data!A:A,A102)</f>
        <v>9</v>
      </c>
      <c r="C102" s="6">
        <f>SUMIFS(Raw_Data!G:G, Raw_Data!A:A, A102)</f>
        <v>19503</v>
      </c>
      <c r="D102" s="6">
        <f t="shared" si="5"/>
        <v>2167</v>
      </c>
      <c r="E102" t="str">
        <f t="shared" si="6"/>
        <v>Repeat</v>
      </c>
      <c r="F102" s="6">
        <f t="shared" si="9"/>
        <v>2431403</v>
      </c>
      <c r="G102" s="7">
        <f t="shared" si="7"/>
        <v>0.31795967799201008</v>
      </c>
      <c r="H102" t="str">
        <f t="shared" si="8"/>
        <v>Top Customers</v>
      </c>
    </row>
    <row r="103" spans="1:8" x14ac:dyDescent="0.25">
      <c r="A103">
        <v>1173</v>
      </c>
      <c r="B103" s="6">
        <f>COUNTIF(Raw_Data!A:A,A103)</f>
        <v>7</v>
      </c>
      <c r="C103" s="6">
        <f>SUMIFS(Raw_Data!G:G, Raw_Data!A:A, A103)</f>
        <v>19414</v>
      </c>
      <c r="D103" s="6">
        <f t="shared" si="5"/>
        <v>2773.4285714285716</v>
      </c>
      <c r="E103" t="str">
        <f t="shared" si="6"/>
        <v>Repeat</v>
      </c>
      <c r="F103" s="6">
        <f t="shared" si="9"/>
        <v>2450817</v>
      </c>
      <c r="G103" s="7">
        <f t="shared" si="7"/>
        <v>0.32049848755526922</v>
      </c>
      <c r="H103" t="str">
        <f t="shared" si="8"/>
        <v>Top Customers</v>
      </c>
    </row>
    <row r="104" spans="1:8" x14ac:dyDescent="0.25">
      <c r="A104">
        <v>1231</v>
      </c>
      <c r="B104" s="6">
        <f>COUNTIF(Raw_Data!A:A,A104)</f>
        <v>9</v>
      </c>
      <c r="C104" s="6">
        <f>SUMIFS(Raw_Data!G:G, Raw_Data!A:A, A104)</f>
        <v>19358</v>
      </c>
      <c r="D104" s="6">
        <f t="shared" si="5"/>
        <v>2150.8888888888887</v>
      </c>
      <c r="E104" t="str">
        <f t="shared" si="6"/>
        <v>Repeat</v>
      </c>
      <c r="F104" s="6">
        <f t="shared" si="9"/>
        <v>2470175</v>
      </c>
      <c r="G104" s="7">
        <f t="shared" si="7"/>
        <v>0.32302997388088833</v>
      </c>
      <c r="H104" t="str">
        <f t="shared" si="8"/>
        <v>Top Customers</v>
      </c>
    </row>
    <row r="105" spans="1:8" x14ac:dyDescent="0.25">
      <c r="A105">
        <v>1227</v>
      </c>
      <c r="B105" s="6">
        <f>COUNTIF(Raw_Data!A:A,A105)</f>
        <v>9</v>
      </c>
      <c r="C105" s="6">
        <f>SUMIFS(Raw_Data!G:G, Raw_Data!A:A, A105)</f>
        <v>19320</v>
      </c>
      <c r="D105" s="6">
        <f t="shared" si="5"/>
        <v>2146.6666666666665</v>
      </c>
      <c r="E105" t="str">
        <f t="shared" si="6"/>
        <v>Repeat</v>
      </c>
      <c r="F105" s="6">
        <f t="shared" si="9"/>
        <v>2489495</v>
      </c>
      <c r="G105" s="7">
        <f t="shared" si="7"/>
        <v>0.32555649086668031</v>
      </c>
      <c r="H105" t="str">
        <f t="shared" si="8"/>
        <v>Top Customers</v>
      </c>
    </row>
    <row r="106" spans="1:8" x14ac:dyDescent="0.25">
      <c r="A106">
        <v>1301</v>
      </c>
      <c r="B106" s="6">
        <f>COUNTIF(Raw_Data!A:A,A106)</f>
        <v>7</v>
      </c>
      <c r="C106" s="6">
        <f>SUMIFS(Raw_Data!G:G, Raw_Data!A:A, A106)</f>
        <v>19234</v>
      </c>
      <c r="D106" s="6">
        <f t="shared" si="5"/>
        <v>2747.7142857142858</v>
      </c>
      <c r="E106" t="str">
        <f t="shared" si="6"/>
        <v>Repeat</v>
      </c>
      <c r="F106" s="6">
        <f t="shared" si="9"/>
        <v>2508729</v>
      </c>
      <c r="G106" s="7">
        <f t="shared" si="7"/>
        <v>0.32807176145181094</v>
      </c>
      <c r="H106" t="str">
        <f t="shared" si="8"/>
        <v>Top Customers</v>
      </c>
    </row>
    <row r="107" spans="1:8" x14ac:dyDescent="0.25">
      <c r="A107">
        <v>1320</v>
      </c>
      <c r="B107" s="6">
        <f>COUNTIF(Raw_Data!A:A,A107)</f>
        <v>8</v>
      </c>
      <c r="C107" s="6">
        <f>SUMIFS(Raw_Data!G:G, Raw_Data!A:A, A107)</f>
        <v>19072</v>
      </c>
      <c r="D107" s="6">
        <f t="shared" si="5"/>
        <v>2384</v>
      </c>
      <c r="E107" t="str">
        <f t="shared" si="6"/>
        <v>Repeat</v>
      </c>
      <c r="F107" s="6">
        <f t="shared" si="9"/>
        <v>2527801</v>
      </c>
      <c r="G107" s="7">
        <f t="shared" si="7"/>
        <v>0.33056584695662589</v>
      </c>
      <c r="H107" t="str">
        <f t="shared" si="8"/>
        <v>Top Customers</v>
      </c>
    </row>
    <row r="108" spans="1:8" x14ac:dyDescent="0.25">
      <c r="A108">
        <v>1149</v>
      </c>
      <c r="B108" s="6">
        <f>COUNTIF(Raw_Data!A:A,A108)</f>
        <v>7</v>
      </c>
      <c r="C108" s="6">
        <f>SUMIFS(Raw_Data!G:G, Raw_Data!A:A, A108)</f>
        <v>19022</v>
      </c>
      <c r="D108" s="6">
        <f t="shared" si="5"/>
        <v>2717.4285714285716</v>
      </c>
      <c r="E108" t="str">
        <f t="shared" si="6"/>
        <v>Repeat</v>
      </c>
      <c r="F108" s="6">
        <f t="shared" si="9"/>
        <v>2546823</v>
      </c>
      <c r="G108" s="7">
        <f t="shared" si="7"/>
        <v>0.33305339385640514</v>
      </c>
      <c r="H108" t="str">
        <f t="shared" si="8"/>
        <v>Top Customers</v>
      </c>
    </row>
    <row r="109" spans="1:8" x14ac:dyDescent="0.25">
      <c r="A109">
        <v>1427</v>
      </c>
      <c r="B109" s="6">
        <f>COUNTIF(Raw_Data!A:A,A109)</f>
        <v>6</v>
      </c>
      <c r="C109" s="6">
        <f>SUMIFS(Raw_Data!G:G, Raw_Data!A:A, A109)</f>
        <v>18924</v>
      </c>
      <c r="D109" s="6">
        <f t="shared" si="5"/>
        <v>3154</v>
      </c>
      <c r="E109" t="str">
        <f t="shared" si="6"/>
        <v>Repeat</v>
      </c>
      <c r="F109" s="6">
        <f t="shared" si="9"/>
        <v>2565747</v>
      </c>
      <c r="G109" s="7">
        <f t="shared" si="7"/>
        <v>0.33552812509031449</v>
      </c>
      <c r="H109" t="str">
        <f t="shared" si="8"/>
        <v>Top Customers</v>
      </c>
    </row>
    <row r="110" spans="1:8" x14ac:dyDescent="0.25">
      <c r="A110">
        <v>1573</v>
      </c>
      <c r="B110" s="6">
        <f>COUNTIF(Raw_Data!A:A,A110)</f>
        <v>7</v>
      </c>
      <c r="C110" s="6">
        <f>SUMIFS(Raw_Data!G:G, Raw_Data!A:A, A110)</f>
        <v>18907</v>
      </c>
      <c r="D110" s="6">
        <f t="shared" si="5"/>
        <v>2701</v>
      </c>
      <c r="E110" t="str">
        <f t="shared" si="6"/>
        <v>Repeat</v>
      </c>
      <c r="F110" s="6">
        <f t="shared" si="9"/>
        <v>2584654</v>
      </c>
      <c r="G110" s="7">
        <f t="shared" si="7"/>
        <v>0.33800063319851165</v>
      </c>
      <c r="H110" t="str">
        <f t="shared" si="8"/>
        <v>Top Customers</v>
      </c>
    </row>
    <row r="111" spans="1:8" x14ac:dyDescent="0.25">
      <c r="A111">
        <v>1516</v>
      </c>
      <c r="B111" s="6">
        <f>COUNTIF(Raw_Data!A:A,A111)</f>
        <v>8</v>
      </c>
      <c r="C111" s="6">
        <f>SUMIFS(Raw_Data!G:G, Raw_Data!A:A, A111)</f>
        <v>18898</v>
      </c>
      <c r="D111" s="6">
        <f t="shared" si="5"/>
        <v>2362.25</v>
      </c>
      <c r="E111" t="str">
        <f t="shared" si="6"/>
        <v>Repeat</v>
      </c>
      <c r="F111" s="6">
        <f t="shared" si="9"/>
        <v>2603552</v>
      </c>
      <c r="G111" s="7">
        <f t="shared" si="7"/>
        <v>0.34047196435780241</v>
      </c>
      <c r="H111" t="str">
        <f t="shared" si="8"/>
        <v>Top Customers</v>
      </c>
    </row>
    <row r="112" spans="1:8" x14ac:dyDescent="0.25">
      <c r="A112">
        <v>1086</v>
      </c>
      <c r="B112" s="6">
        <f>COUNTIF(Raw_Data!A:A,A112)</f>
        <v>7</v>
      </c>
      <c r="C112" s="6">
        <f>SUMIFS(Raw_Data!G:G, Raw_Data!A:A, A112)</f>
        <v>18881</v>
      </c>
      <c r="D112" s="6">
        <f t="shared" si="5"/>
        <v>2697.2857142857142</v>
      </c>
      <c r="E112" t="str">
        <f t="shared" si="6"/>
        <v>Repeat</v>
      </c>
      <c r="F112" s="6">
        <f t="shared" si="9"/>
        <v>2622433</v>
      </c>
      <c r="G112" s="7">
        <f t="shared" si="7"/>
        <v>0.342941072391381</v>
      </c>
      <c r="H112" t="str">
        <f t="shared" si="8"/>
        <v>Top Customers</v>
      </c>
    </row>
    <row r="113" spans="1:8" x14ac:dyDescent="0.25">
      <c r="A113">
        <v>1450</v>
      </c>
      <c r="B113" s="6">
        <f>COUNTIF(Raw_Data!A:A,A113)</f>
        <v>8</v>
      </c>
      <c r="C113" s="6">
        <f>SUMIFS(Raw_Data!G:G, Raw_Data!A:A, A113)</f>
        <v>18828</v>
      </c>
      <c r="D113" s="6">
        <f t="shared" si="5"/>
        <v>2353.5</v>
      </c>
      <c r="E113" t="str">
        <f t="shared" si="6"/>
        <v>Repeat</v>
      </c>
      <c r="F113" s="6">
        <f t="shared" si="9"/>
        <v>2641261</v>
      </c>
      <c r="G113" s="7">
        <f t="shared" si="7"/>
        <v>0.34540324950362178</v>
      </c>
      <c r="H113" t="str">
        <f t="shared" si="8"/>
        <v>Top Customers</v>
      </c>
    </row>
    <row r="114" spans="1:8" x14ac:dyDescent="0.25">
      <c r="A114">
        <v>1213</v>
      </c>
      <c r="B114" s="6">
        <f>COUNTIF(Raw_Data!A:A,A114)</f>
        <v>6</v>
      </c>
      <c r="C114" s="6">
        <f>SUMIFS(Raw_Data!G:G, Raw_Data!A:A, A114)</f>
        <v>18782</v>
      </c>
      <c r="D114" s="6">
        <f t="shared" si="5"/>
        <v>3130.3333333333335</v>
      </c>
      <c r="E114" t="str">
        <f t="shared" si="6"/>
        <v>Repeat</v>
      </c>
      <c r="F114" s="6">
        <f t="shared" si="9"/>
        <v>2660043</v>
      </c>
      <c r="G114" s="7">
        <f t="shared" si="7"/>
        <v>0.34785941109922974</v>
      </c>
      <c r="H114" t="str">
        <f t="shared" si="8"/>
        <v>Top Customers</v>
      </c>
    </row>
    <row r="115" spans="1:8" x14ac:dyDescent="0.25">
      <c r="A115">
        <v>1029</v>
      </c>
      <c r="B115" s="6">
        <f>COUNTIF(Raw_Data!A:A,A115)</f>
        <v>7</v>
      </c>
      <c r="C115" s="6">
        <f>SUMIFS(Raw_Data!G:G, Raw_Data!A:A, A115)</f>
        <v>18649</v>
      </c>
      <c r="D115" s="6">
        <f t="shared" si="5"/>
        <v>2664.1428571428573</v>
      </c>
      <c r="E115" t="str">
        <f t="shared" si="6"/>
        <v>Repeat</v>
      </c>
      <c r="F115" s="6">
        <f t="shared" si="9"/>
        <v>2678692</v>
      </c>
      <c r="G115" s="7">
        <f t="shared" si="7"/>
        <v>0.35029818000544272</v>
      </c>
      <c r="H115" t="str">
        <f t="shared" si="8"/>
        <v>Top Customers</v>
      </c>
    </row>
    <row r="116" spans="1:8" x14ac:dyDescent="0.25">
      <c r="A116">
        <v>1133</v>
      </c>
      <c r="B116" s="6">
        <f>COUNTIF(Raw_Data!A:A,A116)</f>
        <v>6</v>
      </c>
      <c r="C116" s="6">
        <f>SUMIFS(Raw_Data!G:G, Raw_Data!A:A, A116)</f>
        <v>18521</v>
      </c>
      <c r="D116" s="6">
        <f t="shared" si="5"/>
        <v>3086.8333333333335</v>
      </c>
      <c r="E116" t="str">
        <f t="shared" si="6"/>
        <v>Repeat</v>
      </c>
      <c r="F116" s="6">
        <f t="shared" si="9"/>
        <v>2697213</v>
      </c>
      <c r="G116" s="7">
        <f t="shared" si="7"/>
        <v>0.35272021008276433</v>
      </c>
      <c r="H116" t="str">
        <f t="shared" si="8"/>
        <v>Top Customers</v>
      </c>
    </row>
    <row r="117" spans="1:8" x14ac:dyDescent="0.25">
      <c r="A117">
        <v>1203</v>
      </c>
      <c r="B117" s="6">
        <f>COUNTIF(Raw_Data!A:A,A117)</f>
        <v>5</v>
      </c>
      <c r="C117" s="6">
        <f>SUMIFS(Raw_Data!G:G, Raw_Data!A:A, A117)</f>
        <v>18497</v>
      </c>
      <c r="D117" s="6">
        <f t="shared" si="5"/>
        <v>3699.4</v>
      </c>
      <c r="E117" t="str">
        <f t="shared" si="6"/>
        <v>Repeat</v>
      </c>
      <c r="F117" s="6">
        <f t="shared" si="9"/>
        <v>2715710</v>
      </c>
      <c r="G117" s="7">
        <f t="shared" si="7"/>
        <v>0.35513910162966883</v>
      </c>
      <c r="H117" t="str">
        <f t="shared" si="8"/>
        <v>Top Customers</v>
      </c>
    </row>
    <row r="118" spans="1:8" x14ac:dyDescent="0.25">
      <c r="A118">
        <v>1007</v>
      </c>
      <c r="B118" s="6">
        <f>COUNTIF(Raw_Data!A:A,A118)</f>
        <v>7</v>
      </c>
      <c r="C118" s="6">
        <f>SUMIFS(Raw_Data!G:G, Raw_Data!A:A, A118)</f>
        <v>18462</v>
      </c>
      <c r="D118" s="6">
        <f t="shared" si="5"/>
        <v>2637.4285714285716</v>
      </c>
      <c r="E118" t="str">
        <f t="shared" si="6"/>
        <v>Repeat</v>
      </c>
      <c r="F118" s="6">
        <f t="shared" si="9"/>
        <v>2734172</v>
      </c>
      <c r="G118" s="7">
        <f t="shared" si="7"/>
        <v>0.35755341615304836</v>
      </c>
      <c r="H118" t="str">
        <f t="shared" si="8"/>
        <v>Top Customers</v>
      </c>
    </row>
    <row r="119" spans="1:8" x14ac:dyDescent="0.25">
      <c r="A119">
        <v>1198</v>
      </c>
      <c r="B119" s="6">
        <f>COUNTIF(Raw_Data!A:A,A119)</f>
        <v>6</v>
      </c>
      <c r="C119" s="6">
        <f>SUMIFS(Raw_Data!G:G, Raw_Data!A:A, A119)</f>
        <v>18422</v>
      </c>
      <c r="D119" s="6">
        <f t="shared" si="5"/>
        <v>3070.3333333333335</v>
      </c>
      <c r="E119" t="str">
        <f t="shared" si="6"/>
        <v>Repeat</v>
      </c>
      <c r="F119" s="6">
        <f t="shared" si="9"/>
        <v>2752594</v>
      </c>
      <c r="G119" s="7">
        <f t="shared" si="7"/>
        <v>0.3599624997923993</v>
      </c>
      <c r="H119" t="str">
        <f t="shared" si="8"/>
        <v>Top Customers</v>
      </c>
    </row>
    <row r="120" spans="1:8" x14ac:dyDescent="0.25">
      <c r="A120">
        <v>1563</v>
      </c>
      <c r="B120" s="6">
        <f>COUNTIF(Raw_Data!A:A,A120)</f>
        <v>8</v>
      </c>
      <c r="C120" s="6">
        <f>SUMIFS(Raw_Data!G:G, Raw_Data!A:A, A120)</f>
        <v>18366</v>
      </c>
      <c r="D120" s="6">
        <f t="shared" si="5"/>
        <v>2295.75</v>
      </c>
      <c r="E120" t="str">
        <f t="shared" si="6"/>
        <v>Repeat</v>
      </c>
      <c r="F120" s="6">
        <f t="shared" si="9"/>
        <v>2770960</v>
      </c>
      <c r="G120" s="7">
        <f t="shared" si="7"/>
        <v>0.36236426019411028</v>
      </c>
      <c r="H120" t="str">
        <f t="shared" si="8"/>
        <v>Top Customers</v>
      </c>
    </row>
    <row r="121" spans="1:8" x14ac:dyDescent="0.25">
      <c r="A121">
        <v>1521</v>
      </c>
      <c r="B121" s="6">
        <f>COUNTIF(Raw_Data!A:A,A121)</f>
        <v>6</v>
      </c>
      <c r="C121" s="6">
        <f>SUMIFS(Raw_Data!G:G, Raw_Data!A:A, A121)</f>
        <v>18301</v>
      </c>
      <c r="D121" s="6">
        <f t="shared" si="5"/>
        <v>3050.1666666666665</v>
      </c>
      <c r="E121" t="str">
        <f t="shared" si="6"/>
        <v>Repeat</v>
      </c>
      <c r="F121" s="6">
        <f t="shared" si="9"/>
        <v>2789261</v>
      </c>
      <c r="G121" s="7">
        <f t="shared" si="7"/>
        <v>0.36475752040927484</v>
      </c>
      <c r="H121" t="str">
        <f t="shared" si="8"/>
        <v>Top Customers</v>
      </c>
    </row>
    <row r="122" spans="1:8" x14ac:dyDescent="0.25">
      <c r="A122">
        <v>1014</v>
      </c>
      <c r="B122" s="6">
        <f>COUNTIF(Raw_Data!A:A,A122)</f>
        <v>5</v>
      </c>
      <c r="C122" s="6">
        <f>SUMIFS(Raw_Data!G:G, Raw_Data!A:A, A122)</f>
        <v>18295</v>
      </c>
      <c r="D122" s="6">
        <f t="shared" si="5"/>
        <v>3659</v>
      </c>
      <c r="E122" t="str">
        <f t="shared" si="6"/>
        <v>Repeat</v>
      </c>
      <c r="F122" s="6">
        <f t="shared" si="9"/>
        <v>2807556</v>
      </c>
      <c r="G122" s="7">
        <f t="shared" si="7"/>
        <v>0.36714999599183512</v>
      </c>
      <c r="H122" t="str">
        <f t="shared" si="8"/>
        <v>Top Customers</v>
      </c>
    </row>
    <row r="123" spans="1:8" x14ac:dyDescent="0.25">
      <c r="A123">
        <v>1251</v>
      </c>
      <c r="B123" s="6">
        <f>COUNTIF(Raw_Data!A:A,A123)</f>
        <v>7</v>
      </c>
      <c r="C123" s="6">
        <f>SUMIFS(Raw_Data!G:G, Raw_Data!A:A, A123)</f>
        <v>18286</v>
      </c>
      <c r="D123" s="6">
        <f t="shared" si="5"/>
        <v>2612.2857142857142</v>
      </c>
      <c r="E123" t="str">
        <f t="shared" si="6"/>
        <v>Repeat</v>
      </c>
      <c r="F123" s="6">
        <f t="shared" si="9"/>
        <v>2825842</v>
      </c>
      <c r="G123" s="7">
        <f t="shared" si="7"/>
        <v>0.36954129462548896</v>
      </c>
      <c r="H123" t="str">
        <f t="shared" si="8"/>
        <v>Top Customers</v>
      </c>
    </row>
    <row r="124" spans="1:8" x14ac:dyDescent="0.25">
      <c r="A124">
        <v>1548</v>
      </c>
      <c r="B124" s="6">
        <f>COUNTIF(Raw_Data!A:A,A124)</f>
        <v>6</v>
      </c>
      <c r="C124" s="6">
        <f>SUMIFS(Raw_Data!G:G, Raw_Data!A:A, A124)</f>
        <v>18223</v>
      </c>
      <c r="D124" s="6">
        <f t="shared" si="5"/>
        <v>3037.1666666666665</v>
      </c>
      <c r="E124" t="str">
        <f t="shared" si="6"/>
        <v>Repeat</v>
      </c>
      <c r="F124" s="6">
        <f t="shared" si="9"/>
        <v>2844065</v>
      </c>
      <c r="G124" s="7">
        <f t="shared" si="7"/>
        <v>0.37192435461679785</v>
      </c>
      <c r="H124" t="str">
        <f t="shared" si="8"/>
        <v>Top Customers</v>
      </c>
    </row>
    <row r="125" spans="1:8" x14ac:dyDescent="0.25">
      <c r="A125">
        <v>1501</v>
      </c>
      <c r="B125" s="6">
        <f>COUNTIF(Raw_Data!A:A,A125)</f>
        <v>5</v>
      </c>
      <c r="C125" s="6">
        <f>SUMIFS(Raw_Data!G:G, Raw_Data!A:A, A125)</f>
        <v>18220</v>
      </c>
      <c r="D125" s="6">
        <f t="shared" si="5"/>
        <v>3644</v>
      </c>
      <c r="E125" t="str">
        <f t="shared" si="6"/>
        <v>Repeat</v>
      </c>
      <c r="F125" s="6">
        <f t="shared" si="9"/>
        <v>2862285</v>
      </c>
      <c r="G125" s="7">
        <f t="shared" si="7"/>
        <v>0.37430702229180463</v>
      </c>
      <c r="H125" t="str">
        <f t="shared" si="8"/>
        <v>Top Customers</v>
      </c>
    </row>
    <row r="126" spans="1:8" x14ac:dyDescent="0.25">
      <c r="A126">
        <v>1214</v>
      </c>
      <c r="B126" s="6">
        <f>COUNTIF(Raw_Data!A:A,A126)</f>
        <v>5</v>
      </c>
      <c r="C126" s="6">
        <f>SUMIFS(Raw_Data!G:G, Raw_Data!A:A, A126)</f>
        <v>18220</v>
      </c>
      <c r="D126" s="6">
        <f t="shared" si="5"/>
        <v>3644</v>
      </c>
      <c r="E126" t="str">
        <f t="shared" si="6"/>
        <v>Repeat</v>
      </c>
      <c r="F126" s="6">
        <f t="shared" si="9"/>
        <v>2880505</v>
      </c>
      <c r="G126" s="7">
        <f t="shared" si="7"/>
        <v>0.37668968996681135</v>
      </c>
      <c r="H126" t="str">
        <f t="shared" si="8"/>
        <v>Top Customers</v>
      </c>
    </row>
    <row r="127" spans="1:8" x14ac:dyDescent="0.25">
      <c r="A127">
        <v>1405</v>
      </c>
      <c r="B127" s="6">
        <f>COUNTIF(Raw_Data!A:A,A127)</f>
        <v>7</v>
      </c>
      <c r="C127" s="6">
        <f>SUMIFS(Raw_Data!G:G, Raw_Data!A:A, A127)</f>
        <v>18209</v>
      </c>
      <c r="D127" s="6">
        <f t="shared" si="5"/>
        <v>2601.2857142857142</v>
      </c>
      <c r="E127" t="str">
        <f t="shared" si="6"/>
        <v>Repeat</v>
      </c>
      <c r="F127" s="6">
        <f t="shared" si="9"/>
        <v>2898714</v>
      </c>
      <c r="G127" s="7">
        <f t="shared" si="7"/>
        <v>0.37907091914871022</v>
      </c>
      <c r="H127" t="str">
        <f t="shared" si="8"/>
        <v>Top Customers</v>
      </c>
    </row>
    <row r="128" spans="1:8" x14ac:dyDescent="0.25">
      <c r="A128">
        <v>1459</v>
      </c>
      <c r="B128" s="6">
        <f>COUNTIF(Raw_Data!A:A,A128)</f>
        <v>7</v>
      </c>
      <c r="C128" s="6">
        <f>SUMIFS(Raw_Data!G:G, Raw_Data!A:A, A128)</f>
        <v>18176</v>
      </c>
      <c r="D128" s="6">
        <f t="shared" si="5"/>
        <v>2596.5714285714284</v>
      </c>
      <c r="E128" t="str">
        <f t="shared" si="6"/>
        <v>Repeat</v>
      </c>
      <c r="F128" s="6">
        <f t="shared" si="9"/>
        <v>2916890</v>
      </c>
      <c r="G128" s="7">
        <f t="shared" si="7"/>
        <v>0.38144783285128558</v>
      </c>
      <c r="H128" t="str">
        <f t="shared" si="8"/>
        <v>Top Customers</v>
      </c>
    </row>
    <row r="129" spans="1:8" x14ac:dyDescent="0.25">
      <c r="A129">
        <v>1559</v>
      </c>
      <c r="B129" s="6">
        <f>COUNTIF(Raw_Data!A:A,A129)</f>
        <v>7</v>
      </c>
      <c r="C129" s="6">
        <f>SUMIFS(Raw_Data!G:G, Raw_Data!A:A, A129)</f>
        <v>18110</v>
      </c>
      <c r="D129" s="6">
        <f t="shared" si="5"/>
        <v>2587.1428571428573</v>
      </c>
      <c r="E129" t="str">
        <f t="shared" si="6"/>
        <v>Repeat</v>
      </c>
      <c r="F129" s="6">
        <f t="shared" si="9"/>
        <v>2935000</v>
      </c>
      <c r="G129" s="7">
        <f t="shared" si="7"/>
        <v>0.38381611559521378</v>
      </c>
      <c r="H129" t="str">
        <f t="shared" si="8"/>
        <v>Top Customers</v>
      </c>
    </row>
    <row r="130" spans="1:8" x14ac:dyDescent="0.25">
      <c r="A130">
        <v>1129</v>
      </c>
      <c r="B130" s="6">
        <f>COUNTIF(Raw_Data!A:A,A130)</f>
        <v>6</v>
      </c>
      <c r="C130" s="6">
        <f>SUMIFS(Raw_Data!G:G, Raw_Data!A:A, A130)</f>
        <v>18031</v>
      </c>
      <c r="D130" s="6">
        <f t="shared" ref="D130:D193" si="10">C130/B130</f>
        <v>3005.1666666666665</v>
      </c>
      <c r="E130" t="str">
        <f t="shared" ref="E130:E193" si="11">IF(B130&gt;1,"Repeat","New")</f>
        <v>Repeat</v>
      </c>
      <c r="F130" s="6">
        <f t="shared" si="9"/>
        <v>2953031</v>
      </c>
      <c r="G130" s="7">
        <f t="shared" si="7"/>
        <v>0.3861740673431856</v>
      </c>
      <c r="H130" t="str">
        <f t="shared" si="8"/>
        <v>Top Customers</v>
      </c>
    </row>
    <row r="131" spans="1:8" x14ac:dyDescent="0.25">
      <c r="A131">
        <v>1020</v>
      </c>
      <c r="B131" s="6">
        <f>COUNTIF(Raw_Data!A:A,A131)</f>
        <v>7</v>
      </c>
      <c r="C131" s="6">
        <f>SUMIFS(Raw_Data!G:G, Raw_Data!A:A, A131)</f>
        <v>17965</v>
      </c>
      <c r="D131" s="6">
        <f t="shared" si="10"/>
        <v>2566.4285714285716</v>
      </c>
      <c r="E131" t="str">
        <f t="shared" si="11"/>
        <v>Repeat</v>
      </c>
      <c r="F131" s="6">
        <f t="shared" si="9"/>
        <v>2970996</v>
      </c>
      <c r="G131" s="7">
        <f t="shared" ref="G131:G194" si="12">F131/SUM($C:$C)</f>
        <v>0.38852338813251031</v>
      </c>
      <c r="H131" t="str">
        <f t="shared" ref="H131:H194" si="13">IF(G131&lt;=0.8,"Top Customers","Others")</f>
        <v>Top Customers</v>
      </c>
    </row>
    <row r="132" spans="1:8" x14ac:dyDescent="0.25">
      <c r="A132">
        <v>1483</v>
      </c>
      <c r="B132" s="6">
        <f>COUNTIF(Raw_Data!A:A,A132)</f>
        <v>7</v>
      </c>
      <c r="C132" s="6">
        <f>SUMIFS(Raw_Data!G:G, Raw_Data!A:A, A132)</f>
        <v>17953</v>
      </c>
      <c r="D132" s="6">
        <f t="shared" si="10"/>
        <v>2564.7142857142858</v>
      </c>
      <c r="E132" t="str">
        <f t="shared" si="11"/>
        <v>Repeat</v>
      </c>
      <c r="F132" s="6">
        <f t="shared" ref="F132:F195" si="14">F131+C132</f>
        <v>2988949</v>
      </c>
      <c r="G132" s="7">
        <f t="shared" si="12"/>
        <v>0.39087113965662645</v>
      </c>
      <c r="H132" t="str">
        <f t="shared" si="13"/>
        <v>Top Customers</v>
      </c>
    </row>
    <row r="133" spans="1:8" x14ac:dyDescent="0.25">
      <c r="A133">
        <v>1550</v>
      </c>
      <c r="B133" s="6">
        <f>COUNTIF(Raw_Data!A:A,A133)</f>
        <v>8</v>
      </c>
      <c r="C133" s="6">
        <f>SUMIFS(Raw_Data!G:G, Raw_Data!A:A, A133)</f>
        <v>17938</v>
      </c>
      <c r="D133" s="6">
        <f t="shared" si="10"/>
        <v>2242.25</v>
      </c>
      <c r="E133" t="str">
        <f t="shared" si="11"/>
        <v>Repeat</v>
      </c>
      <c r="F133" s="6">
        <f t="shared" si="14"/>
        <v>3006887</v>
      </c>
      <c r="G133" s="7">
        <f t="shared" si="12"/>
        <v>0.39321692959923188</v>
      </c>
      <c r="H133" t="str">
        <f t="shared" si="13"/>
        <v>Top Customers</v>
      </c>
    </row>
    <row r="134" spans="1:8" x14ac:dyDescent="0.25">
      <c r="A134">
        <v>1168</v>
      </c>
      <c r="B134" s="6">
        <f>COUNTIF(Raw_Data!A:A,A134)</f>
        <v>6</v>
      </c>
      <c r="C134" s="6">
        <f>SUMIFS(Raw_Data!G:G, Raw_Data!A:A, A134)</f>
        <v>17879</v>
      </c>
      <c r="D134" s="6">
        <f t="shared" si="10"/>
        <v>2979.8333333333335</v>
      </c>
      <c r="E134" t="str">
        <f t="shared" si="11"/>
        <v>Repeat</v>
      </c>
      <c r="F134" s="6">
        <f t="shared" si="14"/>
        <v>3024766</v>
      </c>
      <c r="G134" s="7">
        <f t="shared" si="12"/>
        <v>0.39555500398789523</v>
      </c>
      <c r="H134" t="str">
        <f t="shared" si="13"/>
        <v>Top Customers</v>
      </c>
    </row>
    <row r="135" spans="1:8" x14ac:dyDescent="0.25">
      <c r="A135">
        <v>1131</v>
      </c>
      <c r="B135" s="6">
        <f>COUNTIF(Raw_Data!A:A,A135)</f>
        <v>8</v>
      </c>
      <c r="C135" s="6">
        <f>SUMIFS(Raw_Data!G:G, Raw_Data!A:A, A135)</f>
        <v>17808</v>
      </c>
      <c r="D135" s="6">
        <f t="shared" si="10"/>
        <v>2226</v>
      </c>
      <c r="E135" t="str">
        <f t="shared" si="11"/>
        <v>Repeat</v>
      </c>
      <c r="F135" s="6">
        <f t="shared" si="14"/>
        <v>3042574</v>
      </c>
      <c r="G135" s="7">
        <f t="shared" si="12"/>
        <v>0.39788379355740783</v>
      </c>
      <c r="H135" t="str">
        <f t="shared" si="13"/>
        <v>Top Customers</v>
      </c>
    </row>
    <row r="136" spans="1:8" x14ac:dyDescent="0.25">
      <c r="A136">
        <v>1058</v>
      </c>
      <c r="B136" s="6">
        <f>COUNTIF(Raw_Data!A:A,A136)</f>
        <v>6</v>
      </c>
      <c r="C136" s="6">
        <f>SUMIFS(Raw_Data!G:G, Raw_Data!A:A, A136)</f>
        <v>17681</v>
      </c>
      <c r="D136" s="6">
        <f t="shared" si="10"/>
        <v>2946.8333333333335</v>
      </c>
      <c r="E136" t="str">
        <f t="shared" si="11"/>
        <v>Repeat</v>
      </c>
      <c r="F136" s="6">
        <f t="shared" si="14"/>
        <v>3060255</v>
      </c>
      <c r="G136" s="7">
        <f t="shared" si="12"/>
        <v>0.40019597507012983</v>
      </c>
      <c r="H136" t="str">
        <f t="shared" si="13"/>
        <v>Top Customers</v>
      </c>
    </row>
    <row r="137" spans="1:8" x14ac:dyDescent="0.25">
      <c r="A137">
        <v>1414</v>
      </c>
      <c r="B137" s="6">
        <f>COUNTIF(Raw_Data!A:A,A137)</f>
        <v>7</v>
      </c>
      <c r="C137" s="6">
        <f>SUMIFS(Raw_Data!G:G, Raw_Data!A:A, A137)</f>
        <v>17670</v>
      </c>
      <c r="D137" s="6">
        <f t="shared" si="10"/>
        <v>2524.2857142857142</v>
      </c>
      <c r="E137" t="str">
        <f t="shared" si="11"/>
        <v>Repeat</v>
      </c>
      <c r="F137" s="6">
        <f t="shared" si="14"/>
        <v>3077925</v>
      </c>
      <c r="G137" s="7">
        <f t="shared" si="12"/>
        <v>0.40250671808974392</v>
      </c>
      <c r="H137" t="str">
        <f t="shared" si="13"/>
        <v>Top Customers</v>
      </c>
    </row>
    <row r="138" spans="1:8" x14ac:dyDescent="0.25">
      <c r="A138">
        <v>1104</v>
      </c>
      <c r="B138" s="6">
        <f>COUNTIF(Raw_Data!A:A,A138)</f>
        <v>8</v>
      </c>
      <c r="C138" s="6">
        <f>SUMIFS(Raw_Data!G:G, Raw_Data!A:A, A138)</f>
        <v>17633</v>
      </c>
      <c r="D138" s="6">
        <f t="shared" si="10"/>
        <v>2204.125</v>
      </c>
      <c r="E138" t="str">
        <f t="shared" si="11"/>
        <v>Repeat</v>
      </c>
      <c r="F138" s="6">
        <f t="shared" si="14"/>
        <v>3095558</v>
      </c>
      <c r="G138" s="7">
        <f t="shared" si="12"/>
        <v>0.40481262254163164</v>
      </c>
      <c r="H138" t="str">
        <f t="shared" si="13"/>
        <v>Top Customers</v>
      </c>
    </row>
    <row r="139" spans="1:8" x14ac:dyDescent="0.25">
      <c r="A139">
        <v>1314</v>
      </c>
      <c r="B139" s="6">
        <f>COUNTIF(Raw_Data!A:A,A139)</f>
        <v>7</v>
      </c>
      <c r="C139" s="6">
        <f>SUMIFS(Raw_Data!G:G, Raw_Data!A:A, A139)</f>
        <v>17573</v>
      </c>
      <c r="D139" s="6">
        <f t="shared" si="10"/>
        <v>2510.4285714285716</v>
      </c>
      <c r="E139" t="str">
        <f t="shared" si="11"/>
        <v>Repeat</v>
      </c>
      <c r="F139" s="6">
        <f t="shared" si="14"/>
        <v>3113131</v>
      </c>
      <c r="G139" s="7">
        <f t="shared" si="12"/>
        <v>0.40711068066747652</v>
      </c>
      <c r="H139" t="str">
        <f t="shared" si="13"/>
        <v>Top Customers</v>
      </c>
    </row>
    <row r="140" spans="1:8" x14ac:dyDescent="0.25">
      <c r="A140">
        <v>1323</v>
      </c>
      <c r="B140" s="6">
        <f>COUNTIF(Raw_Data!A:A,A140)</f>
        <v>5</v>
      </c>
      <c r="C140" s="6">
        <f>SUMIFS(Raw_Data!G:G, Raw_Data!A:A, A140)</f>
        <v>17561</v>
      </c>
      <c r="D140" s="6">
        <f t="shared" si="10"/>
        <v>3512.2</v>
      </c>
      <c r="E140" t="str">
        <f t="shared" si="11"/>
        <v>Repeat</v>
      </c>
      <c r="F140" s="6">
        <f t="shared" si="14"/>
        <v>3130692</v>
      </c>
      <c r="G140" s="7">
        <f t="shared" si="12"/>
        <v>0.40940716952811279</v>
      </c>
      <c r="H140" t="str">
        <f t="shared" si="13"/>
        <v>Top Customers</v>
      </c>
    </row>
    <row r="141" spans="1:8" x14ac:dyDescent="0.25">
      <c r="A141">
        <v>1422</v>
      </c>
      <c r="B141" s="6">
        <f>COUNTIF(Raw_Data!A:A,A141)</f>
        <v>7</v>
      </c>
      <c r="C141" s="6">
        <f>SUMIFS(Raw_Data!G:G, Raw_Data!A:A, A141)</f>
        <v>17484</v>
      </c>
      <c r="D141" s="6">
        <f t="shared" si="10"/>
        <v>2497.7142857142858</v>
      </c>
      <c r="E141" t="str">
        <f t="shared" si="11"/>
        <v>Repeat</v>
      </c>
      <c r="F141" s="6">
        <f t="shared" si="14"/>
        <v>3148176</v>
      </c>
      <c r="G141" s="7">
        <f t="shared" si="12"/>
        <v>0.41169358893699415</v>
      </c>
      <c r="H141" t="str">
        <f t="shared" si="13"/>
        <v>Top Customers</v>
      </c>
    </row>
    <row r="142" spans="1:8" x14ac:dyDescent="0.25">
      <c r="A142">
        <v>1008</v>
      </c>
      <c r="B142" s="6">
        <f>COUNTIF(Raw_Data!A:A,A142)</f>
        <v>7</v>
      </c>
      <c r="C142" s="6">
        <f>SUMIFS(Raw_Data!G:G, Raw_Data!A:A, A142)</f>
        <v>17461</v>
      </c>
      <c r="D142" s="6">
        <f t="shared" si="10"/>
        <v>2494.4285714285716</v>
      </c>
      <c r="E142" t="str">
        <f t="shared" si="11"/>
        <v>Repeat</v>
      </c>
      <c r="F142" s="6">
        <f t="shared" si="14"/>
        <v>3165637</v>
      </c>
      <c r="G142" s="7">
        <f t="shared" si="12"/>
        <v>0.41397700058755904</v>
      </c>
      <c r="H142" t="str">
        <f t="shared" si="13"/>
        <v>Top Customers</v>
      </c>
    </row>
    <row r="143" spans="1:8" x14ac:dyDescent="0.25">
      <c r="A143">
        <v>1547</v>
      </c>
      <c r="B143" s="6">
        <f>COUNTIF(Raw_Data!A:A,A143)</f>
        <v>8</v>
      </c>
      <c r="C143" s="6">
        <f>SUMIFS(Raw_Data!G:G, Raw_Data!A:A, A143)</f>
        <v>17428</v>
      </c>
      <c r="D143" s="6">
        <f t="shared" si="10"/>
        <v>2178.5</v>
      </c>
      <c r="E143" t="str">
        <f t="shared" si="11"/>
        <v>Repeat</v>
      </c>
      <c r="F143" s="6">
        <f t="shared" si="14"/>
        <v>3183065</v>
      </c>
      <c r="G143" s="7">
        <f t="shared" si="12"/>
        <v>0.41625609675880043</v>
      </c>
      <c r="H143" t="str">
        <f t="shared" si="13"/>
        <v>Top Customers</v>
      </c>
    </row>
    <row r="144" spans="1:8" x14ac:dyDescent="0.25">
      <c r="A144">
        <v>1127</v>
      </c>
      <c r="B144" s="6">
        <f>COUNTIF(Raw_Data!A:A,A144)</f>
        <v>7</v>
      </c>
      <c r="C144" s="6">
        <f>SUMIFS(Raw_Data!G:G, Raw_Data!A:A, A144)</f>
        <v>17428</v>
      </c>
      <c r="D144" s="6">
        <f t="shared" si="10"/>
        <v>2489.7142857142858</v>
      </c>
      <c r="E144" t="str">
        <f t="shared" si="11"/>
        <v>Repeat</v>
      </c>
      <c r="F144" s="6">
        <f t="shared" si="14"/>
        <v>3200493</v>
      </c>
      <c r="G144" s="7">
        <f t="shared" si="12"/>
        <v>0.41853519293004177</v>
      </c>
      <c r="H144" t="str">
        <f t="shared" si="13"/>
        <v>Top Customers</v>
      </c>
    </row>
    <row r="145" spans="1:8" x14ac:dyDescent="0.25">
      <c r="A145">
        <v>1449</v>
      </c>
      <c r="B145" s="6">
        <f>COUNTIF(Raw_Data!A:A,A145)</f>
        <v>6</v>
      </c>
      <c r="C145" s="6">
        <f>SUMIFS(Raw_Data!G:G, Raw_Data!A:A, A145)</f>
        <v>17349</v>
      </c>
      <c r="D145" s="6">
        <f t="shared" si="10"/>
        <v>2891.5</v>
      </c>
      <c r="E145" t="str">
        <f t="shared" si="11"/>
        <v>Repeat</v>
      </c>
      <c r="F145" s="6">
        <f t="shared" si="14"/>
        <v>3217842</v>
      </c>
      <c r="G145" s="7">
        <f t="shared" si="12"/>
        <v>0.42080395810532673</v>
      </c>
      <c r="H145" t="str">
        <f t="shared" si="13"/>
        <v>Top Customers</v>
      </c>
    </row>
    <row r="146" spans="1:8" x14ac:dyDescent="0.25">
      <c r="A146">
        <v>1564</v>
      </c>
      <c r="B146" s="6">
        <f>COUNTIF(Raw_Data!A:A,A146)</f>
        <v>7</v>
      </c>
      <c r="C146" s="6">
        <f>SUMIFS(Raw_Data!G:G, Raw_Data!A:A, A146)</f>
        <v>17342</v>
      </c>
      <c r="D146" s="6">
        <f t="shared" si="10"/>
        <v>2477.4285714285716</v>
      </c>
      <c r="E146" t="str">
        <f t="shared" si="11"/>
        <v>Repeat</v>
      </c>
      <c r="F146" s="6">
        <f t="shared" si="14"/>
        <v>3235184</v>
      </c>
      <c r="G146" s="7">
        <f t="shared" si="12"/>
        <v>0.4230718078759067</v>
      </c>
      <c r="H146" t="str">
        <f t="shared" si="13"/>
        <v>Top Customers</v>
      </c>
    </row>
    <row r="147" spans="1:8" x14ac:dyDescent="0.25">
      <c r="A147">
        <v>1078</v>
      </c>
      <c r="B147" s="6">
        <f>COUNTIF(Raw_Data!A:A,A147)</f>
        <v>6</v>
      </c>
      <c r="C147" s="6">
        <f>SUMIFS(Raw_Data!G:G, Raw_Data!A:A, A147)</f>
        <v>17322</v>
      </c>
      <c r="D147" s="6">
        <f t="shared" si="10"/>
        <v>2887</v>
      </c>
      <c r="E147" t="str">
        <f t="shared" si="11"/>
        <v>Repeat</v>
      </c>
      <c r="F147" s="6">
        <f t="shared" si="14"/>
        <v>3252506</v>
      </c>
      <c r="G147" s="7">
        <f t="shared" si="12"/>
        <v>0.42533704220447238</v>
      </c>
      <c r="H147" t="str">
        <f t="shared" si="13"/>
        <v>Top Customers</v>
      </c>
    </row>
    <row r="148" spans="1:8" x14ac:dyDescent="0.25">
      <c r="A148">
        <v>1520</v>
      </c>
      <c r="B148" s="6">
        <f>COUNTIF(Raw_Data!A:A,A148)</f>
        <v>7</v>
      </c>
      <c r="C148" s="6">
        <f>SUMIFS(Raw_Data!G:G, Raw_Data!A:A, A148)</f>
        <v>17290</v>
      </c>
      <c r="D148" s="6">
        <f t="shared" si="10"/>
        <v>2470</v>
      </c>
      <c r="E148" t="str">
        <f t="shared" si="11"/>
        <v>Repeat</v>
      </c>
      <c r="F148" s="6">
        <f t="shared" si="14"/>
        <v>3269796</v>
      </c>
      <c r="G148" s="7">
        <f t="shared" si="12"/>
        <v>0.42759809182581521</v>
      </c>
      <c r="H148" t="str">
        <f t="shared" si="13"/>
        <v>Top Customers</v>
      </c>
    </row>
    <row r="149" spans="1:8" x14ac:dyDescent="0.25">
      <c r="A149">
        <v>1397</v>
      </c>
      <c r="B149" s="6">
        <f>COUNTIF(Raw_Data!A:A,A149)</f>
        <v>8</v>
      </c>
      <c r="C149" s="6">
        <f>SUMIFS(Raw_Data!G:G, Raw_Data!A:A, A149)</f>
        <v>17273</v>
      </c>
      <c r="D149" s="6">
        <f t="shared" si="10"/>
        <v>2159.125</v>
      </c>
      <c r="E149" t="str">
        <f t="shared" si="11"/>
        <v>Repeat</v>
      </c>
      <c r="F149" s="6">
        <f t="shared" si="14"/>
        <v>3287069</v>
      </c>
      <c r="G149" s="7">
        <f t="shared" si="12"/>
        <v>0.42985691832144596</v>
      </c>
      <c r="H149" t="str">
        <f t="shared" si="13"/>
        <v>Top Customers</v>
      </c>
    </row>
    <row r="150" spans="1:8" x14ac:dyDescent="0.25">
      <c r="A150">
        <v>1069</v>
      </c>
      <c r="B150" s="6">
        <f>COUNTIF(Raw_Data!A:A,A150)</f>
        <v>7</v>
      </c>
      <c r="C150" s="6">
        <f>SUMIFS(Raw_Data!G:G, Raw_Data!A:A, A150)</f>
        <v>17262</v>
      </c>
      <c r="D150" s="6">
        <f t="shared" si="10"/>
        <v>2466</v>
      </c>
      <c r="E150" t="str">
        <f t="shared" si="11"/>
        <v>Repeat</v>
      </c>
      <c r="F150" s="6">
        <f t="shared" si="14"/>
        <v>3304331</v>
      </c>
      <c r="G150" s="7">
        <f t="shared" si="12"/>
        <v>0.4321143063239688</v>
      </c>
      <c r="H150" t="str">
        <f t="shared" si="13"/>
        <v>Top Customers</v>
      </c>
    </row>
    <row r="151" spans="1:8" x14ac:dyDescent="0.25">
      <c r="A151">
        <v>1387</v>
      </c>
      <c r="B151" s="6">
        <f>COUNTIF(Raw_Data!A:A,A151)</f>
        <v>6</v>
      </c>
      <c r="C151" s="6">
        <f>SUMIFS(Raw_Data!G:G, Raw_Data!A:A, A151)</f>
        <v>17200</v>
      </c>
      <c r="D151" s="6">
        <f t="shared" si="10"/>
        <v>2866.6666666666665</v>
      </c>
      <c r="E151" t="str">
        <f t="shared" si="11"/>
        <v>Repeat</v>
      </c>
      <c r="F151" s="6">
        <f t="shared" si="14"/>
        <v>3321531</v>
      </c>
      <c r="G151" s="7">
        <f t="shared" si="12"/>
        <v>0.4343635864562474</v>
      </c>
      <c r="H151" t="str">
        <f t="shared" si="13"/>
        <v>Top Customers</v>
      </c>
    </row>
    <row r="152" spans="1:8" x14ac:dyDescent="0.25">
      <c r="A152">
        <v>1375</v>
      </c>
      <c r="B152" s="6">
        <f>COUNTIF(Raw_Data!A:A,A152)</f>
        <v>6</v>
      </c>
      <c r="C152" s="6">
        <f>SUMIFS(Raw_Data!G:G, Raw_Data!A:A, A152)</f>
        <v>17140</v>
      </c>
      <c r="D152" s="6">
        <f t="shared" si="10"/>
        <v>2856.6666666666665</v>
      </c>
      <c r="E152" t="str">
        <f t="shared" si="11"/>
        <v>Repeat</v>
      </c>
      <c r="F152" s="6">
        <f t="shared" si="14"/>
        <v>3338671</v>
      </c>
      <c r="G152" s="7">
        <f t="shared" si="12"/>
        <v>0.43660502026248316</v>
      </c>
      <c r="H152" t="str">
        <f t="shared" si="13"/>
        <v>Top Customers</v>
      </c>
    </row>
    <row r="153" spans="1:8" x14ac:dyDescent="0.25">
      <c r="A153">
        <v>1335</v>
      </c>
      <c r="B153" s="6">
        <f>COUNTIF(Raw_Data!A:A,A153)</f>
        <v>5</v>
      </c>
      <c r="C153" s="6">
        <f>SUMIFS(Raw_Data!G:G, Raw_Data!A:A, A153)</f>
        <v>17122</v>
      </c>
      <c r="D153" s="6">
        <f t="shared" si="10"/>
        <v>3424.4</v>
      </c>
      <c r="E153" t="str">
        <f t="shared" si="11"/>
        <v>Repeat</v>
      </c>
      <c r="F153" s="6">
        <f t="shared" si="14"/>
        <v>3355793</v>
      </c>
      <c r="G153" s="7">
        <f t="shared" si="12"/>
        <v>0.43884410017090608</v>
      </c>
      <c r="H153" t="str">
        <f t="shared" si="13"/>
        <v>Top Customers</v>
      </c>
    </row>
    <row r="154" spans="1:8" x14ac:dyDescent="0.25">
      <c r="A154">
        <v>1456</v>
      </c>
      <c r="B154" s="6">
        <f>COUNTIF(Raw_Data!A:A,A154)</f>
        <v>6</v>
      </c>
      <c r="C154" s="6">
        <f>SUMIFS(Raw_Data!G:G, Raw_Data!A:A, A154)</f>
        <v>17113</v>
      </c>
      <c r="D154" s="6">
        <f t="shared" si="10"/>
        <v>2852.1666666666665</v>
      </c>
      <c r="E154" t="str">
        <f t="shared" si="11"/>
        <v>Repeat</v>
      </c>
      <c r="F154" s="6">
        <f t="shared" si="14"/>
        <v>3372906</v>
      </c>
      <c r="G154" s="7">
        <f t="shared" si="12"/>
        <v>0.44108200313042256</v>
      </c>
      <c r="H154" t="str">
        <f t="shared" si="13"/>
        <v>Top Customers</v>
      </c>
    </row>
    <row r="155" spans="1:8" x14ac:dyDescent="0.25">
      <c r="A155">
        <v>1296</v>
      </c>
      <c r="B155" s="6">
        <f>COUNTIF(Raw_Data!A:A,A155)</f>
        <v>7</v>
      </c>
      <c r="C155" s="6">
        <f>SUMIFS(Raw_Data!G:G, Raw_Data!A:A, A155)</f>
        <v>16977</v>
      </c>
      <c r="D155" s="6">
        <f t="shared" si="10"/>
        <v>2425.2857142857142</v>
      </c>
      <c r="E155" t="str">
        <f t="shared" si="11"/>
        <v>Repeat</v>
      </c>
      <c r="F155" s="6">
        <f t="shared" si="14"/>
        <v>3389883</v>
      </c>
      <c r="G155" s="7">
        <f t="shared" si="12"/>
        <v>0.44330212108424194</v>
      </c>
      <c r="H155" t="str">
        <f t="shared" si="13"/>
        <v>Top Customers</v>
      </c>
    </row>
    <row r="156" spans="1:8" x14ac:dyDescent="0.25">
      <c r="A156">
        <v>1584</v>
      </c>
      <c r="B156" s="6">
        <f>COUNTIF(Raw_Data!A:A,A156)</f>
        <v>8</v>
      </c>
      <c r="C156" s="6">
        <f>SUMIFS(Raw_Data!G:G, Raw_Data!A:A, A156)</f>
        <v>16950</v>
      </c>
      <c r="D156" s="6">
        <f t="shared" si="10"/>
        <v>2118.75</v>
      </c>
      <c r="E156" t="str">
        <f t="shared" si="11"/>
        <v>Repeat</v>
      </c>
      <c r="F156" s="6">
        <f t="shared" si="14"/>
        <v>3406833</v>
      </c>
      <c r="G156" s="7">
        <f t="shared" si="12"/>
        <v>0.44551870819134209</v>
      </c>
      <c r="H156" t="str">
        <f t="shared" si="13"/>
        <v>Top Customers</v>
      </c>
    </row>
    <row r="157" spans="1:8" x14ac:dyDescent="0.25">
      <c r="A157">
        <v>1546</v>
      </c>
      <c r="B157" s="6">
        <f>COUNTIF(Raw_Data!A:A,A157)</f>
        <v>5</v>
      </c>
      <c r="C157" s="6">
        <f>SUMIFS(Raw_Data!G:G, Raw_Data!A:A, A157)</f>
        <v>16949</v>
      </c>
      <c r="D157" s="6">
        <f t="shared" si="10"/>
        <v>3389.8</v>
      </c>
      <c r="E157" t="str">
        <f t="shared" si="11"/>
        <v>Repeat</v>
      </c>
      <c r="F157" s="6">
        <f t="shared" si="14"/>
        <v>3423782</v>
      </c>
      <c r="G157" s="7">
        <f t="shared" si="12"/>
        <v>0.44773516452634149</v>
      </c>
      <c r="H157" t="str">
        <f t="shared" si="13"/>
        <v>Top Customers</v>
      </c>
    </row>
    <row r="158" spans="1:8" x14ac:dyDescent="0.25">
      <c r="A158">
        <v>1114</v>
      </c>
      <c r="B158" s="6">
        <f>COUNTIF(Raw_Data!A:A,A158)</f>
        <v>5</v>
      </c>
      <c r="C158" s="6">
        <f>SUMIFS(Raw_Data!G:G, Raw_Data!A:A, A158)</f>
        <v>16936</v>
      </c>
      <c r="D158" s="6">
        <f t="shared" si="10"/>
        <v>3387.2</v>
      </c>
      <c r="E158" t="str">
        <f t="shared" si="11"/>
        <v>Repeat</v>
      </c>
      <c r="F158" s="6">
        <f t="shared" si="14"/>
        <v>3440718</v>
      </c>
      <c r="G158" s="7">
        <f t="shared" si="12"/>
        <v>0.44994992082403162</v>
      </c>
      <c r="H158" t="str">
        <f t="shared" si="13"/>
        <v>Top Customers</v>
      </c>
    </row>
    <row r="159" spans="1:8" x14ac:dyDescent="0.25">
      <c r="A159">
        <v>1286</v>
      </c>
      <c r="B159" s="6">
        <f>COUNTIF(Raw_Data!A:A,A159)</f>
        <v>4</v>
      </c>
      <c r="C159" s="6">
        <f>SUMIFS(Raw_Data!G:G, Raw_Data!A:A, A159)</f>
        <v>16889</v>
      </c>
      <c r="D159" s="6">
        <f t="shared" si="10"/>
        <v>4222.25</v>
      </c>
      <c r="E159" t="str">
        <f t="shared" si="11"/>
        <v>Repeat</v>
      </c>
      <c r="F159" s="6">
        <f t="shared" si="14"/>
        <v>3457607</v>
      </c>
      <c r="G159" s="7">
        <f t="shared" si="12"/>
        <v>0.45215853083298818</v>
      </c>
      <c r="H159" t="str">
        <f t="shared" si="13"/>
        <v>Top Customers</v>
      </c>
    </row>
    <row r="160" spans="1:8" x14ac:dyDescent="0.25">
      <c r="A160">
        <v>1063</v>
      </c>
      <c r="B160" s="6">
        <f>COUNTIF(Raw_Data!A:A,A160)</f>
        <v>7</v>
      </c>
      <c r="C160" s="6">
        <f>SUMIFS(Raw_Data!G:G, Raw_Data!A:A, A160)</f>
        <v>16873</v>
      </c>
      <c r="D160" s="6">
        <f t="shared" si="10"/>
        <v>2410.4285714285716</v>
      </c>
      <c r="E160" t="str">
        <f t="shared" si="11"/>
        <v>Repeat</v>
      </c>
      <c r="F160" s="6">
        <f t="shared" si="14"/>
        <v>3474480</v>
      </c>
      <c r="G160" s="7">
        <f t="shared" si="12"/>
        <v>0.45436504848833337</v>
      </c>
      <c r="H160" t="str">
        <f t="shared" si="13"/>
        <v>Top Customers</v>
      </c>
    </row>
    <row r="161" spans="1:8" x14ac:dyDescent="0.25">
      <c r="A161">
        <v>1575</v>
      </c>
      <c r="B161" s="6">
        <f>COUNTIF(Raw_Data!A:A,A161)</f>
        <v>8</v>
      </c>
      <c r="C161" s="6">
        <f>SUMIFS(Raw_Data!G:G, Raw_Data!A:A, A161)</f>
        <v>16806</v>
      </c>
      <c r="D161" s="6">
        <f t="shared" si="10"/>
        <v>2100.75</v>
      </c>
      <c r="E161" t="str">
        <f t="shared" si="11"/>
        <v>Repeat</v>
      </c>
      <c r="F161" s="6">
        <f t="shared" si="14"/>
        <v>3491286</v>
      </c>
      <c r="G161" s="7">
        <f t="shared" si="12"/>
        <v>0.45656280441293068</v>
      </c>
      <c r="H161" t="str">
        <f t="shared" si="13"/>
        <v>Top Customers</v>
      </c>
    </row>
    <row r="162" spans="1:8" x14ac:dyDescent="0.25">
      <c r="A162">
        <v>1337</v>
      </c>
      <c r="B162" s="6">
        <f>COUNTIF(Raw_Data!A:A,A162)</f>
        <v>4</v>
      </c>
      <c r="C162" s="6">
        <f>SUMIFS(Raw_Data!G:G, Raw_Data!A:A, A162)</f>
        <v>16789</v>
      </c>
      <c r="D162" s="6">
        <f t="shared" si="10"/>
        <v>4197.25</v>
      </c>
      <c r="E162" t="str">
        <f t="shared" si="11"/>
        <v>Repeat</v>
      </c>
      <c r="F162" s="6">
        <f t="shared" si="14"/>
        <v>3508075</v>
      </c>
      <c r="G162" s="7">
        <f t="shared" si="12"/>
        <v>0.45875833721181591</v>
      </c>
      <c r="H162" t="str">
        <f t="shared" si="13"/>
        <v>Top Customers</v>
      </c>
    </row>
    <row r="163" spans="1:8" x14ac:dyDescent="0.25">
      <c r="A163">
        <v>1515</v>
      </c>
      <c r="B163" s="6">
        <f>COUNTIF(Raw_Data!A:A,A163)</f>
        <v>5</v>
      </c>
      <c r="C163" s="6">
        <f>SUMIFS(Raw_Data!G:G, Raw_Data!A:A, A163)</f>
        <v>16780</v>
      </c>
      <c r="D163" s="6">
        <f t="shared" si="10"/>
        <v>3356</v>
      </c>
      <c r="E163" t="str">
        <f t="shared" si="11"/>
        <v>Repeat</v>
      </c>
      <c r="F163" s="6">
        <f t="shared" si="14"/>
        <v>3524855</v>
      </c>
      <c r="G163" s="7">
        <f t="shared" si="12"/>
        <v>0.46095269306179465</v>
      </c>
      <c r="H163" t="str">
        <f t="shared" si="13"/>
        <v>Top Customers</v>
      </c>
    </row>
    <row r="164" spans="1:8" x14ac:dyDescent="0.25">
      <c r="A164">
        <v>1392</v>
      </c>
      <c r="B164" s="6">
        <f>COUNTIF(Raw_Data!A:A,A164)</f>
        <v>6</v>
      </c>
      <c r="C164" s="6">
        <f>SUMIFS(Raw_Data!G:G, Raw_Data!A:A, A164)</f>
        <v>16660</v>
      </c>
      <c r="D164" s="6">
        <f t="shared" si="10"/>
        <v>2776.6666666666665</v>
      </c>
      <c r="E164" t="str">
        <f t="shared" si="11"/>
        <v>Repeat</v>
      </c>
      <c r="F164" s="6">
        <f t="shared" si="14"/>
        <v>3541515</v>
      </c>
      <c r="G164" s="7">
        <f t="shared" si="12"/>
        <v>0.46313135625968777</v>
      </c>
      <c r="H164" t="str">
        <f t="shared" si="13"/>
        <v>Top Customers</v>
      </c>
    </row>
    <row r="165" spans="1:8" x14ac:dyDescent="0.25">
      <c r="A165">
        <v>1485</v>
      </c>
      <c r="B165" s="6">
        <f>COUNTIF(Raw_Data!A:A,A165)</f>
        <v>9</v>
      </c>
      <c r="C165" s="6">
        <f>SUMIFS(Raw_Data!G:G, Raw_Data!A:A, A165)</f>
        <v>16654</v>
      </c>
      <c r="D165" s="6">
        <f t="shared" si="10"/>
        <v>1850.4444444444443</v>
      </c>
      <c r="E165" t="str">
        <f t="shared" si="11"/>
        <v>Repeat</v>
      </c>
      <c r="F165" s="6">
        <f t="shared" si="14"/>
        <v>3558169</v>
      </c>
      <c r="G165" s="7">
        <f t="shared" si="12"/>
        <v>0.4653092348249766</v>
      </c>
      <c r="H165" t="str">
        <f t="shared" si="13"/>
        <v>Top Customers</v>
      </c>
    </row>
    <row r="166" spans="1:8" x14ac:dyDescent="0.25">
      <c r="A166">
        <v>1145</v>
      </c>
      <c r="B166" s="6">
        <f>COUNTIF(Raw_Data!A:A,A166)</f>
        <v>7</v>
      </c>
      <c r="C166" s="6">
        <f>SUMIFS(Raw_Data!G:G, Raw_Data!A:A, A166)</f>
        <v>16652</v>
      </c>
      <c r="D166" s="6">
        <f t="shared" si="10"/>
        <v>2378.8571428571427</v>
      </c>
      <c r="E166" t="str">
        <f t="shared" si="11"/>
        <v>Repeat</v>
      </c>
      <c r="F166" s="6">
        <f t="shared" si="14"/>
        <v>3574821</v>
      </c>
      <c r="G166" s="7">
        <f t="shared" si="12"/>
        <v>0.46748685184606398</v>
      </c>
      <c r="H166" t="str">
        <f t="shared" si="13"/>
        <v>Top Customers</v>
      </c>
    </row>
    <row r="167" spans="1:8" x14ac:dyDescent="0.25">
      <c r="A167">
        <v>1354</v>
      </c>
      <c r="B167" s="6">
        <f>COUNTIF(Raw_Data!A:A,A167)</f>
        <v>6</v>
      </c>
      <c r="C167" s="6">
        <f>SUMIFS(Raw_Data!G:G, Raw_Data!A:A, A167)</f>
        <v>16628</v>
      </c>
      <c r="D167" s="6">
        <f t="shared" si="10"/>
        <v>2771.3333333333335</v>
      </c>
      <c r="E167" t="str">
        <f t="shared" si="11"/>
        <v>Repeat</v>
      </c>
      <c r="F167" s="6">
        <f t="shared" si="14"/>
        <v>3591449</v>
      </c>
      <c r="G167" s="7">
        <f t="shared" si="12"/>
        <v>0.46966133033673424</v>
      </c>
      <c r="H167" t="str">
        <f t="shared" si="13"/>
        <v>Top Customers</v>
      </c>
    </row>
    <row r="168" spans="1:8" x14ac:dyDescent="0.25">
      <c r="A168">
        <v>1558</v>
      </c>
      <c r="B168" s="6">
        <f>COUNTIF(Raw_Data!A:A,A168)</f>
        <v>6</v>
      </c>
      <c r="C168" s="6">
        <f>SUMIFS(Raw_Data!G:G, Raw_Data!A:A, A168)</f>
        <v>16535</v>
      </c>
      <c r="D168" s="6">
        <f t="shared" si="10"/>
        <v>2755.8333333333335</v>
      </c>
      <c r="E168" t="str">
        <f t="shared" si="11"/>
        <v>Repeat</v>
      </c>
      <c r="F168" s="6">
        <f t="shared" si="14"/>
        <v>3607984</v>
      </c>
      <c r="G168" s="7">
        <f t="shared" si="12"/>
        <v>0.47182364702203811</v>
      </c>
      <c r="H168" t="str">
        <f t="shared" si="13"/>
        <v>Top Customers</v>
      </c>
    </row>
    <row r="169" spans="1:8" x14ac:dyDescent="0.25">
      <c r="A169">
        <v>1391</v>
      </c>
      <c r="B169" s="6">
        <f>COUNTIF(Raw_Data!A:A,A169)</f>
        <v>5</v>
      </c>
      <c r="C169" s="6">
        <f>SUMIFS(Raw_Data!G:G, Raw_Data!A:A, A169)</f>
        <v>16522</v>
      </c>
      <c r="D169" s="6">
        <f t="shared" si="10"/>
        <v>3304.4</v>
      </c>
      <c r="E169" t="str">
        <f t="shared" si="11"/>
        <v>Repeat</v>
      </c>
      <c r="F169" s="6">
        <f t="shared" si="14"/>
        <v>3624506</v>
      </c>
      <c r="G169" s="7">
        <f t="shared" si="12"/>
        <v>0.47398426367003271</v>
      </c>
      <c r="H169" t="str">
        <f t="shared" si="13"/>
        <v>Top Customers</v>
      </c>
    </row>
    <row r="170" spans="1:8" x14ac:dyDescent="0.25">
      <c r="A170">
        <v>1202</v>
      </c>
      <c r="B170" s="6">
        <f>COUNTIF(Raw_Data!A:A,A170)</f>
        <v>6</v>
      </c>
      <c r="C170" s="6">
        <f>SUMIFS(Raw_Data!G:G, Raw_Data!A:A, A170)</f>
        <v>16495</v>
      </c>
      <c r="D170" s="6">
        <f t="shared" si="10"/>
        <v>2749.1666666666665</v>
      </c>
      <c r="E170" t="str">
        <f t="shared" si="11"/>
        <v>Repeat</v>
      </c>
      <c r="F170" s="6">
        <f t="shared" si="14"/>
        <v>3641001</v>
      </c>
      <c r="G170" s="7">
        <f t="shared" si="12"/>
        <v>0.47614134947130804</v>
      </c>
      <c r="H170" t="str">
        <f t="shared" si="13"/>
        <v>Top Customers</v>
      </c>
    </row>
    <row r="171" spans="1:8" x14ac:dyDescent="0.25">
      <c r="A171">
        <v>1172</v>
      </c>
      <c r="B171" s="6">
        <f>COUNTIF(Raw_Data!A:A,A171)</f>
        <v>7</v>
      </c>
      <c r="C171" s="6">
        <f>SUMIFS(Raw_Data!G:G, Raw_Data!A:A, A171)</f>
        <v>16463</v>
      </c>
      <c r="D171" s="6">
        <f t="shared" si="10"/>
        <v>2351.8571428571427</v>
      </c>
      <c r="E171" t="str">
        <f t="shared" si="11"/>
        <v>Repeat</v>
      </c>
      <c r="F171" s="6">
        <f t="shared" si="14"/>
        <v>3657464</v>
      </c>
      <c r="G171" s="7">
        <f t="shared" si="12"/>
        <v>0.47829425056536046</v>
      </c>
      <c r="H171" t="str">
        <f t="shared" si="13"/>
        <v>Top Customers</v>
      </c>
    </row>
    <row r="172" spans="1:8" x14ac:dyDescent="0.25">
      <c r="A172">
        <v>1473</v>
      </c>
      <c r="B172" s="6">
        <f>COUNTIF(Raw_Data!A:A,A172)</f>
        <v>5</v>
      </c>
      <c r="C172" s="6">
        <f>SUMIFS(Raw_Data!G:G, Raw_Data!A:A, A172)</f>
        <v>16416</v>
      </c>
      <c r="D172" s="6">
        <f t="shared" si="10"/>
        <v>3283.2</v>
      </c>
      <c r="E172" t="str">
        <f t="shared" si="11"/>
        <v>Repeat</v>
      </c>
      <c r="F172" s="6">
        <f t="shared" si="14"/>
        <v>3673880</v>
      </c>
      <c r="G172" s="7">
        <f t="shared" si="12"/>
        <v>0.48044100537067941</v>
      </c>
      <c r="H172" t="str">
        <f t="shared" si="13"/>
        <v>Top Customers</v>
      </c>
    </row>
    <row r="173" spans="1:8" x14ac:dyDescent="0.25">
      <c r="A173">
        <v>1572</v>
      </c>
      <c r="B173" s="6">
        <f>COUNTIF(Raw_Data!A:A,A173)</f>
        <v>6</v>
      </c>
      <c r="C173" s="6">
        <f>SUMIFS(Raw_Data!G:G, Raw_Data!A:A, A173)</f>
        <v>16399</v>
      </c>
      <c r="D173" s="6">
        <f t="shared" si="10"/>
        <v>2733.1666666666665</v>
      </c>
      <c r="E173" t="str">
        <f t="shared" si="11"/>
        <v>Repeat</v>
      </c>
      <c r="F173" s="6">
        <f t="shared" si="14"/>
        <v>3690279</v>
      </c>
      <c r="G173" s="7">
        <f t="shared" si="12"/>
        <v>0.48258553705028617</v>
      </c>
      <c r="H173" t="str">
        <f t="shared" si="13"/>
        <v>Top Customers</v>
      </c>
    </row>
    <row r="174" spans="1:8" x14ac:dyDescent="0.25">
      <c r="A174">
        <v>1283</v>
      </c>
      <c r="B174" s="6">
        <f>COUNTIF(Raw_Data!A:A,A174)</f>
        <v>6</v>
      </c>
      <c r="C174" s="6">
        <f>SUMIFS(Raw_Data!G:G, Raw_Data!A:A, A174)</f>
        <v>16336</v>
      </c>
      <c r="D174" s="6">
        <f t="shared" si="10"/>
        <v>2722.6666666666665</v>
      </c>
      <c r="E174" t="str">
        <f t="shared" si="11"/>
        <v>Repeat</v>
      </c>
      <c r="F174" s="6">
        <f t="shared" si="14"/>
        <v>3706615</v>
      </c>
      <c r="G174" s="7">
        <f t="shared" si="12"/>
        <v>0.48472183008754799</v>
      </c>
      <c r="H174" t="str">
        <f t="shared" si="13"/>
        <v>Top Customers</v>
      </c>
    </row>
    <row r="175" spans="1:8" x14ac:dyDescent="0.25">
      <c r="A175">
        <v>1229</v>
      </c>
      <c r="B175" s="6">
        <f>COUNTIF(Raw_Data!A:A,A175)</f>
        <v>8</v>
      </c>
      <c r="C175" s="6">
        <f>SUMIFS(Raw_Data!G:G, Raw_Data!A:A, A175)</f>
        <v>16268</v>
      </c>
      <c r="D175" s="6">
        <f t="shared" si="10"/>
        <v>2033.5</v>
      </c>
      <c r="E175" t="str">
        <f t="shared" si="11"/>
        <v>Repeat</v>
      </c>
      <c r="F175" s="6">
        <f t="shared" si="14"/>
        <v>3722883</v>
      </c>
      <c r="G175" s="7">
        <f t="shared" si="12"/>
        <v>0.48684923062196128</v>
      </c>
      <c r="H175" t="str">
        <f t="shared" si="13"/>
        <v>Top Customers</v>
      </c>
    </row>
    <row r="176" spans="1:8" x14ac:dyDescent="0.25">
      <c r="A176">
        <v>1598</v>
      </c>
      <c r="B176" s="6">
        <f>COUNTIF(Raw_Data!A:A,A176)</f>
        <v>7</v>
      </c>
      <c r="C176" s="6">
        <f>SUMIFS(Raw_Data!G:G, Raw_Data!A:A, A176)</f>
        <v>16263</v>
      </c>
      <c r="D176" s="6">
        <f t="shared" si="10"/>
        <v>2323.2857142857142</v>
      </c>
      <c r="E176" t="str">
        <f t="shared" si="11"/>
        <v>Repeat</v>
      </c>
      <c r="F176" s="6">
        <f t="shared" si="14"/>
        <v>3739146</v>
      </c>
      <c r="G176" s="7">
        <f t="shared" si="12"/>
        <v>0.48897597729587094</v>
      </c>
      <c r="H176" t="str">
        <f t="shared" si="13"/>
        <v>Top Customers</v>
      </c>
    </row>
    <row r="177" spans="1:8" x14ac:dyDescent="0.25">
      <c r="A177">
        <v>1217</v>
      </c>
      <c r="B177" s="6">
        <f>COUNTIF(Raw_Data!A:A,A177)</f>
        <v>7</v>
      </c>
      <c r="C177" s="6">
        <f>SUMIFS(Raw_Data!G:G, Raw_Data!A:A, A177)</f>
        <v>16208</v>
      </c>
      <c r="D177" s="6">
        <f t="shared" si="10"/>
        <v>2315.4285714285716</v>
      </c>
      <c r="E177" t="str">
        <f t="shared" si="11"/>
        <v>Repeat</v>
      </c>
      <c r="F177" s="6">
        <f t="shared" si="14"/>
        <v>3755354</v>
      </c>
      <c r="G177" s="7">
        <f t="shared" si="12"/>
        <v>0.4910955315042414</v>
      </c>
      <c r="H177" t="str">
        <f t="shared" si="13"/>
        <v>Top Customers</v>
      </c>
    </row>
    <row r="178" spans="1:8" x14ac:dyDescent="0.25">
      <c r="A178">
        <v>1346</v>
      </c>
      <c r="B178" s="6">
        <f>COUNTIF(Raw_Data!A:A,A178)</f>
        <v>7</v>
      </c>
      <c r="C178" s="6">
        <f>SUMIFS(Raw_Data!G:G, Raw_Data!A:A, A178)</f>
        <v>16161</v>
      </c>
      <c r="D178" s="6">
        <f t="shared" si="10"/>
        <v>2308.7142857142858</v>
      </c>
      <c r="E178" t="str">
        <f t="shared" si="11"/>
        <v>Repeat</v>
      </c>
      <c r="F178" s="6">
        <f t="shared" si="14"/>
        <v>3771515</v>
      </c>
      <c r="G178" s="7">
        <f t="shared" si="12"/>
        <v>0.49320893942387828</v>
      </c>
      <c r="H178" t="str">
        <f t="shared" si="13"/>
        <v>Top Customers</v>
      </c>
    </row>
    <row r="179" spans="1:8" x14ac:dyDescent="0.25">
      <c r="A179">
        <v>1040</v>
      </c>
      <c r="B179" s="6">
        <f>COUNTIF(Raw_Data!A:A,A179)</f>
        <v>6</v>
      </c>
      <c r="C179" s="6">
        <f>SUMIFS(Raw_Data!G:G, Raw_Data!A:A, A179)</f>
        <v>16099</v>
      </c>
      <c r="D179" s="6">
        <f t="shared" si="10"/>
        <v>2683.1666666666665</v>
      </c>
      <c r="E179" t="str">
        <f t="shared" si="11"/>
        <v>Repeat</v>
      </c>
      <c r="F179" s="6">
        <f t="shared" si="14"/>
        <v>3787614</v>
      </c>
      <c r="G179" s="7">
        <f t="shared" si="12"/>
        <v>0.49531423947327091</v>
      </c>
      <c r="H179" t="str">
        <f t="shared" si="13"/>
        <v>Top Customers</v>
      </c>
    </row>
    <row r="180" spans="1:8" x14ac:dyDescent="0.25">
      <c r="A180">
        <v>1073</v>
      </c>
      <c r="B180" s="6">
        <f>COUNTIF(Raw_Data!A:A,A180)</f>
        <v>7</v>
      </c>
      <c r="C180" s="6">
        <f>SUMIFS(Raw_Data!G:G, Raw_Data!A:A, A180)</f>
        <v>16097</v>
      </c>
      <c r="D180" s="6">
        <f t="shared" si="10"/>
        <v>2299.5714285714284</v>
      </c>
      <c r="E180" t="str">
        <f t="shared" si="11"/>
        <v>Repeat</v>
      </c>
      <c r="F180" s="6">
        <f t="shared" si="14"/>
        <v>3803711</v>
      </c>
      <c r="G180" s="7">
        <f t="shared" si="12"/>
        <v>0.49741927797846208</v>
      </c>
      <c r="H180" t="str">
        <f t="shared" si="13"/>
        <v>Top Customers</v>
      </c>
    </row>
    <row r="181" spans="1:8" x14ac:dyDescent="0.25">
      <c r="A181">
        <v>1128</v>
      </c>
      <c r="B181" s="6">
        <f>COUNTIF(Raw_Data!A:A,A181)</f>
        <v>6</v>
      </c>
      <c r="C181" s="6">
        <f>SUMIFS(Raw_Data!G:G, Raw_Data!A:A, A181)</f>
        <v>15996</v>
      </c>
      <c r="D181" s="6">
        <f t="shared" si="10"/>
        <v>2666</v>
      </c>
      <c r="E181" t="str">
        <f t="shared" si="11"/>
        <v>Repeat</v>
      </c>
      <c r="F181" s="6">
        <f t="shared" si="14"/>
        <v>3819707</v>
      </c>
      <c r="G181" s="7">
        <f t="shared" si="12"/>
        <v>0.49951110850148117</v>
      </c>
      <c r="H181" t="str">
        <f t="shared" si="13"/>
        <v>Top Customers</v>
      </c>
    </row>
    <row r="182" spans="1:8" x14ac:dyDescent="0.25">
      <c r="A182">
        <v>1002</v>
      </c>
      <c r="B182" s="6">
        <f>COUNTIF(Raw_Data!A:A,A182)</f>
        <v>6</v>
      </c>
      <c r="C182" s="6">
        <f>SUMIFS(Raw_Data!G:G, Raw_Data!A:A, A182)</f>
        <v>15949</v>
      </c>
      <c r="D182" s="6">
        <f t="shared" si="10"/>
        <v>2658.1666666666665</v>
      </c>
      <c r="E182" t="str">
        <f t="shared" si="11"/>
        <v>Repeat</v>
      </c>
      <c r="F182" s="6">
        <f t="shared" si="14"/>
        <v>3835656</v>
      </c>
      <c r="G182" s="7">
        <f t="shared" si="12"/>
        <v>0.50159679273576674</v>
      </c>
      <c r="H182" t="str">
        <f t="shared" si="13"/>
        <v>Top Customers</v>
      </c>
    </row>
    <row r="183" spans="1:8" x14ac:dyDescent="0.25">
      <c r="A183">
        <v>1460</v>
      </c>
      <c r="B183" s="6">
        <f>COUNTIF(Raw_Data!A:A,A183)</f>
        <v>7</v>
      </c>
      <c r="C183" s="6">
        <f>SUMIFS(Raw_Data!G:G, Raw_Data!A:A, A183)</f>
        <v>15928</v>
      </c>
      <c r="D183" s="6">
        <f t="shared" si="10"/>
        <v>2275.4285714285716</v>
      </c>
      <c r="E183" t="str">
        <f t="shared" si="11"/>
        <v>Repeat</v>
      </c>
      <c r="F183" s="6">
        <f t="shared" si="14"/>
        <v>3851584</v>
      </c>
      <c r="G183" s="7">
        <f t="shared" si="12"/>
        <v>0.5036797307559373</v>
      </c>
      <c r="H183" t="str">
        <f t="shared" si="13"/>
        <v>Top Customers</v>
      </c>
    </row>
    <row r="184" spans="1:8" x14ac:dyDescent="0.25">
      <c r="A184">
        <v>1557</v>
      </c>
      <c r="B184" s="6">
        <f>COUNTIF(Raw_Data!A:A,A184)</f>
        <v>5</v>
      </c>
      <c r="C184" s="6">
        <f>SUMIFS(Raw_Data!G:G, Raw_Data!A:A, A184)</f>
        <v>15892</v>
      </c>
      <c r="D184" s="6">
        <f t="shared" si="10"/>
        <v>3178.4</v>
      </c>
      <c r="E184" t="str">
        <f t="shared" si="11"/>
        <v>Repeat</v>
      </c>
      <c r="F184" s="6">
        <f t="shared" si="14"/>
        <v>3867476</v>
      </c>
      <c r="G184" s="7">
        <f t="shared" si="12"/>
        <v>0.50575796098048209</v>
      </c>
      <c r="H184" t="str">
        <f t="shared" si="13"/>
        <v>Top Customers</v>
      </c>
    </row>
    <row r="185" spans="1:8" x14ac:dyDescent="0.25">
      <c r="A185">
        <v>1511</v>
      </c>
      <c r="B185" s="6">
        <f>COUNTIF(Raw_Data!A:A,A185)</f>
        <v>8</v>
      </c>
      <c r="C185" s="6">
        <f>SUMIFS(Raw_Data!G:G, Raw_Data!A:A, A185)</f>
        <v>15883</v>
      </c>
      <c r="D185" s="6">
        <f t="shared" si="10"/>
        <v>1985.375</v>
      </c>
      <c r="E185" t="str">
        <f t="shared" si="11"/>
        <v>Repeat</v>
      </c>
      <c r="F185" s="6">
        <f t="shared" si="14"/>
        <v>3883359</v>
      </c>
      <c r="G185" s="7">
        <f t="shared" si="12"/>
        <v>0.50783501425612054</v>
      </c>
      <c r="H185" t="str">
        <f t="shared" si="13"/>
        <v>Top Customers</v>
      </c>
    </row>
    <row r="186" spans="1:8" x14ac:dyDescent="0.25">
      <c r="A186">
        <v>1594</v>
      </c>
      <c r="B186" s="6">
        <f>COUNTIF(Raw_Data!A:A,A186)</f>
        <v>8</v>
      </c>
      <c r="C186" s="6">
        <f>SUMIFS(Raw_Data!G:G, Raw_Data!A:A, A186)</f>
        <v>15831</v>
      </c>
      <c r="D186" s="6">
        <f t="shared" si="10"/>
        <v>1978.875</v>
      </c>
      <c r="E186" t="str">
        <f t="shared" si="11"/>
        <v>Repeat</v>
      </c>
      <c r="F186" s="6">
        <f t="shared" si="14"/>
        <v>3899190</v>
      </c>
      <c r="G186" s="7">
        <f t="shared" si="12"/>
        <v>0.50990526738252184</v>
      </c>
      <c r="H186" t="str">
        <f t="shared" si="13"/>
        <v>Top Customers</v>
      </c>
    </row>
    <row r="187" spans="1:8" x14ac:dyDescent="0.25">
      <c r="A187">
        <v>1442</v>
      </c>
      <c r="B187" s="6">
        <f>COUNTIF(Raw_Data!A:A,A187)</f>
        <v>6</v>
      </c>
      <c r="C187" s="6">
        <f>SUMIFS(Raw_Data!G:G, Raw_Data!A:A, A187)</f>
        <v>15778</v>
      </c>
      <c r="D187" s="6">
        <f t="shared" si="10"/>
        <v>2629.6666666666665</v>
      </c>
      <c r="E187" t="str">
        <f t="shared" si="11"/>
        <v>Repeat</v>
      </c>
      <c r="F187" s="6">
        <f t="shared" si="14"/>
        <v>3914968</v>
      </c>
      <c r="G187" s="7">
        <f t="shared" si="12"/>
        <v>0.51196858958758529</v>
      </c>
      <c r="H187" t="str">
        <f t="shared" si="13"/>
        <v>Top Customers</v>
      </c>
    </row>
    <row r="188" spans="1:8" x14ac:dyDescent="0.25">
      <c r="A188">
        <v>1443</v>
      </c>
      <c r="B188" s="6">
        <f>COUNTIF(Raw_Data!A:A,A188)</f>
        <v>6</v>
      </c>
      <c r="C188" s="6">
        <f>SUMIFS(Raw_Data!G:G, Raw_Data!A:A, A188)</f>
        <v>15764</v>
      </c>
      <c r="D188" s="6">
        <f t="shared" si="10"/>
        <v>2627.3333333333335</v>
      </c>
      <c r="E188" t="str">
        <f t="shared" si="11"/>
        <v>Repeat</v>
      </c>
      <c r="F188" s="6">
        <f t="shared" si="14"/>
        <v>3930732</v>
      </c>
      <c r="G188" s="7">
        <f t="shared" si="12"/>
        <v>0.51403008098323877</v>
      </c>
      <c r="H188" t="str">
        <f t="shared" si="13"/>
        <v>Top Customers</v>
      </c>
    </row>
    <row r="189" spans="1:8" x14ac:dyDescent="0.25">
      <c r="A189">
        <v>1471</v>
      </c>
      <c r="B189" s="6">
        <f>COUNTIF(Raw_Data!A:A,A189)</f>
        <v>7</v>
      </c>
      <c r="C189" s="6">
        <f>SUMIFS(Raw_Data!G:G, Raw_Data!A:A, A189)</f>
        <v>15699</v>
      </c>
      <c r="D189" s="6">
        <f t="shared" si="10"/>
        <v>2242.7142857142858</v>
      </c>
      <c r="E189" t="str">
        <f t="shared" si="11"/>
        <v>Repeat</v>
      </c>
      <c r="F189" s="6">
        <f t="shared" si="14"/>
        <v>3946431</v>
      </c>
      <c r="G189" s="7">
        <f t="shared" si="12"/>
        <v>0.51608307219234584</v>
      </c>
      <c r="H189" t="str">
        <f t="shared" si="13"/>
        <v>Top Customers</v>
      </c>
    </row>
    <row r="190" spans="1:8" x14ac:dyDescent="0.25">
      <c r="A190">
        <v>1153</v>
      </c>
      <c r="B190" s="6">
        <f>COUNTIF(Raw_Data!A:A,A190)</f>
        <v>5</v>
      </c>
      <c r="C190" s="6">
        <f>SUMIFS(Raw_Data!G:G, Raw_Data!A:A, A190)</f>
        <v>15551</v>
      </c>
      <c r="D190" s="6">
        <f t="shared" si="10"/>
        <v>3110.2</v>
      </c>
      <c r="E190" t="str">
        <f t="shared" si="11"/>
        <v>Repeat</v>
      </c>
      <c r="F190" s="6">
        <f t="shared" si="14"/>
        <v>3961982</v>
      </c>
      <c r="G190" s="7">
        <f t="shared" si="12"/>
        <v>0.5181167091305473</v>
      </c>
      <c r="H190" t="str">
        <f t="shared" si="13"/>
        <v>Top Customers</v>
      </c>
    </row>
    <row r="191" spans="1:8" x14ac:dyDescent="0.25">
      <c r="A191">
        <v>1377</v>
      </c>
      <c r="B191" s="6">
        <f>COUNTIF(Raw_Data!A:A,A191)</f>
        <v>6</v>
      </c>
      <c r="C191" s="6">
        <f>SUMIFS(Raw_Data!G:G, Raw_Data!A:A, A191)</f>
        <v>15499</v>
      </c>
      <c r="D191" s="6">
        <f t="shared" si="10"/>
        <v>2583.1666666666665</v>
      </c>
      <c r="E191" t="str">
        <f t="shared" si="11"/>
        <v>Repeat</v>
      </c>
      <c r="F191" s="6">
        <f t="shared" si="14"/>
        <v>3977481</v>
      </c>
      <c r="G191" s="7">
        <f t="shared" si="12"/>
        <v>0.52014354591951162</v>
      </c>
      <c r="H191" t="str">
        <f t="shared" si="13"/>
        <v>Top Customers</v>
      </c>
    </row>
    <row r="192" spans="1:8" x14ac:dyDescent="0.25">
      <c r="A192">
        <v>1132</v>
      </c>
      <c r="B192" s="6">
        <f>COUNTIF(Raw_Data!A:A,A192)</f>
        <v>5</v>
      </c>
      <c r="C192" s="6">
        <f>SUMIFS(Raw_Data!G:G, Raw_Data!A:A, A192)</f>
        <v>15355</v>
      </c>
      <c r="D192" s="6">
        <f t="shared" si="10"/>
        <v>3071</v>
      </c>
      <c r="E192" t="str">
        <f t="shared" si="11"/>
        <v>Repeat</v>
      </c>
      <c r="F192" s="6">
        <f t="shared" si="14"/>
        <v>3992836</v>
      </c>
      <c r="G192" s="7">
        <f t="shared" si="12"/>
        <v>0.52215155152597315</v>
      </c>
      <c r="H192" t="str">
        <f t="shared" si="13"/>
        <v>Top Customers</v>
      </c>
    </row>
    <row r="193" spans="1:8" x14ac:dyDescent="0.25">
      <c r="A193">
        <v>1571</v>
      </c>
      <c r="B193" s="6">
        <f>COUNTIF(Raw_Data!A:A,A193)</f>
        <v>7</v>
      </c>
      <c r="C193" s="6">
        <f>SUMIFS(Raw_Data!G:G, Raw_Data!A:A, A193)</f>
        <v>15354</v>
      </c>
      <c r="D193" s="6">
        <f t="shared" si="10"/>
        <v>2193.4285714285716</v>
      </c>
      <c r="E193" t="str">
        <f t="shared" si="11"/>
        <v>Repeat</v>
      </c>
      <c r="F193" s="6">
        <f t="shared" si="14"/>
        <v>4008190</v>
      </c>
      <c r="G193" s="7">
        <f t="shared" si="12"/>
        <v>0.52415942636033386</v>
      </c>
      <c r="H193" t="str">
        <f t="shared" si="13"/>
        <v>Top Customers</v>
      </c>
    </row>
    <row r="194" spans="1:8" x14ac:dyDescent="0.25">
      <c r="A194">
        <v>1182</v>
      </c>
      <c r="B194" s="6">
        <f>COUNTIF(Raw_Data!A:A,A194)</f>
        <v>6</v>
      </c>
      <c r="C194" s="6">
        <f>SUMIFS(Raw_Data!G:G, Raw_Data!A:A, A194)</f>
        <v>15239</v>
      </c>
      <c r="D194" s="6">
        <f t="shared" ref="D194:D257" si="15">C194/B194</f>
        <v>2539.8333333333335</v>
      </c>
      <c r="E194" t="str">
        <f t="shared" ref="E194:E257" si="16">IF(B194&gt;1,"Repeat","New")</f>
        <v>Repeat</v>
      </c>
      <c r="F194" s="6">
        <f t="shared" si="14"/>
        <v>4023429</v>
      </c>
      <c r="G194" s="7">
        <f t="shared" si="12"/>
        <v>0.52615226240311264</v>
      </c>
      <c r="H194" t="str">
        <f t="shared" si="13"/>
        <v>Top Customers</v>
      </c>
    </row>
    <row r="195" spans="1:8" x14ac:dyDescent="0.25">
      <c r="A195">
        <v>1467</v>
      </c>
      <c r="B195" s="6">
        <f>COUNTIF(Raw_Data!A:A,A195)</f>
        <v>7</v>
      </c>
      <c r="C195" s="6">
        <f>SUMIFS(Raw_Data!G:G, Raw_Data!A:A, A195)</f>
        <v>15223</v>
      </c>
      <c r="D195" s="6">
        <f t="shared" si="15"/>
        <v>2174.7142857142858</v>
      </c>
      <c r="E195" t="str">
        <f t="shared" si="16"/>
        <v>Repeat</v>
      </c>
      <c r="F195" s="6">
        <f t="shared" si="14"/>
        <v>4038652</v>
      </c>
      <c r="G195" s="7">
        <f t="shared" ref="G195:G258" si="17">F195/SUM($C:$C)</f>
        <v>0.52814300609227982</v>
      </c>
      <c r="H195" t="str">
        <f t="shared" ref="H195:H258" si="18">IF(G195&lt;=0.8,"Top Customers","Others")</f>
        <v>Top Customers</v>
      </c>
    </row>
    <row r="196" spans="1:8" x14ac:dyDescent="0.25">
      <c r="A196">
        <v>1035</v>
      </c>
      <c r="B196" s="6">
        <f>COUNTIF(Raw_Data!A:A,A196)</f>
        <v>7</v>
      </c>
      <c r="C196" s="6">
        <f>SUMIFS(Raw_Data!G:G, Raw_Data!A:A, A196)</f>
        <v>15210</v>
      </c>
      <c r="D196" s="6">
        <f t="shared" si="15"/>
        <v>2172.8571428571427</v>
      </c>
      <c r="E196" t="str">
        <f t="shared" si="16"/>
        <v>Repeat</v>
      </c>
      <c r="F196" s="6">
        <f t="shared" ref="F196:F259" si="19">F195+C196</f>
        <v>4053862</v>
      </c>
      <c r="G196" s="7">
        <f t="shared" si="17"/>
        <v>0.53013204974413786</v>
      </c>
      <c r="H196" t="str">
        <f t="shared" si="18"/>
        <v>Top Customers</v>
      </c>
    </row>
    <row r="197" spans="1:8" x14ac:dyDescent="0.25">
      <c r="A197">
        <v>1021</v>
      </c>
      <c r="B197" s="6">
        <f>COUNTIF(Raw_Data!A:A,A197)</f>
        <v>7</v>
      </c>
      <c r="C197" s="6">
        <f>SUMIFS(Raw_Data!G:G, Raw_Data!A:A, A197)</f>
        <v>15176</v>
      </c>
      <c r="D197" s="6">
        <f t="shared" si="15"/>
        <v>2168</v>
      </c>
      <c r="E197" t="str">
        <f t="shared" si="16"/>
        <v>Repeat</v>
      </c>
      <c r="F197" s="6">
        <f t="shared" si="19"/>
        <v>4069038</v>
      </c>
      <c r="G197" s="7">
        <f t="shared" si="17"/>
        <v>0.53211664714457152</v>
      </c>
      <c r="H197" t="str">
        <f t="shared" si="18"/>
        <v>Top Customers</v>
      </c>
    </row>
    <row r="198" spans="1:8" x14ac:dyDescent="0.25">
      <c r="A198">
        <v>1098</v>
      </c>
      <c r="B198" s="6">
        <f>COUNTIF(Raw_Data!A:A,A198)</f>
        <v>4</v>
      </c>
      <c r="C198" s="6">
        <f>SUMIFS(Raw_Data!G:G, Raw_Data!A:A, A198)</f>
        <v>15166</v>
      </c>
      <c r="D198" s="6">
        <f t="shared" si="15"/>
        <v>3791.5</v>
      </c>
      <c r="E198" t="str">
        <f t="shared" si="16"/>
        <v>Repeat</v>
      </c>
      <c r="F198" s="6">
        <f t="shared" si="19"/>
        <v>4084204</v>
      </c>
      <c r="G198" s="7">
        <f t="shared" si="17"/>
        <v>0.53409993682399814</v>
      </c>
      <c r="H198" t="str">
        <f t="shared" si="18"/>
        <v>Top Customers</v>
      </c>
    </row>
    <row r="199" spans="1:8" x14ac:dyDescent="0.25">
      <c r="A199">
        <v>1281</v>
      </c>
      <c r="B199" s="6">
        <f>COUNTIF(Raw_Data!A:A,A199)</f>
        <v>5</v>
      </c>
      <c r="C199" s="6">
        <f>SUMIFS(Raw_Data!G:G, Raw_Data!A:A, A199)</f>
        <v>15158</v>
      </c>
      <c r="D199" s="6">
        <f t="shared" si="15"/>
        <v>3031.6</v>
      </c>
      <c r="E199" t="str">
        <f t="shared" si="16"/>
        <v>Repeat</v>
      </c>
      <c r="F199" s="6">
        <f t="shared" si="19"/>
        <v>4099362</v>
      </c>
      <c r="G199" s="7">
        <f t="shared" si="17"/>
        <v>0.53608218032661903</v>
      </c>
      <c r="H199" t="str">
        <f t="shared" si="18"/>
        <v>Top Customers</v>
      </c>
    </row>
    <row r="200" spans="1:8" x14ac:dyDescent="0.25">
      <c r="A200">
        <v>1120</v>
      </c>
      <c r="B200" s="6">
        <f>COUNTIF(Raw_Data!A:A,A200)</f>
        <v>7</v>
      </c>
      <c r="C200" s="6">
        <f>SUMIFS(Raw_Data!G:G, Raw_Data!A:A, A200)</f>
        <v>15141</v>
      </c>
      <c r="D200" s="6">
        <f t="shared" si="15"/>
        <v>2163</v>
      </c>
      <c r="E200" t="str">
        <f t="shared" si="16"/>
        <v>Repeat</v>
      </c>
      <c r="F200" s="6">
        <f t="shared" si="19"/>
        <v>4114503</v>
      </c>
      <c r="G200" s="7">
        <f t="shared" si="17"/>
        <v>0.53806220070352773</v>
      </c>
      <c r="H200" t="str">
        <f t="shared" si="18"/>
        <v>Top Customers</v>
      </c>
    </row>
    <row r="201" spans="1:8" x14ac:dyDescent="0.25">
      <c r="A201">
        <v>1194</v>
      </c>
      <c r="B201" s="6">
        <f>COUNTIF(Raw_Data!A:A,A201)</f>
        <v>7</v>
      </c>
      <c r="C201" s="6">
        <f>SUMIFS(Raw_Data!G:G, Raw_Data!A:A, A201)</f>
        <v>15135</v>
      </c>
      <c r="D201" s="6">
        <f t="shared" si="15"/>
        <v>2162.1428571428573</v>
      </c>
      <c r="E201" t="str">
        <f t="shared" si="16"/>
        <v>Repeat</v>
      </c>
      <c r="F201" s="6">
        <f t="shared" si="19"/>
        <v>4129638</v>
      </c>
      <c r="G201" s="7">
        <f t="shared" si="17"/>
        <v>0.5400414364478322</v>
      </c>
      <c r="H201" t="str">
        <f t="shared" si="18"/>
        <v>Top Customers</v>
      </c>
    </row>
    <row r="202" spans="1:8" x14ac:dyDescent="0.25">
      <c r="A202">
        <v>1424</v>
      </c>
      <c r="B202" s="6">
        <f>COUNTIF(Raw_Data!A:A,A202)</f>
        <v>5</v>
      </c>
      <c r="C202" s="6">
        <f>SUMIFS(Raw_Data!G:G, Raw_Data!A:A, A202)</f>
        <v>15135</v>
      </c>
      <c r="D202" s="6">
        <f t="shared" si="15"/>
        <v>3027</v>
      </c>
      <c r="E202" t="str">
        <f t="shared" si="16"/>
        <v>Repeat</v>
      </c>
      <c r="F202" s="6">
        <f t="shared" si="19"/>
        <v>4144773</v>
      </c>
      <c r="G202" s="7">
        <f t="shared" si="17"/>
        <v>0.54202067219213668</v>
      </c>
      <c r="H202" t="str">
        <f t="shared" si="18"/>
        <v>Top Customers</v>
      </c>
    </row>
    <row r="203" spans="1:8" x14ac:dyDescent="0.25">
      <c r="A203">
        <v>1239</v>
      </c>
      <c r="B203" s="6">
        <f>COUNTIF(Raw_Data!A:A,A203)</f>
        <v>5</v>
      </c>
      <c r="C203" s="6">
        <f>SUMIFS(Raw_Data!G:G, Raw_Data!A:A, A203)</f>
        <v>15123</v>
      </c>
      <c r="D203" s="6">
        <f t="shared" si="15"/>
        <v>3024.6</v>
      </c>
      <c r="E203" t="str">
        <f t="shared" si="16"/>
        <v>Repeat</v>
      </c>
      <c r="F203" s="6">
        <f t="shared" si="19"/>
        <v>4159896</v>
      </c>
      <c r="G203" s="7">
        <f t="shared" si="17"/>
        <v>0.54399833867123248</v>
      </c>
      <c r="H203" t="str">
        <f t="shared" si="18"/>
        <v>Top Customers</v>
      </c>
    </row>
    <row r="204" spans="1:8" x14ac:dyDescent="0.25">
      <c r="A204">
        <v>1306</v>
      </c>
      <c r="B204" s="6">
        <f>COUNTIF(Raw_Data!A:A,A204)</f>
        <v>4</v>
      </c>
      <c r="C204" s="6">
        <f>SUMIFS(Raw_Data!G:G, Raw_Data!A:A, A204)</f>
        <v>15076</v>
      </c>
      <c r="D204" s="6">
        <f t="shared" si="15"/>
        <v>3769</v>
      </c>
      <c r="E204" t="str">
        <f t="shared" si="16"/>
        <v>Repeat</v>
      </c>
      <c r="F204" s="6">
        <f t="shared" si="19"/>
        <v>4174972</v>
      </c>
      <c r="G204" s="7">
        <f t="shared" si="17"/>
        <v>0.54596985886159488</v>
      </c>
      <c r="H204" t="str">
        <f t="shared" si="18"/>
        <v>Top Customers</v>
      </c>
    </row>
    <row r="205" spans="1:8" x14ac:dyDescent="0.25">
      <c r="A205">
        <v>1162</v>
      </c>
      <c r="B205" s="6">
        <f>COUNTIF(Raw_Data!A:A,A205)</f>
        <v>7</v>
      </c>
      <c r="C205" s="6">
        <f>SUMIFS(Raw_Data!G:G, Raw_Data!A:A, A205)</f>
        <v>15030</v>
      </c>
      <c r="D205" s="6">
        <f t="shared" si="15"/>
        <v>2147.1428571428573</v>
      </c>
      <c r="E205" t="str">
        <f t="shared" si="16"/>
        <v>Repeat</v>
      </c>
      <c r="F205" s="6">
        <f t="shared" si="19"/>
        <v>4190002</v>
      </c>
      <c r="G205" s="7">
        <f t="shared" si="17"/>
        <v>0.54793536353532435</v>
      </c>
      <c r="H205" t="str">
        <f t="shared" si="18"/>
        <v>Top Customers</v>
      </c>
    </row>
    <row r="206" spans="1:8" x14ac:dyDescent="0.25">
      <c r="A206">
        <v>1533</v>
      </c>
      <c r="B206" s="6">
        <f>COUNTIF(Raw_Data!A:A,A206)</f>
        <v>6</v>
      </c>
      <c r="C206" s="6">
        <f>SUMIFS(Raw_Data!G:G, Raw_Data!A:A, A206)</f>
        <v>15023</v>
      </c>
      <c r="D206" s="6">
        <f t="shared" si="15"/>
        <v>2503.8333333333335</v>
      </c>
      <c r="E206" t="str">
        <f t="shared" si="16"/>
        <v>Repeat</v>
      </c>
      <c r="F206" s="6">
        <f t="shared" si="19"/>
        <v>4205025</v>
      </c>
      <c r="G206" s="7">
        <f t="shared" si="17"/>
        <v>0.54989995280434889</v>
      </c>
      <c r="H206" t="str">
        <f t="shared" si="18"/>
        <v>Top Customers</v>
      </c>
    </row>
    <row r="207" spans="1:8" x14ac:dyDescent="0.25">
      <c r="A207">
        <v>1469</v>
      </c>
      <c r="B207" s="6">
        <f>COUNTIF(Raw_Data!A:A,A207)</f>
        <v>5</v>
      </c>
      <c r="C207" s="6">
        <f>SUMIFS(Raw_Data!G:G, Raw_Data!A:A, A207)</f>
        <v>14950</v>
      </c>
      <c r="D207" s="6">
        <f t="shared" si="15"/>
        <v>2990</v>
      </c>
      <c r="E207" t="str">
        <f t="shared" si="16"/>
        <v>Repeat</v>
      </c>
      <c r="F207" s="6">
        <f t="shared" si="19"/>
        <v>4219975</v>
      </c>
      <c r="G207" s="7">
        <f t="shared" si="17"/>
        <v>0.55185499571002128</v>
      </c>
      <c r="H207" t="str">
        <f t="shared" si="18"/>
        <v>Top Customers</v>
      </c>
    </row>
    <row r="208" spans="1:8" x14ac:dyDescent="0.25">
      <c r="A208">
        <v>1359</v>
      </c>
      <c r="B208" s="6">
        <f>COUNTIF(Raw_Data!A:A,A208)</f>
        <v>6</v>
      </c>
      <c r="C208" s="6">
        <f>SUMIFS(Raw_Data!G:G, Raw_Data!A:A, A208)</f>
        <v>14928</v>
      </c>
      <c r="D208" s="6">
        <f t="shared" si="15"/>
        <v>2488</v>
      </c>
      <c r="E208" t="str">
        <f t="shared" si="16"/>
        <v>Repeat</v>
      </c>
      <c r="F208" s="6">
        <f t="shared" si="19"/>
        <v>4234903</v>
      </c>
      <c r="G208" s="7">
        <f t="shared" si="17"/>
        <v>0.55380716162947796</v>
      </c>
      <c r="H208" t="str">
        <f t="shared" si="18"/>
        <v>Top Customers</v>
      </c>
    </row>
    <row r="209" spans="1:8" x14ac:dyDescent="0.25">
      <c r="A209">
        <v>1437</v>
      </c>
      <c r="B209" s="6">
        <f>COUNTIF(Raw_Data!A:A,A209)</f>
        <v>6</v>
      </c>
      <c r="C209" s="6">
        <f>SUMIFS(Raw_Data!G:G, Raw_Data!A:A, A209)</f>
        <v>14921</v>
      </c>
      <c r="D209" s="6">
        <f t="shared" si="15"/>
        <v>2486.8333333333335</v>
      </c>
      <c r="E209" t="str">
        <f t="shared" si="16"/>
        <v>Repeat</v>
      </c>
      <c r="F209" s="6">
        <f t="shared" si="19"/>
        <v>4249824</v>
      </c>
      <c r="G209" s="7">
        <f t="shared" si="17"/>
        <v>0.55575841214422961</v>
      </c>
      <c r="H209" t="str">
        <f t="shared" si="18"/>
        <v>Top Customers</v>
      </c>
    </row>
    <row r="210" spans="1:8" x14ac:dyDescent="0.25">
      <c r="A210">
        <v>1361</v>
      </c>
      <c r="B210" s="6">
        <f>COUNTIF(Raw_Data!A:A,A210)</f>
        <v>6</v>
      </c>
      <c r="C210" s="6">
        <f>SUMIFS(Raw_Data!G:G, Raw_Data!A:A, A210)</f>
        <v>14900</v>
      </c>
      <c r="D210" s="6">
        <f t="shared" si="15"/>
        <v>2483.3333333333335</v>
      </c>
      <c r="E210" t="str">
        <f t="shared" si="16"/>
        <v>Repeat</v>
      </c>
      <c r="F210" s="6">
        <f t="shared" si="19"/>
        <v>4264724</v>
      </c>
      <c r="G210" s="7">
        <f t="shared" si="17"/>
        <v>0.55770691644486625</v>
      </c>
      <c r="H210" t="str">
        <f t="shared" si="18"/>
        <v>Top Customers</v>
      </c>
    </row>
    <row r="211" spans="1:8" x14ac:dyDescent="0.25">
      <c r="A211">
        <v>1360</v>
      </c>
      <c r="B211" s="6">
        <f>COUNTIF(Raw_Data!A:A,A211)</f>
        <v>6</v>
      </c>
      <c r="C211" s="6">
        <f>SUMIFS(Raw_Data!G:G, Raw_Data!A:A, A211)</f>
        <v>14858</v>
      </c>
      <c r="D211" s="6">
        <f t="shared" si="15"/>
        <v>2476.3333333333335</v>
      </c>
      <c r="E211" t="str">
        <f t="shared" si="16"/>
        <v>Repeat</v>
      </c>
      <c r="F211" s="6">
        <f t="shared" si="19"/>
        <v>4279582</v>
      </c>
      <c r="G211" s="7">
        <f t="shared" si="17"/>
        <v>0.559649928317273</v>
      </c>
      <c r="H211" t="str">
        <f t="shared" si="18"/>
        <v>Top Customers</v>
      </c>
    </row>
    <row r="212" spans="1:8" x14ac:dyDescent="0.25">
      <c r="A212">
        <v>1356</v>
      </c>
      <c r="B212" s="6">
        <f>COUNTIF(Raw_Data!A:A,A212)</f>
        <v>6</v>
      </c>
      <c r="C212" s="6">
        <f>SUMIFS(Raw_Data!G:G, Raw_Data!A:A, A212)</f>
        <v>14822</v>
      </c>
      <c r="D212" s="6">
        <f t="shared" si="15"/>
        <v>2470.3333333333335</v>
      </c>
      <c r="E212" t="str">
        <f t="shared" si="16"/>
        <v>Repeat</v>
      </c>
      <c r="F212" s="6">
        <f t="shared" si="19"/>
        <v>4294404</v>
      </c>
      <c r="G212" s="7">
        <f t="shared" si="17"/>
        <v>0.56158823239405398</v>
      </c>
      <c r="H212" t="str">
        <f t="shared" si="18"/>
        <v>Top Customers</v>
      </c>
    </row>
    <row r="213" spans="1:8" x14ac:dyDescent="0.25">
      <c r="A213">
        <v>1243</v>
      </c>
      <c r="B213" s="6">
        <f>COUNTIF(Raw_Data!A:A,A213)</f>
        <v>5</v>
      </c>
      <c r="C213" s="6">
        <f>SUMIFS(Raw_Data!G:G, Raw_Data!A:A, A213)</f>
        <v>14811</v>
      </c>
      <c r="D213" s="6">
        <f t="shared" si="15"/>
        <v>2962.2</v>
      </c>
      <c r="E213" t="str">
        <f t="shared" si="16"/>
        <v>Repeat</v>
      </c>
      <c r="F213" s="6">
        <f t="shared" si="19"/>
        <v>4309215</v>
      </c>
      <c r="G213" s="7">
        <f t="shared" si="17"/>
        <v>0.56352509797772721</v>
      </c>
      <c r="H213" t="str">
        <f t="shared" si="18"/>
        <v>Top Customers</v>
      </c>
    </row>
    <row r="214" spans="1:8" x14ac:dyDescent="0.25">
      <c r="A214">
        <v>1348</v>
      </c>
      <c r="B214" s="6">
        <f>COUNTIF(Raw_Data!A:A,A214)</f>
        <v>6</v>
      </c>
      <c r="C214" s="6">
        <f>SUMIFS(Raw_Data!G:G, Raw_Data!A:A, A214)</f>
        <v>14810</v>
      </c>
      <c r="D214" s="6">
        <f t="shared" si="15"/>
        <v>2468.3333333333335</v>
      </c>
      <c r="E214" t="str">
        <f t="shared" si="16"/>
        <v>Repeat</v>
      </c>
      <c r="F214" s="6">
        <f t="shared" si="19"/>
        <v>4324025</v>
      </c>
      <c r="G214" s="7">
        <f t="shared" si="17"/>
        <v>0.56546183278929962</v>
      </c>
      <c r="H214" t="str">
        <f t="shared" si="18"/>
        <v>Top Customers</v>
      </c>
    </row>
    <row r="215" spans="1:8" x14ac:dyDescent="0.25">
      <c r="A215">
        <v>1124</v>
      </c>
      <c r="B215" s="6">
        <f>COUNTIF(Raw_Data!A:A,A215)</f>
        <v>8</v>
      </c>
      <c r="C215" s="6">
        <f>SUMIFS(Raw_Data!G:G, Raw_Data!A:A, A215)</f>
        <v>14749</v>
      </c>
      <c r="D215" s="6">
        <f t="shared" si="15"/>
        <v>1843.625</v>
      </c>
      <c r="E215" t="str">
        <f t="shared" si="16"/>
        <v>Repeat</v>
      </c>
      <c r="F215" s="6">
        <f t="shared" si="19"/>
        <v>4338774</v>
      </c>
      <c r="G215" s="7">
        <f t="shared" si="17"/>
        <v>0.56739059050272844</v>
      </c>
      <c r="H215" t="str">
        <f t="shared" si="18"/>
        <v>Top Customers</v>
      </c>
    </row>
    <row r="216" spans="1:8" x14ac:dyDescent="0.25">
      <c r="A216">
        <v>1005</v>
      </c>
      <c r="B216" s="6">
        <f>COUNTIF(Raw_Data!A:A,A216)</f>
        <v>5</v>
      </c>
      <c r="C216" s="6">
        <f>SUMIFS(Raw_Data!G:G, Raw_Data!A:A, A216)</f>
        <v>14720</v>
      </c>
      <c r="D216" s="6">
        <f t="shared" si="15"/>
        <v>2944</v>
      </c>
      <c r="E216" t="str">
        <f t="shared" si="16"/>
        <v>Repeat</v>
      </c>
      <c r="F216" s="6">
        <f t="shared" si="19"/>
        <v>4353494</v>
      </c>
      <c r="G216" s="7">
        <f t="shared" si="17"/>
        <v>0.56931555582523674</v>
      </c>
      <c r="H216" t="str">
        <f t="shared" si="18"/>
        <v>Top Customers</v>
      </c>
    </row>
    <row r="217" spans="1:8" x14ac:dyDescent="0.25">
      <c r="A217">
        <v>1385</v>
      </c>
      <c r="B217" s="6">
        <f>COUNTIF(Raw_Data!A:A,A217)</f>
        <v>6</v>
      </c>
      <c r="C217" s="6">
        <f>SUMIFS(Raw_Data!G:G, Raw_Data!A:A, A217)</f>
        <v>14562</v>
      </c>
      <c r="D217" s="6">
        <f t="shared" si="15"/>
        <v>2427</v>
      </c>
      <c r="E217" t="str">
        <f t="shared" si="16"/>
        <v>Repeat</v>
      </c>
      <c r="F217" s="6">
        <f t="shared" si="19"/>
        <v>4368056</v>
      </c>
      <c r="G217" s="7">
        <f t="shared" si="17"/>
        <v>0.57121985915583207</v>
      </c>
      <c r="H217" t="str">
        <f t="shared" si="18"/>
        <v>Top Customers</v>
      </c>
    </row>
    <row r="218" spans="1:8" x14ac:dyDescent="0.25">
      <c r="A218">
        <v>1055</v>
      </c>
      <c r="B218" s="6">
        <f>COUNTIF(Raw_Data!A:A,A218)</f>
        <v>5</v>
      </c>
      <c r="C218" s="6">
        <f>SUMIFS(Raw_Data!G:G, Raw_Data!A:A, A218)</f>
        <v>14547</v>
      </c>
      <c r="D218" s="6">
        <f t="shared" si="15"/>
        <v>2909.4</v>
      </c>
      <c r="E218" t="str">
        <f t="shared" si="16"/>
        <v>Repeat</v>
      </c>
      <c r="F218" s="6">
        <f t="shared" si="19"/>
        <v>4382603</v>
      </c>
      <c r="G218" s="7">
        <f t="shared" si="17"/>
        <v>0.57312220090491683</v>
      </c>
      <c r="H218" t="str">
        <f t="shared" si="18"/>
        <v>Top Customers</v>
      </c>
    </row>
    <row r="219" spans="1:8" x14ac:dyDescent="0.25">
      <c r="A219">
        <v>1046</v>
      </c>
      <c r="B219" s="6">
        <f>COUNTIF(Raw_Data!A:A,A219)</f>
        <v>4</v>
      </c>
      <c r="C219" s="6">
        <f>SUMIFS(Raw_Data!G:G, Raw_Data!A:A, A219)</f>
        <v>14512</v>
      </c>
      <c r="D219" s="6">
        <f t="shared" si="15"/>
        <v>3628</v>
      </c>
      <c r="E219" t="str">
        <f t="shared" si="16"/>
        <v>Repeat</v>
      </c>
      <c r="F219" s="6">
        <f t="shared" si="19"/>
        <v>4397115</v>
      </c>
      <c r="G219" s="7">
        <f t="shared" si="17"/>
        <v>0.57501996563047653</v>
      </c>
      <c r="H219" t="str">
        <f t="shared" si="18"/>
        <v>Top Customers</v>
      </c>
    </row>
    <row r="220" spans="1:8" x14ac:dyDescent="0.25">
      <c r="A220">
        <v>1087</v>
      </c>
      <c r="B220" s="6">
        <f>COUNTIF(Raw_Data!A:A,A220)</f>
        <v>6</v>
      </c>
      <c r="C220" s="6">
        <f>SUMIFS(Raw_Data!G:G, Raw_Data!A:A, A220)</f>
        <v>14450</v>
      </c>
      <c r="D220" s="6">
        <f t="shared" si="15"/>
        <v>2408.3333333333335</v>
      </c>
      <c r="E220" t="str">
        <f t="shared" si="16"/>
        <v>Repeat</v>
      </c>
      <c r="F220" s="6">
        <f t="shared" si="19"/>
        <v>4411565</v>
      </c>
      <c r="G220" s="7">
        <f t="shared" si="17"/>
        <v>0.57690962248579192</v>
      </c>
      <c r="H220" t="str">
        <f t="shared" si="18"/>
        <v>Top Customers</v>
      </c>
    </row>
    <row r="221" spans="1:8" x14ac:dyDescent="0.25">
      <c r="A221">
        <v>1139</v>
      </c>
      <c r="B221" s="6">
        <f>COUNTIF(Raw_Data!A:A,A221)</f>
        <v>4</v>
      </c>
      <c r="C221" s="6">
        <f>SUMIFS(Raw_Data!G:G, Raw_Data!A:A, A221)</f>
        <v>14412</v>
      </c>
      <c r="D221" s="6">
        <f t="shared" si="15"/>
        <v>3603</v>
      </c>
      <c r="E221" t="str">
        <f t="shared" si="16"/>
        <v>Repeat</v>
      </c>
      <c r="F221" s="6">
        <f t="shared" si="19"/>
        <v>4425977</v>
      </c>
      <c r="G221" s="7">
        <f t="shared" si="17"/>
        <v>0.57879431000128023</v>
      </c>
      <c r="H221" t="str">
        <f t="shared" si="18"/>
        <v>Top Customers</v>
      </c>
    </row>
    <row r="222" spans="1:8" x14ac:dyDescent="0.25">
      <c r="A222">
        <v>1081</v>
      </c>
      <c r="B222" s="6">
        <f>COUNTIF(Raw_Data!A:A,A222)</f>
        <v>5</v>
      </c>
      <c r="C222" s="6">
        <f>SUMIFS(Raw_Data!G:G, Raw_Data!A:A, A222)</f>
        <v>14411</v>
      </c>
      <c r="D222" s="6">
        <f t="shared" si="15"/>
        <v>2882.2</v>
      </c>
      <c r="E222" t="str">
        <f t="shared" si="16"/>
        <v>Repeat</v>
      </c>
      <c r="F222" s="6">
        <f t="shared" si="19"/>
        <v>4440388</v>
      </c>
      <c r="G222" s="7">
        <f t="shared" si="17"/>
        <v>0.58067886674466784</v>
      </c>
      <c r="H222" t="str">
        <f t="shared" si="18"/>
        <v>Top Customers</v>
      </c>
    </row>
    <row r="223" spans="1:8" x14ac:dyDescent="0.25">
      <c r="A223">
        <v>1330</v>
      </c>
      <c r="B223" s="6">
        <f>COUNTIF(Raw_Data!A:A,A223)</f>
        <v>5</v>
      </c>
      <c r="C223" s="6">
        <f>SUMIFS(Raw_Data!G:G, Raw_Data!A:A, A223)</f>
        <v>14306</v>
      </c>
      <c r="D223" s="6">
        <f t="shared" si="15"/>
        <v>2861.2</v>
      </c>
      <c r="E223" t="str">
        <f t="shared" si="16"/>
        <v>Repeat</v>
      </c>
      <c r="F223" s="6">
        <f t="shared" si="19"/>
        <v>4454694</v>
      </c>
      <c r="G223" s="7">
        <f t="shared" si="17"/>
        <v>0.58254969241748056</v>
      </c>
      <c r="H223" t="str">
        <f t="shared" si="18"/>
        <v>Top Customers</v>
      </c>
    </row>
    <row r="224" spans="1:8" x14ac:dyDescent="0.25">
      <c r="A224">
        <v>1532</v>
      </c>
      <c r="B224" s="6">
        <f>COUNTIF(Raw_Data!A:A,A224)</f>
        <v>6</v>
      </c>
      <c r="C224" s="6">
        <f>SUMIFS(Raw_Data!G:G, Raw_Data!A:A, A224)</f>
        <v>14282</v>
      </c>
      <c r="D224" s="6">
        <f t="shared" si="15"/>
        <v>2380.3333333333335</v>
      </c>
      <c r="E224" t="str">
        <f t="shared" si="16"/>
        <v>Repeat</v>
      </c>
      <c r="F224" s="6">
        <f t="shared" si="19"/>
        <v>4468976</v>
      </c>
      <c r="G224" s="7">
        <f t="shared" si="17"/>
        <v>0.58441737955987605</v>
      </c>
      <c r="H224" t="str">
        <f t="shared" si="18"/>
        <v>Top Customers</v>
      </c>
    </row>
    <row r="225" spans="1:8" x14ac:dyDescent="0.25">
      <c r="A225">
        <v>1336</v>
      </c>
      <c r="B225" s="6">
        <f>COUNTIF(Raw_Data!A:A,A225)</f>
        <v>6</v>
      </c>
      <c r="C225" s="6">
        <f>SUMIFS(Raw_Data!G:G, Raw_Data!A:A, A225)</f>
        <v>14256</v>
      </c>
      <c r="D225" s="6">
        <f t="shared" si="15"/>
        <v>2376</v>
      </c>
      <c r="E225" t="str">
        <f t="shared" si="16"/>
        <v>Repeat</v>
      </c>
      <c r="F225" s="6">
        <f t="shared" si="19"/>
        <v>4483232</v>
      </c>
      <c r="G225" s="7">
        <f t="shared" si="17"/>
        <v>0.58628166662765302</v>
      </c>
      <c r="H225" t="str">
        <f t="shared" si="18"/>
        <v>Top Customers</v>
      </c>
    </row>
    <row r="226" spans="1:8" x14ac:dyDescent="0.25">
      <c r="A226">
        <v>1167</v>
      </c>
      <c r="B226" s="6">
        <f>COUNTIF(Raw_Data!A:A,A226)</f>
        <v>5</v>
      </c>
      <c r="C226" s="6">
        <f>SUMIFS(Raw_Data!G:G, Raw_Data!A:A, A226)</f>
        <v>14246</v>
      </c>
      <c r="D226" s="6">
        <f t="shared" si="15"/>
        <v>2849.2</v>
      </c>
      <c r="E226" t="str">
        <f t="shared" si="16"/>
        <v>Repeat</v>
      </c>
      <c r="F226" s="6">
        <f t="shared" si="19"/>
        <v>4497478</v>
      </c>
      <c r="G226" s="7">
        <f t="shared" si="17"/>
        <v>0.58814464597442284</v>
      </c>
      <c r="H226" t="str">
        <f t="shared" si="18"/>
        <v>Top Customers</v>
      </c>
    </row>
    <row r="227" spans="1:8" x14ac:dyDescent="0.25">
      <c r="A227">
        <v>1049</v>
      </c>
      <c r="B227" s="6">
        <f>COUNTIF(Raw_Data!A:A,A227)</f>
        <v>6</v>
      </c>
      <c r="C227" s="6">
        <f>SUMIFS(Raw_Data!G:G, Raw_Data!A:A, A227)</f>
        <v>14230</v>
      </c>
      <c r="D227" s="6">
        <f t="shared" si="15"/>
        <v>2371.6666666666665</v>
      </c>
      <c r="E227" t="str">
        <f t="shared" si="16"/>
        <v>Repeat</v>
      </c>
      <c r="F227" s="6">
        <f t="shared" si="19"/>
        <v>4511708</v>
      </c>
      <c r="G227" s="7">
        <f t="shared" si="17"/>
        <v>0.59000553296758118</v>
      </c>
      <c r="H227" t="str">
        <f t="shared" si="18"/>
        <v>Top Customers</v>
      </c>
    </row>
    <row r="228" spans="1:8" x14ac:dyDescent="0.25">
      <c r="A228">
        <v>1334</v>
      </c>
      <c r="B228" s="6">
        <f>COUNTIF(Raw_Data!A:A,A228)</f>
        <v>5</v>
      </c>
      <c r="C228" s="6">
        <f>SUMIFS(Raw_Data!G:G, Raw_Data!A:A, A228)</f>
        <v>14215</v>
      </c>
      <c r="D228" s="6">
        <f t="shared" si="15"/>
        <v>2843</v>
      </c>
      <c r="E228" t="str">
        <f t="shared" si="16"/>
        <v>Repeat</v>
      </c>
      <c r="F228" s="6">
        <f t="shared" si="19"/>
        <v>4525923</v>
      </c>
      <c r="G228" s="7">
        <f t="shared" si="17"/>
        <v>0.59186445837922885</v>
      </c>
      <c r="H228" t="str">
        <f t="shared" si="18"/>
        <v>Top Customers</v>
      </c>
    </row>
    <row r="229" spans="1:8" x14ac:dyDescent="0.25">
      <c r="A229">
        <v>1588</v>
      </c>
      <c r="B229" s="6">
        <f>COUNTIF(Raw_Data!A:A,A229)</f>
        <v>8</v>
      </c>
      <c r="C229" s="6">
        <f>SUMIFS(Raw_Data!G:G, Raw_Data!A:A, A229)</f>
        <v>14201</v>
      </c>
      <c r="D229" s="6">
        <f t="shared" si="15"/>
        <v>1775.125</v>
      </c>
      <c r="E229" t="str">
        <f t="shared" si="16"/>
        <v>Repeat</v>
      </c>
      <c r="F229" s="6">
        <f t="shared" si="19"/>
        <v>4540124</v>
      </c>
      <c r="G229" s="7">
        <f t="shared" si="17"/>
        <v>0.59372155298146656</v>
      </c>
      <c r="H229" t="str">
        <f t="shared" si="18"/>
        <v>Top Customers</v>
      </c>
    </row>
    <row r="230" spans="1:8" x14ac:dyDescent="0.25">
      <c r="A230">
        <v>1001</v>
      </c>
      <c r="B230" s="6">
        <f>COUNTIF(Raw_Data!A:A,A230)</f>
        <v>9</v>
      </c>
      <c r="C230" s="6">
        <f>SUMIFS(Raw_Data!G:G, Raw_Data!A:A, A230)</f>
        <v>14107</v>
      </c>
      <c r="D230" s="6">
        <f t="shared" si="15"/>
        <v>1567.4444444444443</v>
      </c>
      <c r="E230" t="str">
        <f t="shared" si="16"/>
        <v>Repeat</v>
      </c>
      <c r="F230" s="6">
        <f t="shared" si="19"/>
        <v>4554231</v>
      </c>
      <c r="G230" s="7">
        <f t="shared" si="17"/>
        <v>0.59556635500623722</v>
      </c>
      <c r="H230" t="str">
        <f t="shared" si="18"/>
        <v>Top Customers</v>
      </c>
    </row>
    <row r="231" spans="1:8" x14ac:dyDescent="0.25">
      <c r="A231">
        <v>1106</v>
      </c>
      <c r="B231" s="6">
        <f>COUNTIF(Raw_Data!A:A,A231)</f>
        <v>6</v>
      </c>
      <c r="C231" s="6">
        <f>SUMIFS(Raw_Data!G:G, Raw_Data!A:A, A231)</f>
        <v>14031</v>
      </c>
      <c r="D231" s="6">
        <f t="shared" si="15"/>
        <v>2338.5</v>
      </c>
      <c r="E231" t="str">
        <f t="shared" si="16"/>
        <v>Repeat</v>
      </c>
      <c r="F231" s="6">
        <f t="shared" si="19"/>
        <v>4568262</v>
      </c>
      <c r="G231" s="7">
        <f t="shared" si="17"/>
        <v>0.59740121835135351</v>
      </c>
      <c r="H231" t="str">
        <f t="shared" si="18"/>
        <v>Top Customers</v>
      </c>
    </row>
    <row r="232" spans="1:8" x14ac:dyDescent="0.25">
      <c r="A232">
        <v>1294</v>
      </c>
      <c r="B232" s="6">
        <f>COUNTIF(Raw_Data!A:A,A232)</f>
        <v>5</v>
      </c>
      <c r="C232" s="6">
        <f>SUMIFS(Raw_Data!G:G, Raw_Data!A:A, A232)</f>
        <v>13999</v>
      </c>
      <c r="D232" s="6">
        <f t="shared" si="15"/>
        <v>2799.8</v>
      </c>
      <c r="E232" t="str">
        <f t="shared" si="16"/>
        <v>Repeat</v>
      </c>
      <c r="F232" s="6">
        <f t="shared" si="19"/>
        <v>4582261</v>
      </c>
      <c r="G232" s="7">
        <f t="shared" si="17"/>
        <v>0.59923189698924695</v>
      </c>
      <c r="H232" t="str">
        <f t="shared" si="18"/>
        <v>Top Customers</v>
      </c>
    </row>
    <row r="233" spans="1:8" x14ac:dyDescent="0.25">
      <c r="A233">
        <v>1505</v>
      </c>
      <c r="B233" s="6">
        <f>COUNTIF(Raw_Data!A:A,A233)</f>
        <v>6</v>
      </c>
      <c r="C233" s="6">
        <f>SUMIFS(Raw_Data!G:G, Raw_Data!A:A, A233)</f>
        <v>13995</v>
      </c>
      <c r="D233" s="6">
        <f t="shared" si="15"/>
        <v>2332.5</v>
      </c>
      <c r="E233" t="str">
        <f t="shared" si="16"/>
        <v>Repeat</v>
      </c>
      <c r="F233" s="6">
        <f t="shared" si="19"/>
        <v>4596256</v>
      </c>
      <c r="G233" s="7">
        <f t="shared" si="17"/>
        <v>0.60106205253873768</v>
      </c>
      <c r="H233" t="str">
        <f t="shared" si="18"/>
        <v>Top Customers</v>
      </c>
    </row>
    <row r="234" spans="1:8" x14ac:dyDescent="0.25">
      <c r="A234">
        <v>1126</v>
      </c>
      <c r="B234" s="6">
        <f>COUNTIF(Raw_Data!A:A,A234)</f>
        <v>6</v>
      </c>
      <c r="C234" s="6">
        <f>SUMIFS(Raw_Data!G:G, Raw_Data!A:A, A234)</f>
        <v>13944</v>
      </c>
      <c r="D234" s="6">
        <f t="shared" si="15"/>
        <v>2324</v>
      </c>
      <c r="E234" t="str">
        <f t="shared" si="16"/>
        <v>Repeat</v>
      </c>
      <c r="F234" s="6">
        <f t="shared" si="19"/>
        <v>4610200</v>
      </c>
      <c r="G234" s="7">
        <f t="shared" si="17"/>
        <v>0.60288553871109185</v>
      </c>
      <c r="H234" t="str">
        <f t="shared" si="18"/>
        <v>Top Customers</v>
      </c>
    </row>
    <row r="235" spans="1:8" x14ac:dyDescent="0.25">
      <c r="A235">
        <v>1406</v>
      </c>
      <c r="B235" s="6">
        <f>COUNTIF(Raw_Data!A:A,A235)</f>
        <v>6</v>
      </c>
      <c r="C235" s="6">
        <f>SUMIFS(Raw_Data!G:G, Raw_Data!A:A, A235)</f>
        <v>13923</v>
      </c>
      <c r="D235" s="6">
        <f t="shared" si="15"/>
        <v>2320.5</v>
      </c>
      <c r="E235" t="str">
        <f t="shared" si="16"/>
        <v>Repeat</v>
      </c>
      <c r="F235" s="6">
        <f t="shared" si="19"/>
        <v>4624123</v>
      </c>
      <c r="G235" s="7">
        <f t="shared" si="17"/>
        <v>0.60470627866933113</v>
      </c>
      <c r="H235" t="str">
        <f t="shared" si="18"/>
        <v>Top Customers</v>
      </c>
    </row>
    <row r="236" spans="1:8" x14ac:dyDescent="0.25">
      <c r="A236">
        <v>1178</v>
      </c>
      <c r="B236" s="6">
        <f>COUNTIF(Raw_Data!A:A,A236)</f>
        <v>6</v>
      </c>
      <c r="C236" s="6">
        <f>SUMIFS(Raw_Data!G:G, Raw_Data!A:A, A236)</f>
        <v>13905</v>
      </c>
      <c r="D236" s="6">
        <f t="shared" si="15"/>
        <v>2317.5</v>
      </c>
      <c r="E236" t="str">
        <f t="shared" si="16"/>
        <v>Repeat</v>
      </c>
      <c r="F236" s="6">
        <f t="shared" si="19"/>
        <v>4638028</v>
      </c>
      <c r="G236" s="7">
        <f t="shared" si="17"/>
        <v>0.60652466472975752</v>
      </c>
      <c r="H236" t="str">
        <f t="shared" si="18"/>
        <v>Top Customers</v>
      </c>
    </row>
    <row r="237" spans="1:8" x14ac:dyDescent="0.25">
      <c r="A237">
        <v>1463</v>
      </c>
      <c r="B237" s="6">
        <f>COUNTIF(Raw_Data!A:A,A237)</f>
        <v>6</v>
      </c>
      <c r="C237" s="6">
        <f>SUMIFS(Raw_Data!G:G, Raw_Data!A:A, A237)</f>
        <v>13874</v>
      </c>
      <c r="D237" s="6">
        <f t="shared" si="15"/>
        <v>2312.3333333333335</v>
      </c>
      <c r="E237" t="str">
        <f t="shared" si="16"/>
        <v>Repeat</v>
      </c>
      <c r="F237" s="6">
        <f t="shared" si="19"/>
        <v>4651902</v>
      </c>
      <c r="G237" s="7">
        <f t="shared" si="17"/>
        <v>0.60833899685506176</v>
      </c>
      <c r="H237" t="str">
        <f t="shared" si="18"/>
        <v>Top Customers</v>
      </c>
    </row>
    <row r="238" spans="1:8" x14ac:dyDescent="0.25">
      <c r="A238">
        <v>1350</v>
      </c>
      <c r="B238" s="6">
        <f>COUNTIF(Raw_Data!A:A,A238)</f>
        <v>8</v>
      </c>
      <c r="C238" s="6">
        <f>SUMIFS(Raw_Data!G:G, Raw_Data!A:A, A238)</f>
        <v>13863</v>
      </c>
      <c r="D238" s="6">
        <f t="shared" si="15"/>
        <v>1732.875</v>
      </c>
      <c r="E238" t="str">
        <f t="shared" si="16"/>
        <v>Repeat</v>
      </c>
      <c r="F238" s="6">
        <f t="shared" si="19"/>
        <v>4665765</v>
      </c>
      <c r="G238" s="7">
        <f t="shared" si="17"/>
        <v>0.61015189048725815</v>
      </c>
      <c r="H238" t="str">
        <f t="shared" si="18"/>
        <v>Top Customers</v>
      </c>
    </row>
    <row r="239" spans="1:8" x14ac:dyDescent="0.25">
      <c r="A239">
        <v>1445</v>
      </c>
      <c r="B239" s="6">
        <f>COUNTIF(Raw_Data!A:A,A239)</f>
        <v>7</v>
      </c>
      <c r="C239" s="6">
        <f>SUMIFS(Raw_Data!G:G, Raw_Data!A:A, A239)</f>
        <v>13843</v>
      </c>
      <c r="D239" s="6">
        <f t="shared" si="15"/>
        <v>1977.5714285714287</v>
      </c>
      <c r="E239" t="str">
        <f t="shared" si="16"/>
        <v>Repeat</v>
      </c>
      <c r="F239" s="6">
        <f t="shared" si="19"/>
        <v>4679608</v>
      </c>
      <c r="G239" s="7">
        <f t="shared" si="17"/>
        <v>0.61196216867744024</v>
      </c>
      <c r="H239" t="str">
        <f t="shared" si="18"/>
        <v>Top Customers</v>
      </c>
    </row>
    <row r="240" spans="1:8" x14ac:dyDescent="0.25">
      <c r="A240">
        <v>1329</v>
      </c>
      <c r="B240" s="6">
        <f>COUNTIF(Raw_Data!A:A,A240)</f>
        <v>5</v>
      </c>
      <c r="C240" s="6">
        <f>SUMIFS(Raw_Data!G:G, Raw_Data!A:A, A240)</f>
        <v>13816</v>
      </c>
      <c r="D240" s="6">
        <f t="shared" si="15"/>
        <v>2763.2</v>
      </c>
      <c r="E240" t="str">
        <f t="shared" si="16"/>
        <v>Repeat</v>
      </c>
      <c r="F240" s="6">
        <f t="shared" si="19"/>
        <v>4693424</v>
      </c>
      <c r="G240" s="7">
        <f t="shared" si="17"/>
        <v>0.61376891602090311</v>
      </c>
      <c r="H240" t="str">
        <f t="shared" si="18"/>
        <v>Top Customers</v>
      </c>
    </row>
    <row r="241" spans="1:8" x14ac:dyDescent="0.25">
      <c r="A241">
        <v>1490</v>
      </c>
      <c r="B241" s="6">
        <f>COUNTIF(Raw_Data!A:A,A241)</f>
        <v>7</v>
      </c>
      <c r="C241" s="6">
        <f>SUMIFS(Raw_Data!G:G, Raw_Data!A:A, A241)</f>
        <v>13804</v>
      </c>
      <c r="D241" s="6">
        <f t="shared" si="15"/>
        <v>1972</v>
      </c>
      <c r="E241" t="str">
        <f t="shared" si="16"/>
        <v>Repeat</v>
      </c>
      <c r="F241" s="6">
        <f t="shared" si="19"/>
        <v>4707228</v>
      </c>
      <c r="G241" s="7">
        <f t="shared" si="17"/>
        <v>0.61557409409915742</v>
      </c>
      <c r="H241" t="str">
        <f t="shared" si="18"/>
        <v>Top Customers</v>
      </c>
    </row>
    <row r="242" spans="1:8" x14ac:dyDescent="0.25">
      <c r="A242">
        <v>1400</v>
      </c>
      <c r="B242" s="6">
        <f>COUNTIF(Raw_Data!A:A,A242)</f>
        <v>5</v>
      </c>
      <c r="C242" s="6">
        <f>SUMIFS(Raw_Data!G:G, Raw_Data!A:A, A242)</f>
        <v>13797</v>
      </c>
      <c r="D242" s="6">
        <f t="shared" si="15"/>
        <v>2759.4</v>
      </c>
      <c r="E242" t="str">
        <f t="shared" si="16"/>
        <v>Repeat</v>
      </c>
      <c r="F242" s="6">
        <f t="shared" si="19"/>
        <v>4721025</v>
      </c>
      <c r="G242" s="7">
        <f t="shared" si="17"/>
        <v>0.61737835677270669</v>
      </c>
      <c r="H242" t="str">
        <f t="shared" si="18"/>
        <v>Top Customers</v>
      </c>
    </row>
    <row r="243" spans="1:8" x14ac:dyDescent="0.25">
      <c r="A243">
        <v>1415</v>
      </c>
      <c r="B243" s="6">
        <f>COUNTIF(Raw_Data!A:A,A243)</f>
        <v>3</v>
      </c>
      <c r="C243" s="6">
        <f>SUMIFS(Raw_Data!G:G, Raw_Data!A:A, A243)</f>
        <v>13779</v>
      </c>
      <c r="D243" s="6">
        <f t="shared" si="15"/>
        <v>4593</v>
      </c>
      <c r="E243" t="str">
        <f t="shared" si="16"/>
        <v>Repeat</v>
      </c>
      <c r="F243" s="6">
        <f t="shared" si="19"/>
        <v>4734804</v>
      </c>
      <c r="G243" s="7">
        <f t="shared" si="17"/>
        <v>0.61918026554844319</v>
      </c>
      <c r="H243" t="str">
        <f t="shared" si="18"/>
        <v>Top Customers</v>
      </c>
    </row>
    <row r="244" spans="1:8" x14ac:dyDescent="0.25">
      <c r="A244">
        <v>1280</v>
      </c>
      <c r="B244" s="6">
        <f>COUNTIF(Raw_Data!A:A,A244)</f>
        <v>5</v>
      </c>
      <c r="C244" s="6">
        <f>SUMIFS(Raw_Data!G:G, Raw_Data!A:A, A244)</f>
        <v>13760</v>
      </c>
      <c r="D244" s="6">
        <f t="shared" si="15"/>
        <v>2752</v>
      </c>
      <c r="E244" t="str">
        <f t="shared" si="16"/>
        <v>Repeat</v>
      </c>
      <c r="F244" s="6">
        <f t="shared" si="19"/>
        <v>4748564</v>
      </c>
      <c r="G244" s="7">
        <f t="shared" si="17"/>
        <v>0.62097968965426598</v>
      </c>
      <c r="H244" t="str">
        <f t="shared" si="18"/>
        <v>Top Customers</v>
      </c>
    </row>
    <row r="245" spans="1:8" x14ac:dyDescent="0.25">
      <c r="A245">
        <v>1095</v>
      </c>
      <c r="B245" s="6">
        <f>COUNTIF(Raw_Data!A:A,A245)</f>
        <v>5</v>
      </c>
      <c r="C245" s="6">
        <f>SUMIFS(Raw_Data!G:G, Raw_Data!A:A, A245)</f>
        <v>13750</v>
      </c>
      <c r="D245" s="6">
        <f t="shared" si="15"/>
        <v>2750</v>
      </c>
      <c r="E245" t="str">
        <f t="shared" si="16"/>
        <v>Repeat</v>
      </c>
      <c r="F245" s="6">
        <f t="shared" si="19"/>
        <v>4762314</v>
      </c>
      <c r="G245" s="7">
        <f t="shared" si="17"/>
        <v>0.62277780603908173</v>
      </c>
      <c r="H245" t="str">
        <f t="shared" si="18"/>
        <v>Top Customers</v>
      </c>
    </row>
    <row r="246" spans="1:8" x14ac:dyDescent="0.25">
      <c r="A246">
        <v>1426</v>
      </c>
      <c r="B246" s="6">
        <f>COUNTIF(Raw_Data!A:A,A246)</f>
        <v>5</v>
      </c>
      <c r="C246" s="6">
        <f>SUMIFS(Raw_Data!G:G, Raw_Data!A:A, A246)</f>
        <v>13739</v>
      </c>
      <c r="D246" s="6">
        <f t="shared" si="15"/>
        <v>2747.8</v>
      </c>
      <c r="E246" t="str">
        <f t="shared" si="16"/>
        <v>Repeat</v>
      </c>
      <c r="F246" s="6">
        <f t="shared" si="19"/>
        <v>4776053</v>
      </c>
      <c r="G246" s="7">
        <f t="shared" si="17"/>
        <v>0.62457448393078963</v>
      </c>
      <c r="H246" t="str">
        <f t="shared" si="18"/>
        <v>Top Customers</v>
      </c>
    </row>
    <row r="247" spans="1:8" x14ac:dyDescent="0.25">
      <c r="A247">
        <v>1170</v>
      </c>
      <c r="B247" s="6">
        <f>COUNTIF(Raw_Data!A:A,A247)</f>
        <v>5</v>
      </c>
      <c r="C247" s="6">
        <f>SUMIFS(Raw_Data!G:G, Raw_Data!A:A, A247)</f>
        <v>13724</v>
      </c>
      <c r="D247" s="6">
        <f t="shared" si="15"/>
        <v>2744.8</v>
      </c>
      <c r="E247" t="str">
        <f t="shared" si="16"/>
        <v>Repeat</v>
      </c>
      <c r="F247" s="6">
        <f t="shared" si="19"/>
        <v>4789777</v>
      </c>
      <c r="G247" s="7">
        <f t="shared" si="17"/>
        <v>0.62636920024098686</v>
      </c>
      <c r="H247" t="str">
        <f t="shared" si="18"/>
        <v>Top Customers</v>
      </c>
    </row>
    <row r="248" spans="1:8" x14ac:dyDescent="0.25">
      <c r="A248">
        <v>1028</v>
      </c>
      <c r="B248" s="6">
        <f>COUNTIF(Raw_Data!A:A,A248)</f>
        <v>6</v>
      </c>
      <c r="C248" s="6">
        <f>SUMIFS(Raw_Data!G:G, Raw_Data!A:A, A248)</f>
        <v>13704</v>
      </c>
      <c r="D248" s="6">
        <f t="shared" si="15"/>
        <v>2284</v>
      </c>
      <c r="E248" t="str">
        <f t="shared" si="16"/>
        <v>Repeat</v>
      </c>
      <c r="F248" s="6">
        <f t="shared" si="19"/>
        <v>4803481</v>
      </c>
      <c r="G248" s="7">
        <f t="shared" si="17"/>
        <v>0.62816130110916968</v>
      </c>
      <c r="H248" t="str">
        <f t="shared" si="18"/>
        <v>Top Customers</v>
      </c>
    </row>
    <row r="249" spans="1:8" x14ac:dyDescent="0.25">
      <c r="A249">
        <v>1499</v>
      </c>
      <c r="B249" s="6">
        <f>COUNTIF(Raw_Data!A:A,A249)</f>
        <v>5</v>
      </c>
      <c r="C249" s="6">
        <f>SUMIFS(Raw_Data!G:G, Raw_Data!A:A, A249)</f>
        <v>13680</v>
      </c>
      <c r="D249" s="6">
        <f t="shared" si="15"/>
        <v>2736</v>
      </c>
      <c r="E249" t="str">
        <f t="shared" si="16"/>
        <v>Repeat</v>
      </c>
      <c r="F249" s="6">
        <f t="shared" si="19"/>
        <v>4817161</v>
      </c>
      <c r="G249" s="7">
        <f t="shared" si="17"/>
        <v>0.6299502634469355</v>
      </c>
      <c r="H249" t="str">
        <f t="shared" si="18"/>
        <v>Top Customers</v>
      </c>
    </row>
    <row r="250" spans="1:8" x14ac:dyDescent="0.25">
      <c r="A250">
        <v>1503</v>
      </c>
      <c r="B250" s="6">
        <f>COUNTIF(Raw_Data!A:A,A250)</f>
        <v>4</v>
      </c>
      <c r="C250" s="6">
        <f>SUMIFS(Raw_Data!G:G, Raw_Data!A:A, A250)</f>
        <v>13675</v>
      </c>
      <c r="D250" s="6">
        <f t="shared" si="15"/>
        <v>3418.75</v>
      </c>
      <c r="E250" t="str">
        <f t="shared" si="16"/>
        <v>Repeat</v>
      </c>
      <c r="F250" s="6">
        <f t="shared" si="19"/>
        <v>4830836</v>
      </c>
      <c r="G250" s="7">
        <f t="shared" si="17"/>
        <v>0.63173857192419769</v>
      </c>
      <c r="H250" t="str">
        <f t="shared" si="18"/>
        <v>Top Customers</v>
      </c>
    </row>
    <row r="251" spans="1:8" x14ac:dyDescent="0.25">
      <c r="A251">
        <v>1083</v>
      </c>
      <c r="B251" s="6">
        <f>COUNTIF(Raw_Data!A:A,A251)</f>
        <v>5</v>
      </c>
      <c r="C251" s="6">
        <f>SUMIFS(Raw_Data!G:G, Raw_Data!A:A, A251)</f>
        <v>13634</v>
      </c>
      <c r="D251" s="6">
        <f t="shared" si="15"/>
        <v>2726.8</v>
      </c>
      <c r="E251" t="str">
        <f t="shared" si="16"/>
        <v>Repeat</v>
      </c>
      <c r="F251" s="6">
        <f t="shared" si="19"/>
        <v>4844470</v>
      </c>
      <c r="G251" s="7">
        <f t="shared" si="17"/>
        <v>0.63352151874533058</v>
      </c>
      <c r="H251" t="str">
        <f t="shared" si="18"/>
        <v>Top Customers</v>
      </c>
    </row>
    <row r="252" spans="1:8" x14ac:dyDescent="0.25">
      <c r="A252">
        <v>1107</v>
      </c>
      <c r="B252" s="6">
        <f>COUNTIF(Raw_Data!A:A,A252)</f>
        <v>5</v>
      </c>
      <c r="C252" s="6">
        <f>SUMIFS(Raw_Data!G:G, Raw_Data!A:A, A252)</f>
        <v>13509</v>
      </c>
      <c r="D252" s="6">
        <f t="shared" si="15"/>
        <v>2701.8</v>
      </c>
      <c r="E252" t="str">
        <f t="shared" si="16"/>
        <v>Repeat</v>
      </c>
      <c r="F252" s="6">
        <f t="shared" si="19"/>
        <v>4857979</v>
      </c>
      <c r="G252" s="7">
        <f t="shared" si="17"/>
        <v>0.63528811905387428</v>
      </c>
      <c r="H252" t="str">
        <f t="shared" si="18"/>
        <v>Top Customers</v>
      </c>
    </row>
    <row r="253" spans="1:8" x14ac:dyDescent="0.25">
      <c r="A253">
        <v>1013</v>
      </c>
      <c r="B253" s="6">
        <f>COUNTIF(Raw_Data!A:A,A253)</f>
        <v>5</v>
      </c>
      <c r="C253" s="6">
        <f>SUMIFS(Raw_Data!G:G, Raw_Data!A:A, A253)</f>
        <v>13503</v>
      </c>
      <c r="D253" s="6">
        <f t="shared" si="15"/>
        <v>2700.6</v>
      </c>
      <c r="E253" t="str">
        <f t="shared" si="16"/>
        <v>Repeat</v>
      </c>
      <c r="F253" s="6">
        <f t="shared" si="19"/>
        <v>4871482</v>
      </c>
      <c r="G253" s="7">
        <f t="shared" si="17"/>
        <v>0.63705393472981375</v>
      </c>
      <c r="H253" t="str">
        <f t="shared" si="18"/>
        <v>Top Customers</v>
      </c>
    </row>
    <row r="254" spans="1:8" x14ac:dyDescent="0.25">
      <c r="A254">
        <v>1274</v>
      </c>
      <c r="B254" s="6">
        <f>COUNTIF(Raw_Data!A:A,A254)</f>
        <v>4</v>
      </c>
      <c r="C254" s="6">
        <f>SUMIFS(Raw_Data!G:G, Raw_Data!A:A, A254)</f>
        <v>13382</v>
      </c>
      <c r="D254" s="6">
        <f t="shared" si="15"/>
        <v>3345.5</v>
      </c>
      <c r="E254" t="str">
        <f t="shared" si="16"/>
        <v>Repeat</v>
      </c>
      <c r="F254" s="6">
        <f t="shared" si="19"/>
        <v>4884864</v>
      </c>
      <c r="G254" s="7">
        <f t="shared" si="17"/>
        <v>0.63880392698156674</v>
      </c>
      <c r="H254" t="str">
        <f t="shared" si="18"/>
        <v>Top Customers</v>
      </c>
    </row>
    <row r="255" spans="1:8" x14ac:dyDescent="0.25">
      <c r="A255">
        <v>1088</v>
      </c>
      <c r="B255" s="6">
        <f>COUNTIF(Raw_Data!A:A,A255)</f>
        <v>5</v>
      </c>
      <c r="C255" s="6">
        <f>SUMIFS(Raw_Data!G:G, Raw_Data!A:A, A255)</f>
        <v>13372</v>
      </c>
      <c r="D255" s="6">
        <f t="shared" si="15"/>
        <v>2674.4</v>
      </c>
      <c r="E255" t="str">
        <f t="shared" si="16"/>
        <v>Repeat</v>
      </c>
      <c r="F255" s="6">
        <f t="shared" si="19"/>
        <v>4898236</v>
      </c>
      <c r="G255" s="7">
        <f t="shared" si="17"/>
        <v>0.64055261151231269</v>
      </c>
      <c r="H255" t="str">
        <f t="shared" si="18"/>
        <v>Top Customers</v>
      </c>
    </row>
    <row r="256" spans="1:8" x14ac:dyDescent="0.25">
      <c r="A256">
        <v>1579</v>
      </c>
      <c r="B256" s="6">
        <f>COUNTIF(Raw_Data!A:A,A256)</f>
        <v>6</v>
      </c>
      <c r="C256" s="6">
        <f>SUMIFS(Raw_Data!G:G, Raw_Data!A:A, A256)</f>
        <v>13349</v>
      </c>
      <c r="D256" s="6">
        <f t="shared" si="15"/>
        <v>2224.8333333333335</v>
      </c>
      <c r="E256" t="str">
        <f t="shared" si="16"/>
        <v>Repeat</v>
      </c>
      <c r="F256" s="6">
        <f t="shared" si="19"/>
        <v>4911585</v>
      </c>
      <c r="G256" s="7">
        <f t="shared" si="17"/>
        <v>0.64229828828474211</v>
      </c>
      <c r="H256" t="str">
        <f t="shared" si="18"/>
        <v>Top Customers</v>
      </c>
    </row>
    <row r="257" spans="1:8" x14ac:dyDescent="0.25">
      <c r="A257">
        <v>1326</v>
      </c>
      <c r="B257" s="6">
        <f>COUNTIF(Raw_Data!A:A,A257)</f>
        <v>4</v>
      </c>
      <c r="C257" s="6">
        <f>SUMIFS(Raw_Data!G:G, Raw_Data!A:A, A257)</f>
        <v>13263</v>
      </c>
      <c r="D257" s="6">
        <f t="shared" si="15"/>
        <v>3315.75</v>
      </c>
      <c r="E257" t="str">
        <f t="shared" si="16"/>
        <v>Repeat</v>
      </c>
      <c r="F257" s="6">
        <f t="shared" si="19"/>
        <v>4924848</v>
      </c>
      <c r="G257" s="7">
        <f t="shared" si="17"/>
        <v>0.64403271865651024</v>
      </c>
      <c r="H257" t="str">
        <f t="shared" si="18"/>
        <v>Top Customers</v>
      </c>
    </row>
    <row r="258" spans="1:8" x14ac:dyDescent="0.25">
      <c r="A258">
        <v>1204</v>
      </c>
      <c r="B258" s="6">
        <f>COUNTIF(Raw_Data!A:A,A258)</f>
        <v>4</v>
      </c>
      <c r="C258" s="6">
        <f>SUMIFS(Raw_Data!G:G, Raw_Data!A:A, A258)</f>
        <v>13245</v>
      </c>
      <c r="D258" s="6">
        <f t="shared" ref="D258:D321" si="20">C258/B258</f>
        <v>3311.25</v>
      </c>
      <c r="E258" t="str">
        <f t="shared" ref="E258:E321" si="21">IF(B258&gt;1,"Repeat","New")</f>
        <v>Repeat</v>
      </c>
      <c r="F258" s="6">
        <f t="shared" si="19"/>
        <v>4938093</v>
      </c>
      <c r="G258" s="7">
        <f t="shared" si="17"/>
        <v>0.64576479513046547</v>
      </c>
      <c r="H258" t="str">
        <f t="shared" si="18"/>
        <v>Top Customers</v>
      </c>
    </row>
    <row r="259" spans="1:8" x14ac:dyDescent="0.25">
      <c r="A259">
        <v>1371</v>
      </c>
      <c r="B259" s="6">
        <f>COUNTIF(Raw_Data!A:A,A259)</f>
        <v>5</v>
      </c>
      <c r="C259" s="6">
        <f>SUMIFS(Raw_Data!G:G, Raw_Data!A:A, A259)</f>
        <v>13216</v>
      </c>
      <c r="D259" s="6">
        <f t="shared" si="20"/>
        <v>2643.2</v>
      </c>
      <c r="E259" t="str">
        <f t="shared" si="21"/>
        <v>Repeat</v>
      </c>
      <c r="F259" s="6">
        <f t="shared" si="19"/>
        <v>4951309</v>
      </c>
      <c r="G259" s="7">
        <f t="shared" ref="G259:G322" si="22">F259/SUM($C:$C)</f>
        <v>0.64749307921349997</v>
      </c>
      <c r="H259" t="str">
        <f t="shared" ref="H259:H322" si="23">IF(G259&lt;=0.8,"Top Customers","Others")</f>
        <v>Top Customers</v>
      </c>
    </row>
    <row r="260" spans="1:8" x14ac:dyDescent="0.25">
      <c r="A260">
        <v>1542</v>
      </c>
      <c r="B260" s="6">
        <f>COUNTIF(Raw_Data!A:A,A260)</f>
        <v>6</v>
      </c>
      <c r="C260" s="6">
        <f>SUMIFS(Raw_Data!G:G, Raw_Data!A:A, A260)</f>
        <v>13200</v>
      </c>
      <c r="D260" s="6">
        <f t="shared" si="20"/>
        <v>2200</v>
      </c>
      <c r="E260" t="str">
        <f t="shared" si="21"/>
        <v>Repeat</v>
      </c>
      <c r="F260" s="6">
        <f t="shared" ref="F260:F323" si="24">F259+C260</f>
        <v>4964509</v>
      </c>
      <c r="G260" s="7">
        <f t="shared" si="22"/>
        <v>0.64921927094292309</v>
      </c>
      <c r="H260" t="str">
        <f t="shared" si="23"/>
        <v>Top Customers</v>
      </c>
    </row>
    <row r="261" spans="1:8" x14ac:dyDescent="0.25">
      <c r="A261">
        <v>1157</v>
      </c>
      <c r="B261" s="6">
        <f>COUNTIF(Raw_Data!A:A,A261)</f>
        <v>6</v>
      </c>
      <c r="C261" s="6">
        <f>SUMIFS(Raw_Data!G:G, Raw_Data!A:A, A261)</f>
        <v>13077</v>
      </c>
      <c r="D261" s="6">
        <f t="shared" si="20"/>
        <v>2179.5</v>
      </c>
      <c r="E261" t="str">
        <f t="shared" si="21"/>
        <v>Repeat</v>
      </c>
      <c r="F261" s="6">
        <f t="shared" si="24"/>
        <v>4977586</v>
      </c>
      <c r="G261" s="7">
        <f t="shared" si="22"/>
        <v>0.65092937770395842</v>
      </c>
      <c r="H261" t="str">
        <f t="shared" si="23"/>
        <v>Top Customers</v>
      </c>
    </row>
    <row r="262" spans="1:8" x14ac:dyDescent="0.25">
      <c r="A262">
        <v>1111</v>
      </c>
      <c r="B262" s="6">
        <f>COUNTIF(Raw_Data!A:A,A262)</f>
        <v>7</v>
      </c>
      <c r="C262" s="6">
        <f>SUMIFS(Raw_Data!G:G, Raw_Data!A:A, A262)</f>
        <v>13045</v>
      </c>
      <c r="D262" s="6">
        <f t="shared" si="20"/>
        <v>1863.5714285714287</v>
      </c>
      <c r="E262" t="str">
        <f t="shared" si="21"/>
        <v>Repeat</v>
      </c>
      <c r="F262" s="6">
        <f t="shared" si="24"/>
        <v>4990631</v>
      </c>
      <c r="G262" s="7">
        <f t="shared" si="22"/>
        <v>0.65263529975777079</v>
      </c>
      <c r="H262" t="str">
        <f t="shared" si="23"/>
        <v>Top Customers</v>
      </c>
    </row>
    <row r="263" spans="1:8" x14ac:dyDescent="0.25">
      <c r="A263">
        <v>1089</v>
      </c>
      <c r="B263" s="6">
        <f>COUNTIF(Raw_Data!A:A,A263)</f>
        <v>5</v>
      </c>
      <c r="C263" s="6">
        <f>SUMIFS(Raw_Data!G:G, Raw_Data!A:A, A263)</f>
        <v>13018</v>
      </c>
      <c r="D263" s="6">
        <f t="shared" si="20"/>
        <v>2603.6</v>
      </c>
      <c r="E263" t="str">
        <f t="shared" si="21"/>
        <v>Repeat</v>
      </c>
      <c r="F263" s="6">
        <f t="shared" si="24"/>
        <v>5003649</v>
      </c>
      <c r="G263" s="7">
        <f t="shared" si="22"/>
        <v>0.65433769096486405</v>
      </c>
      <c r="H263" t="str">
        <f t="shared" si="23"/>
        <v>Top Customers</v>
      </c>
    </row>
    <row r="264" spans="1:8" x14ac:dyDescent="0.25">
      <c r="A264">
        <v>1408</v>
      </c>
      <c r="B264" s="6">
        <f>COUNTIF(Raw_Data!A:A,A264)</f>
        <v>6</v>
      </c>
      <c r="C264" s="6">
        <f>SUMIFS(Raw_Data!G:G, Raw_Data!A:A, A264)</f>
        <v>12997</v>
      </c>
      <c r="D264" s="6">
        <f t="shared" si="20"/>
        <v>2166.1666666666665</v>
      </c>
      <c r="E264" t="str">
        <f t="shared" si="21"/>
        <v>Repeat</v>
      </c>
      <c r="F264" s="6">
        <f t="shared" si="24"/>
        <v>5016646</v>
      </c>
      <c r="G264" s="7">
        <f t="shared" si="22"/>
        <v>0.65603733595784219</v>
      </c>
      <c r="H264" t="str">
        <f t="shared" si="23"/>
        <v>Top Customers</v>
      </c>
    </row>
    <row r="265" spans="1:8" x14ac:dyDescent="0.25">
      <c r="A265">
        <v>1025</v>
      </c>
      <c r="B265" s="6">
        <f>COUNTIF(Raw_Data!A:A,A265)</f>
        <v>6</v>
      </c>
      <c r="C265" s="6">
        <f>SUMIFS(Raw_Data!G:G, Raw_Data!A:A, A265)</f>
        <v>12953</v>
      </c>
      <c r="D265" s="6">
        <f t="shared" si="20"/>
        <v>2158.8333333333335</v>
      </c>
      <c r="E265" t="str">
        <f t="shared" si="21"/>
        <v>Repeat</v>
      </c>
      <c r="F265" s="6">
        <f t="shared" si="24"/>
        <v>5029599</v>
      </c>
      <c r="G265" s="7">
        <f t="shared" si="22"/>
        <v>0.65773122697838904</v>
      </c>
      <c r="H265" t="str">
        <f t="shared" si="23"/>
        <v>Top Customers</v>
      </c>
    </row>
    <row r="266" spans="1:8" x14ac:dyDescent="0.25">
      <c r="A266">
        <v>1578</v>
      </c>
      <c r="B266" s="6">
        <f>COUNTIF(Raw_Data!A:A,A266)</f>
        <v>5</v>
      </c>
      <c r="C266" s="6">
        <f>SUMIFS(Raw_Data!G:G, Raw_Data!A:A, A266)</f>
        <v>12886</v>
      </c>
      <c r="D266" s="6">
        <f t="shared" si="20"/>
        <v>2577.1999999999998</v>
      </c>
      <c r="E266" t="str">
        <f t="shared" si="21"/>
        <v>Repeat</v>
      </c>
      <c r="F266" s="6">
        <f t="shared" si="24"/>
        <v>5042485</v>
      </c>
      <c r="G266" s="7">
        <f t="shared" si="22"/>
        <v>0.65941635626818795</v>
      </c>
      <c r="H266" t="str">
        <f t="shared" si="23"/>
        <v>Top Customers</v>
      </c>
    </row>
    <row r="267" spans="1:8" x14ac:dyDescent="0.25">
      <c r="A267">
        <v>1266</v>
      </c>
      <c r="B267" s="6">
        <f>COUNTIF(Raw_Data!A:A,A267)</f>
        <v>3</v>
      </c>
      <c r="C267" s="6">
        <f>SUMIFS(Raw_Data!G:G, Raw_Data!A:A, A267)</f>
        <v>12862</v>
      </c>
      <c r="D267" s="6">
        <f t="shared" si="20"/>
        <v>4287.333333333333</v>
      </c>
      <c r="E267" t="str">
        <f t="shared" si="21"/>
        <v>Repeat</v>
      </c>
      <c r="F267" s="6">
        <f t="shared" si="24"/>
        <v>5055347</v>
      </c>
      <c r="G267" s="7">
        <f t="shared" si="22"/>
        <v>0.66109834702756975</v>
      </c>
      <c r="H267" t="str">
        <f t="shared" si="23"/>
        <v>Top Customers</v>
      </c>
    </row>
    <row r="268" spans="1:8" x14ac:dyDescent="0.25">
      <c r="A268">
        <v>1164</v>
      </c>
      <c r="B268" s="6">
        <f>COUNTIF(Raw_Data!A:A,A268)</f>
        <v>4</v>
      </c>
      <c r="C268" s="6">
        <f>SUMIFS(Raw_Data!G:G, Raw_Data!A:A, A268)</f>
        <v>12842</v>
      </c>
      <c r="D268" s="6">
        <f t="shared" si="20"/>
        <v>3210.5</v>
      </c>
      <c r="E268" t="str">
        <f t="shared" si="21"/>
        <v>Repeat</v>
      </c>
      <c r="F268" s="6">
        <f t="shared" si="24"/>
        <v>5068189</v>
      </c>
      <c r="G268" s="7">
        <f t="shared" si="22"/>
        <v>0.66277772234493726</v>
      </c>
      <c r="H268" t="str">
        <f t="shared" si="23"/>
        <v>Top Customers</v>
      </c>
    </row>
    <row r="269" spans="1:8" x14ac:dyDescent="0.25">
      <c r="A269">
        <v>1103</v>
      </c>
      <c r="B269" s="6">
        <f>COUNTIF(Raw_Data!A:A,A269)</f>
        <v>5</v>
      </c>
      <c r="C269" s="6">
        <f>SUMIFS(Raw_Data!G:G, Raw_Data!A:A, A269)</f>
        <v>12826</v>
      </c>
      <c r="D269" s="6">
        <f t="shared" si="20"/>
        <v>2565.1999999999998</v>
      </c>
      <c r="E269" t="str">
        <f t="shared" si="21"/>
        <v>Repeat</v>
      </c>
      <c r="F269" s="6">
        <f t="shared" si="24"/>
        <v>5081015</v>
      </c>
      <c r="G269" s="7">
        <f t="shared" si="22"/>
        <v>0.66445500530869339</v>
      </c>
      <c r="H269" t="str">
        <f t="shared" si="23"/>
        <v>Top Customers</v>
      </c>
    </row>
    <row r="270" spans="1:8" x14ac:dyDescent="0.25">
      <c r="A270">
        <v>1581</v>
      </c>
      <c r="B270" s="6">
        <f>COUNTIF(Raw_Data!A:A,A270)</f>
        <v>6</v>
      </c>
      <c r="C270" s="6">
        <f>SUMIFS(Raw_Data!G:G, Raw_Data!A:A, A270)</f>
        <v>12823</v>
      </c>
      <c r="D270" s="6">
        <f t="shared" si="20"/>
        <v>2137.1666666666665</v>
      </c>
      <c r="E270" t="str">
        <f t="shared" si="21"/>
        <v>Repeat</v>
      </c>
      <c r="F270" s="6">
        <f t="shared" si="24"/>
        <v>5093838</v>
      </c>
      <c r="G270" s="7">
        <f t="shared" si="22"/>
        <v>0.66613189595614741</v>
      </c>
      <c r="H270" t="str">
        <f t="shared" si="23"/>
        <v>Top Customers</v>
      </c>
    </row>
    <row r="271" spans="1:8" x14ac:dyDescent="0.25">
      <c r="A271">
        <v>1015</v>
      </c>
      <c r="B271" s="6">
        <f>COUNTIF(Raw_Data!A:A,A271)</f>
        <v>5</v>
      </c>
      <c r="C271" s="6">
        <f>SUMIFS(Raw_Data!G:G, Raw_Data!A:A, A271)</f>
        <v>12815</v>
      </c>
      <c r="D271" s="6">
        <f t="shared" si="20"/>
        <v>2563</v>
      </c>
      <c r="E271" t="str">
        <f t="shared" si="21"/>
        <v>Repeat</v>
      </c>
      <c r="F271" s="6">
        <f t="shared" si="24"/>
        <v>5106653</v>
      </c>
      <c r="G271" s="7">
        <f t="shared" si="22"/>
        <v>0.66780774042679569</v>
      </c>
      <c r="H271" t="str">
        <f t="shared" si="23"/>
        <v>Top Customers</v>
      </c>
    </row>
    <row r="272" spans="1:8" x14ac:dyDescent="0.25">
      <c r="A272">
        <v>1529</v>
      </c>
      <c r="B272" s="6">
        <f>COUNTIF(Raw_Data!A:A,A272)</f>
        <v>4</v>
      </c>
      <c r="C272" s="6">
        <f>SUMIFS(Raw_Data!G:G, Raw_Data!A:A, A272)</f>
        <v>12797</v>
      </c>
      <c r="D272" s="6">
        <f t="shared" si="20"/>
        <v>3199.25</v>
      </c>
      <c r="E272" t="str">
        <f t="shared" si="21"/>
        <v>Repeat</v>
      </c>
      <c r="F272" s="6">
        <f t="shared" si="24"/>
        <v>5119450</v>
      </c>
      <c r="G272" s="7">
        <f t="shared" si="22"/>
        <v>0.66948123099963108</v>
      </c>
      <c r="H272" t="str">
        <f t="shared" si="23"/>
        <v>Top Customers</v>
      </c>
    </row>
    <row r="273" spans="1:8" x14ac:dyDescent="0.25">
      <c r="A273">
        <v>1508</v>
      </c>
      <c r="B273" s="6">
        <f>COUNTIF(Raw_Data!A:A,A273)</f>
        <v>6</v>
      </c>
      <c r="C273" s="6">
        <f>SUMIFS(Raw_Data!G:G, Raw_Data!A:A, A273)</f>
        <v>12789</v>
      </c>
      <c r="D273" s="6">
        <f t="shared" si="20"/>
        <v>2131.5</v>
      </c>
      <c r="E273" t="str">
        <f t="shared" si="21"/>
        <v>Repeat</v>
      </c>
      <c r="F273" s="6">
        <f t="shared" si="24"/>
        <v>5132239</v>
      </c>
      <c r="G273" s="7">
        <f t="shared" si="22"/>
        <v>0.67115367539566084</v>
      </c>
      <c r="H273" t="str">
        <f t="shared" si="23"/>
        <v>Top Customers</v>
      </c>
    </row>
    <row r="274" spans="1:8" x14ac:dyDescent="0.25">
      <c r="A274">
        <v>1141</v>
      </c>
      <c r="B274" s="6">
        <f>COUNTIF(Raw_Data!A:A,A274)</f>
        <v>7</v>
      </c>
      <c r="C274" s="6">
        <f>SUMIFS(Raw_Data!G:G, Raw_Data!A:A, A274)</f>
        <v>12706</v>
      </c>
      <c r="D274" s="6">
        <f t="shared" si="20"/>
        <v>1815.1428571428571</v>
      </c>
      <c r="E274" t="str">
        <f t="shared" si="21"/>
        <v>Repeat</v>
      </c>
      <c r="F274" s="6">
        <f t="shared" si="24"/>
        <v>5144945</v>
      </c>
      <c r="G274" s="7">
        <f t="shared" si="22"/>
        <v>0.6728152657073313</v>
      </c>
      <c r="H274" t="str">
        <f t="shared" si="23"/>
        <v>Top Customers</v>
      </c>
    </row>
    <row r="275" spans="1:8" x14ac:dyDescent="0.25">
      <c r="A275">
        <v>1321</v>
      </c>
      <c r="B275" s="6">
        <f>COUNTIF(Raw_Data!A:A,A275)</f>
        <v>4</v>
      </c>
      <c r="C275" s="6">
        <f>SUMIFS(Raw_Data!G:G, Raw_Data!A:A, A275)</f>
        <v>12699</v>
      </c>
      <c r="D275" s="6">
        <f t="shared" si="20"/>
        <v>3174.75</v>
      </c>
      <c r="E275" t="str">
        <f t="shared" si="21"/>
        <v>Repeat</v>
      </c>
      <c r="F275" s="6">
        <f t="shared" si="24"/>
        <v>5157644</v>
      </c>
      <c r="G275" s="7">
        <f t="shared" si="22"/>
        <v>0.67447594061429672</v>
      </c>
      <c r="H275" t="str">
        <f t="shared" si="23"/>
        <v>Top Customers</v>
      </c>
    </row>
    <row r="276" spans="1:8" x14ac:dyDescent="0.25">
      <c r="A276">
        <v>1488</v>
      </c>
      <c r="B276" s="6">
        <f>COUNTIF(Raw_Data!A:A,A276)</f>
        <v>5</v>
      </c>
      <c r="C276" s="6">
        <f>SUMIFS(Raw_Data!G:G, Raw_Data!A:A, A276)</f>
        <v>12679</v>
      </c>
      <c r="D276" s="6">
        <f t="shared" si="20"/>
        <v>2535.8000000000002</v>
      </c>
      <c r="E276" t="str">
        <f t="shared" si="21"/>
        <v>Repeat</v>
      </c>
      <c r="F276" s="6">
        <f t="shared" si="24"/>
        <v>5170323</v>
      </c>
      <c r="G276" s="7">
        <f t="shared" si="22"/>
        <v>0.67613400007924784</v>
      </c>
      <c r="H276" t="str">
        <f t="shared" si="23"/>
        <v>Top Customers</v>
      </c>
    </row>
    <row r="277" spans="1:8" x14ac:dyDescent="0.25">
      <c r="A277">
        <v>1425</v>
      </c>
      <c r="B277" s="6">
        <f>COUNTIF(Raw_Data!A:A,A277)</f>
        <v>5</v>
      </c>
      <c r="C277" s="6">
        <f>SUMIFS(Raw_Data!G:G, Raw_Data!A:A, A277)</f>
        <v>12641</v>
      </c>
      <c r="D277" s="6">
        <f t="shared" si="20"/>
        <v>2528.1999999999998</v>
      </c>
      <c r="E277" t="str">
        <f t="shared" si="21"/>
        <v>Repeat</v>
      </c>
      <c r="F277" s="6">
        <f t="shared" si="24"/>
        <v>5182964</v>
      </c>
      <c r="G277" s="7">
        <f t="shared" si="22"/>
        <v>0.677787090204372</v>
      </c>
      <c r="H277" t="str">
        <f t="shared" si="23"/>
        <v>Top Customers</v>
      </c>
    </row>
    <row r="278" spans="1:8" x14ac:dyDescent="0.25">
      <c r="A278">
        <v>1293</v>
      </c>
      <c r="B278" s="6">
        <f>COUNTIF(Raw_Data!A:A,A278)</f>
        <v>5</v>
      </c>
      <c r="C278" s="6">
        <f>SUMIFS(Raw_Data!G:G, Raw_Data!A:A, A278)</f>
        <v>12633</v>
      </c>
      <c r="D278" s="6">
        <f t="shared" si="20"/>
        <v>2526.6</v>
      </c>
      <c r="E278" t="str">
        <f t="shared" si="21"/>
        <v>Repeat</v>
      </c>
      <c r="F278" s="6">
        <f t="shared" si="24"/>
        <v>5195597</v>
      </c>
      <c r="G278" s="7">
        <f t="shared" si="22"/>
        <v>0.6794391341526903</v>
      </c>
      <c r="H278" t="str">
        <f t="shared" si="23"/>
        <v>Top Customers</v>
      </c>
    </row>
    <row r="279" spans="1:8" x14ac:dyDescent="0.25">
      <c r="A279">
        <v>1353</v>
      </c>
      <c r="B279" s="6">
        <f>COUNTIF(Raw_Data!A:A,A279)</f>
        <v>6</v>
      </c>
      <c r="C279" s="6">
        <f>SUMIFS(Raw_Data!G:G, Raw_Data!A:A, A279)</f>
        <v>12627</v>
      </c>
      <c r="D279" s="6">
        <f t="shared" si="20"/>
        <v>2104.5</v>
      </c>
      <c r="E279" t="str">
        <f t="shared" si="21"/>
        <v>Repeat</v>
      </c>
      <c r="F279" s="6">
        <f t="shared" si="24"/>
        <v>5208224</v>
      </c>
      <c r="G279" s="7">
        <f t="shared" si="22"/>
        <v>0.68109039346840439</v>
      </c>
      <c r="H279" t="str">
        <f t="shared" si="23"/>
        <v>Top Customers</v>
      </c>
    </row>
    <row r="280" spans="1:8" x14ac:dyDescent="0.25">
      <c r="A280">
        <v>1493</v>
      </c>
      <c r="B280" s="6">
        <f>COUNTIF(Raw_Data!A:A,A280)</f>
        <v>5</v>
      </c>
      <c r="C280" s="6">
        <f>SUMIFS(Raw_Data!G:G, Raw_Data!A:A, A280)</f>
        <v>12578</v>
      </c>
      <c r="D280" s="6">
        <f t="shared" si="20"/>
        <v>2515.6</v>
      </c>
      <c r="E280" t="str">
        <f t="shared" si="21"/>
        <v>Repeat</v>
      </c>
      <c r="F280" s="6">
        <f t="shared" si="24"/>
        <v>5220802</v>
      </c>
      <c r="G280" s="7">
        <f t="shared" si="22"/>
        <v>0.68273524495118343</v>
      </c>
      <c r="H280" t="str">
        <f t="shared" si="23"/>
        <v>Top Customers</v>
      </c>
    </row>
    <row r="281" spans="1:8" x14ac:dyDescent="0.25">
      <c r="A281">
        <v>1065</v>
      </c>
      <c r="B281" s="6">
        <f>COUNTIF(Raw_Data!A:A,A281)</f>
        <v>6</v>
      </c>
      <c r="C281" s="6">
        <f>SUMIFS(Raw_Data!G:G, Raw_Data!A:A, A281)</f>
        <v>12535</v>
      </c>
      <c r="D281" s="6">
        <f t="shared" si="20"/>
        <v>2089.1666666666665</v>
      </c>
      <c r="E281" t="str">
        <f t="shared" si="21"/>
        <v>Repeat</v>
      </c>
      <c r="F281" s="6">
        <f t="shared" si="24"/>
        <v>5233337</v>
      </c>
      <c r="G281" s="7">
        <f t="shared" si="22"/>
        <v>0.68437447323363176</v>
      </c>
      <c r="H281" t="str">
        <f t="shared" si="23"/>
        <v>Top Customers</v>
      </c>
    </row>
    <row r="282" spans="1:8" x14ac:dyDescent="0.25">
      <c r="A282">
        <v>1553</v>
      </c>
      <c r="B282" s="6">
        <f>COUNTIF(Raw_Data!A:A,A282)</f>
        <v>4</v>
      </c>
      <c r="C282" s="6">
        <f>SUMIFS(Raw_Data!G:G, Raw_Data!A:A, A282)</f>
        <v>12526</v>
      </c>
      <c r="D282" s="6">
        <f t="shared" si="20"/>
        <v>3131.5</v>
      </c>
      <c r="E282" t="str">
        <f t="shared" si="21"/>
        <v>Repeat</v>
      </c>
      <c r="F282" s="6">
        <f t="shared" si="24"/>
        <v>5245863</v>
      </c>
      <c r="G282" s="7">
        <f t="shared" si="22"/>
        <v>0.68601252456717376</v>
      </c>
      <c r="H282" t="str">
        <f t="shared" si="23"/>
        <v>Top Customers</v>
      </c>
    </row>
    <row r="283" spans="1:8" x14ac:dyDescent="0.25">
      <c r="A283">
        <v>1562</v>
      </c>
      <c r="B283" s="6">
        <f>COUNTIF(Raw_Data!A:A,A283)</f>
        <v>6</v>
      </c>
      <c r="C283" s="6">
        <f>SUMIFS(Raw_Data!G:G, Raw_Data!A:A, A283)</f>
        <v>12513</v>
      </c>
      <c r="D283" s="6">
        <f t="shared" si="20"/>
        <v>2085.5</v>
      </c>
      <c r="E283" t="str">
        <f t="shared" si="21"/>
        <v>Repeat</v>
      </c>
      <c r="F283" s="6">
        <f t="shared" si="24"/>
        <v>5258376</v>
      </c>
      <c r="G283" s="7">
        <f t="shared" si="22"/>
        <v>0.68764887586340639</v>
      </c>
      <c r="H283" t="str">
        <f t="shared" si="23"/>
        <v>Top Customers</v>
      </c>
    </row>
    <row r="284" spans="1:8" x14ac:dyDescent="0.25">
      <c r="A284">
        <v>1538</v>
      </c>
      <c r="B284" s="6">
        <f>COUNTIF(Raw_Data!A:A,A284)</f>
        <v>4</v>
      </c>
      <c r="C284" s="6">
        <f>SUMIFS(Raw_Data!G:G, Raw_Data!A:A, A284)</f>
        <v>12512</v>
      </c>
      <c r="D284" s="6">
        <f t="shared" si="20"/>
        <v>3128</v>
      </c>
      <c r="E284" t="str">
        <f t="shared" si="21"/>
        <v>Repeat</v>
      </c>
      <c r="F284" s="6">
        <f t="shared" si="24"/>
        <v>5270888</v>
      </c>
      <c r="G284" s="7">
        <f t="shared" si="22"/>
        <v>0.68928509638753843</v>
      </c>
      <c r="H284" t="str">
        <f t="shared" si="23"/>
        <v>Top Customers</v>
      </c>
    </row>
    <row r="285" spans="1:8" x14ac:dyDescent="0.25">
      <c r="A285">
        <v>1596</v>
      </c>
      <c r="B285" s="6">
        <f>COUNTIF(Raw_Data!A:A,A285)</f>
        <v>5</v>
      </c>
      <c r="C285" s="6">
        <f>SUMIFS(Raw_Data!G:G, Raw_Data!A:A, A285)</f>
        <v>12512</v>
      </c>
      <c r="D285" s="6">
        <f t="shared" si="20"/>
        <v>2502.4</v>
      </c>
      <c r="E285" t="str">
        <f t="shared" si="21"/>
        <v>Repeat</v>
      </c>
      <c r="F285" s="6">
        <f t="shared" si="24"/>
        <v>5283400</v>
      </c>
      <c r="G285" s="7">
        <f t="shared" si="22"/>
        <v>0.69092131691167036</v>
      </c>
      <c r="H285" t="str">
        <f t="shared" si="23"/>
        <v>Top Customers</v>
      </c>
    </row>
    <row r="286" spans="1:8" x14ac:dyDescent="0.25">
      <c r="A286">
        <v>1343</v>
      </c>
      <c r="B286" s="6">
        <f>COUNTIF(Raw_Data!A:A,A286)</f>
        <v>5</v>
      </c>
      <c r="C286" s="6">
        <f>SUMIFS(Raw_Data!G:G, Raw_Data!A:A, A286)</f>
        <v>12501</v>
      </c>
      <c r="D286" s="6">
        <f t="shared" si="20"/>
        <v>2500.1999999999998</v>
      </c>
      <c r="E286" t="str">
        <f t="shared" si="21"/>
        <v>Repeat</v>
      </c>
      <c r="F286" s="6">
        <f t="shared" si="24"/>
        <v>5295901</v>
      </c>
      <c r="G286" s="7">
        <f t="shared" si="22"/>
        <v>0.69255609894269454</v>
      </c>
      <c r="H286" t="str">
        <f t="shared" si="23"/>
        <v>Top Customers</v>
      </c>
    </row>
    <row r="287" spans="1:8" x14ac:dyDescent="0.25">
      <c r="A287">
        <v>1492</v>
      </c>
      <c r="B287" s="6">
        <f>COUNTIF(Raw_Data!A:A,A287)</f>
        <v>5</v>
      </c>
      <c r="C287" s="6">
        <f>SUMIFS(Raw_Data!G:G, Raw_Data!A:A, A287)</f>
        <v>12492</v>
      </c>
      <c r="D287" s="6">
        <f t="shared" si="20"/>
        <v>2498.4</v>
      </c>
      <c r="E287" t="str">
        <f t="shared" si="21"/>
        <v>Repeat</v>
      </c>
      <c r="F287" s="6">
        <f t="shared" si="24"/>
        <v>5308393</v>
      </c>
      <c r="G287" s="7">
        <f t="shared" si="22"/>
        <v>0.69418970402481217</v>
      </c>
      <c r="H287" t="str">
        <f t="shared" si="23"/>
        <v>Top Customers</v>
      </c>
    </row>
    <row r="288" spans="1:8" x14ac:dyDescent="0.25">
      <c r="A288">
        <v>1504</v>
      </c>
      <c r="B288" s="6">
        <f>COUNTIF(Raw_Data!A:A,A288)</f>
        <v>4</v>
      </c>
      <c r="C288" s="6">
        <f>SUMIFS(Raw_Data!G:G, Raw_Data!A:A, A288)</f>
        <v>12471</v>
      </c>
      <c r="D288" s="6">
        <f t="shared" si="20"/>
        <v>3117.75</v>
      </c>
      <c r="E288" t="str">
        <f t="shared" si="21"/>
        <v>Repeat</v>
      </c>
      <c r="F288" s="6">
        <f t="shared" si="24"/>
        <v>5320864</v>
      </c>
      <c r="G288" s="7">
        <f t="shared" si="22"/>
        <v>0.69582056289281491</v>
      </c>
      <c r="H288" t="str">
        <f t="shared" si="23"/>
        <v>Top Customers</v>
      </c>
    </row>
    <row r="289" spans="1:8" x14ac:dyDescent="0.25">
      <c r="A289">
        <v>1108</v>
      </c>
      <c r="B289" s="6">
        <f>COUNTIF(Raw_Data!A:A,A289)</f>
        <v>5</v>
      </c>
      <c r="C289" s="6">
        <f>SUMIFS(Raw_Data!G:G, Raw_Data!A:A, A289)</f>
        <v>12456</v>
      </c>
      <c r="D289" s="6">
        <f t="shared" si="20"/>
        <v>2491.1999999999998</v>
      </c>
      <c r="E289" t="str">
        <f t="shared" si="21"/>
        <v>Repeat</v>
      </c>
      <c r="F289" s="6">
        <f t="shared" si="24"/>
        <v>5333320</v>
      </c>
      <c r="G289" s="7">
        <f t="shared" si="22"/>
        <v>0.69744946017930687</v>
      </c>
      <c r="H289" t="str">
        <f t="shared" si="23"/>
        <v>Top Customers</v>
      </c>
    </row>
    <row r="290" spans="1:8" x14ac:dyDescent="0.25">
      <c r="A290">
        <v>1440</v>
      </c>
      <c r="B290" s="6">
        <f>COUNTIF(Raw_Data!A:A,A290)</f>
        <v>5</v>
      </c>
      <c r="C290" s="6">
        <f>SUMIFS(Raw_Data!G:G, Raw_Data!A:A, A290)</f>
        <v>12440</v>
      </c>
      <c r="D290" s="6">
        <f t="shared" si="20"/>
        <v>2488</v>
      </c>
      <c r="E290" t="str">
        <f t="shared" si="21"/>
        <v>Repeat</v>
      </c>
      <c r="F290" s="6">
        <f t="shared" si="24"/>
        <v>5345760</v>
      </c>
      <c r="G290" s="7">
        <f t="shared" si="22"/>
        <v>0.69907626511218746</v>
      </c>
      <c r="H290" t="str">
        <f t="shared" si="23"/>
        <v>Top Customers</v>
      </c>
    </row>
    <row r="291" spans="1:8" x14ac:dyDescent="0.25">
      <c r="A291">
        <v>1146</v>
      </c>
      <c r="B291" s="6">
        <f>COUNTIF(Raw_Data!A:A,A291)</f>
        <v>6</v>
      </c>
      <c r="C291" s="6">
        <f>SUMIFS(Raw_Data!G:G, Raw_Data!A:A, A291)</f>
        <v>12433</v>
      </c>
      <c r="D291" s="6">
        <f t="shared" si="20"/>
        <v>2072.1666666666665</v>
      </c>
      <c r="E291" t="str">
        <f t="shared" si="21"/>
        <v>Repeat</v>
      </c>
      <c r="F291" s="6">
        <f t="shared" si="24"/>
        <v>5358193</v>
      </c>
      <c r="G291" s="7">
        <f t="shared" si="22"/>
        <v>0.70070215464036301</v>
      </c>
      <c r="H291" t="str">
        <f t="shared" si="23"/>
        <v>Top Customers</v>
      </c>
    </row>
    <row r="292" spans="1:8" x14ac:dyDescent="0.25">
      <c r="A292">
        <v>1519</v>
      </c>
      <c r="B292" s="6">
        <f>COUNTIF(Raw_Data!A:A,A292)</f>
        <v>4</v>
      </c>
      <c r="C292" s="6">
        <f>SUMIFS(Raw_Data!G:G, Raw_Data!A:A, A292)</f>
        <v>12408</v>
      </c>
      <c r="D292" s="6">
        <f t="shared" si="20"/>
        <v>3102</v>
      </c>
      <c r="E292" t="str">
        <f t="shared" si="21"/>
        <v>Repeat</v>
      </c>
      <c r="F292" s="6">
        <f t="shared" si="24"/>
        <v>5370601</v>
      </c>
      <c r="G292" s="7">
        <f t="shared" si="22"/>
        <v>0.70232477486602074</v>
      </c>
      <c r="H292" t="str">
        <f t="shared" si="23"/>
        <v>Top Customers</v>
      </c>
    </row>
    <row r="293" spans="1:8" x14ac:dyDescent="0.25">
      <c r="A293">
        <v>1416</v>
      </c>
      <c r="B293" s="6">
        <f>COUNTIF(Raw_Data!A:A,A293)</f>
        <v>5</v>
      </c>
      <c r="C293" s="6">
        <f>SUMIFS(Raw_Data!G:G, Raw_Data!A:A, A293)</f>
        <v>12364</v>
      </c>
      <c r="D293" s="6">
        <f t="shared" si="20"/>
        <v>2472.8000000000002</v>
      </c>
      <c r="E293" t="str">
        <f t="shared" si="21"/>
        <v>Repeat</v>
      </c>
      <c r="F293" s="6">
        <f t="shared" si="24"/>
        <v>5382965</v>
      </c>
      <c r="G293" s="7">
        <f t="shared" si="22"/>
        <v>0.70394164111924706</v>
      </c>
      <c r="H293" t="str">
        <f t="shared" si="23"/>
        <v>Top Customers</v>
      </c>
    </row>
    <row r="294" spans="1:8" x14ac:dyDescent="0.25">
      <c r="A294">
        <v>1264</v>
      </c>
      <c r="B294" s="6">
        <f>COUNTIF(Raw_Data!A:A,A294)</f>
        <v>6</v>
      </c>
      <c r="C294" s="6">
        <f>SUMIFS(Raw_Data!G:G, Raw_Data!A:A, A294)</f>
        <v>12353</v>
      </c>
      <c r="D294" s="6">
        <f t="shared" si="20"/>
        <v>2058.8333333333335</v>
      </c>
      <c r="E294" t="str">
        <f t="shared" si="21"/>
        <v>Repeat</v>
      </c>
      <c r="F294" s="6">
        <f t="shared" si="24"/>
        <v>5395318</v>
      </c>
      <c r="G294" s="7">
        <f t="shared" si="22"/>
        <v>0.70555706887936553</v>
      </c>
      <c r="H294" t="str">
        <f t="shared" si="23"/>
        <v>Top Customers</v>
      </c>
    </row>
    <row r="295" spans="1:8" x14ac:dyDescent="0.25">
      <c r="A295">
        <v>1263</v>
      </c>
      <c r="B295" s="6">
        <f>COUNTIF(Raw_Data!A:A,A295)</f>
        <v>4</v>
      </c>
      <c r="C295" s="6">
        <f>SUMIFS(Raw_Data!G:G, Raw_Data!A:A, A295)</f>
        <v>12332</v>
      </c>
      <c r="D295" s="6">
        <f t="shared" si="20"/>
        <v>3083</v>
      </c>
      <c r="E295" t="str">
        <f t="shared" si="21"/>
        <v>Repeat</v>
      </c>
      <c r="F295" s="6">
        <f t="shared" si="24"/>
        <v>5407650</v>
      </c>
      <c r="G295" s="7">
        <f t="shared" si="22"/>
        <v>0.707169750425369</v>
      </c>
      <c r="H295" t="str">
        <f t="shared" si="23"/>
        <v>Top Customers</v>
      </c>
    </row>
    <row r="296" spans="1:8" x14ac:dyDescent="0.25">
      <c r="A296">
        <v>1419</v>
      </c>
      <c r="B296" s="6">
        <f>COUNTIF(Raw_Data!A:A,A296)</f>
        <v>7</v>
      </c>
      <c r="C296" s="6">
        <f>SUMIFS(Raw_Data!G:G, Raw_Data!A:A, A296)</f>
        <v>12271</v>
      </c>
      <c r="D296" s="6">
        <f t="shared" si="20"/>
        <v>1753</v>
      </c>
      <c r="E296" t="str">
        <f t="shared" si="21"/>
        <v>Repeat</v>
      </c>
      <c r="F296" s="6">
        <f t="shared" si="24"/>
        <v>5419921</v>
      </c>
      <c r="G296" s="7">
        <f t="shared" si="22"/>
        <v>0.70877445487322888</v>
      </c>
      <c r="H296" t="str">
        <f t="shared" si="23"/>
        <v>Top Customers</v>
      </c>
    </row>
    <row r="297" spans="1:8" x14ac:dyDescent="0.25">
      <c r="A297">
        <v>1096</v>
      </c>
      <c r="B297" s="6">
        <f>COUNTIF(Raw_Data!A:A,A297)</f>
        <v>5</v>
      </c>
      <c r="C297" s="6">
        <f>SUMIFS(Raw_Data!G:G, Raw_Data!A:A, A297)</f>
        <v>12256</v>
      </c>
      <c r="D297" s="6">
        <f t="shared" si="20"/>
        <v>2451.1999999999998</v>
      </c>
      <c r="E297" t="str">
        <f t="shared" si="21"/>
        <v>Repeat</v>
      </c>
      <c r="F297" s="6">
        <f t="shared" si="24"/>
        <v>5432177</v>
      </c>
      <c r="G297" s="7">
        <f t="shared" si="22"/>
        <v>0.71037719773957808</v>
      </c>
      <c r="H297" t="str">
        <f t="shared" si="23"/>
        <v>Top Customers</v>
      </c>
    </row>
    <row r="298" spans="1:8" x14ac:dyDescent="0.25">
      <c r="A298">
        <v>1284</v>
      </c>
      <c r="B298" s="6">
        <f>COUNTIF(Raw_Data!A:A,A298)</f>
        <v>5</v>
      </c>
      <c r="C298" s="6">
        <f>SUMIFS(Raw_Data!G:G, Raw_Data!A:A, A298)</f>
        <v>12234</v>
      </c>
      <c r="D298" s="6">
        <f t="shared" si="20"/>
        <v>2446.8000000000002</v>
      </c>
      <c r="E298" t="str">
        <f t="shared" si="21"/>
        <v>Repeat</v>
      </c>
      <c r="F298" s="6">
        <f t="shared" si="24"/>
        <v>5444411</v>
      </c>
      <c r="G298" s="7">
        <f t="shared" si="22"/>
        <v>0.71197706361971158</v>
      </c>
      <c r="H298" t="str">
        <f t="shared" si="23"/>
        <v>Top Customers</v>
      </c>
    </row>
    <row r="299" spans="1:8" x14ac:dyDescent="0.25">
      <c r="A299">
        <v>1059</v>
      </c>
      <c r="B299" s="6">
        <f>COUNTIF(Raw_Data!A:A,A299)</f>
        <v>6</v>
      </c>
      <c r="C299" s="6">
        <f>SUMIFS(Raw_Data!G:G, Raw_Data!A:A, A299)</f>
        <v>12169</v>
      </c>
      <c r="D299" s="6">
        <f t="shared" si="20"/>
        <v>2028.1666666666667</v>
      </c>
      <c r="E299" t="str">
        <f t="shared" si="21"/>
        <v>Repeat</v>
      </c>
      <c r="F299" s="6">
        <f t="shared" si="24"/>
        <v>5456580</v>
      </c>
      <c r="G299" s="7">
        <f t="shared" si="22"/>
        <v>0.71356842931329867</v>
      </c>
      <c r="H299" t="str">
        <f t="shared" si="23"/>
        <v>Top Customers</v>
      </c>
    </row>
    <row r="300" spans="1:8" x14ac:dyDescent="0.25">
      <c r="A300">
        <v>1259</v>
      </c>
      <c r="B300" s="6">
        <f>COUNTIF(Raw_Data!A:A,A300)</f>
        <v>6</v>
      </c>
      <c r="C300" s="6">
        <f>SUMIFS(Raw_Data!G:G, Raw_Data!A:A, A300)</f>
        <v>12166</v>
      </c>
      <c r="D300" s="6">
        <f t="shared" si="20"/>
        <v>2027.6666666666667</v>
      </c>
      <c r="E300" t="str">
        <f t="shared" si="21"/>
        <v>Repeat</v>
      </c>
      <c r="F300" s="6">
        <f t="shared" si="24"/>
        <v>5468746</v>
      </c>
      <c r="G300" s="7">
        <f t="shared" si="22"/>
        <v>0.71515940269058365</v>
      </c>
      <c r="H300" t="str">
        <f t="shared" si="23"/>
        <v>Top Customers</v>
      </c>
    </row>
    <row r="301" spans="1:8" x14ac:dyDescent="0.25">
      <c r="A301">
        <v>1489</v>
      </c>
      <c r="B301" s="6">
        <f>COUNTIF(Raw_Data!A:A,A301)</f>
        <v>5</v>
      </c>
      <c r="C301" s="6">
        <f>SUMIFS(Raw_Data!G:G, Raw_Data!A:A, A301)</f>
        <v>12155</v>
      </c>
      <c r="D301" s="6">
        <f t="shared" si="20"/>
        <v>2431</v>
      </c>
      <c r="E301" t="str">
        <f t="shared" si="21"/>
        <v>Repeat</v>
      </c>
      <c r="F301" s="6">
        <f t="shared" si="24"/>
        <v>5480901</v>
      </c>
      <c r="G301" s="7">
        <f t="shared" si="22"/>
        <v>0.71674893757476077</v>
      </c>
      <c r="H301" t="str">
        <f t="shared" si="23"/>
        <v>Top Customers</v>
      </c>
    </row>
    <row r="302" spans="1:8" x14ac:dyDescent="0.25">
      <c r="A302">
        <v>1428</v>
      </c>
      <c r="B302" s="6">
        <f>COUNTIF(Raw_Data!A:A,A302)</f>
        <v>5</v>
      </c>
      <c r="C302" s="6">
        <f>SUMIFS(Raw_Data!G:G, Raw_Data!A:A, A302)</f>
        <v>12138</v>
      </c>
      <c r="D302" s="6">
        <f t="shared" si="20"/>
        <v>2427.6</v>
      </c>
      <c r="E302" t="str">
        <f t="shared" si="21"/>
        <v>Repeat</v>
      </c>
      <c r="F302" s="6">
        <f t="shared" si="24"/>
        <v>5493039</v>
      </c>
      <c r="G302" s="7">
        <f t="shared" si="22"/>
        <v>0.71833624933322571</v>
      </c>
      <c r="H302" t="str">
        <f t="shared" si="23"/>
        <v>Top Customers</v>
      </c>
    </row>
    <row r="303" spans="1:8" x14ac:dyDescent="0.25">
      <c r="A303">
        <v>1495</v>
      </c>
      <c r="B303" s="6">
        <f>COUNTIF(Raw_Data!A:A,A303)</f>
        <v>3</v>
      </c>
      <c r="C303" s="6">
        <f>SUMIFS(Raw_Data!G:G, Raw_Data!A:A, A303)</f>
        <v>12138</v>
      </c>
      <c r="D303" s="6">
        <f t="shared" si="20"/>
        <v>4046</v>
      </c>
      <c r="E303" t="str">
        <f t="shared" si="21"/>
        <v>Repeat</v>
      </c>
      <c r="F303" s="6">
        <f t="shared" si="24"/>
        <v>5505177</v>
      </c>
      <c r="G303" s="7">
        <f t="shared" si="22"/>
        <v>0.71992356109169076</v>
      </c>
      <c r="H303" t="str">
        <f t="shared" si="23"/>
        <v>Top Customers</v>
      </c>
    </row>
    <row r="304" spans="1:8" x14ac:dyDescent="0.25">
      <c r="A304">
        <v>1250</v>
      </c>
      <c r="B304" s="6">
        <f>COUNTIF(Raw_Data!A:A,A304)</f>
        <v>5</v>
      </c>
      <c r="C304" s="6">
        <f>SUMIFS(Raw_Data!G:G, Raw_Data!A:A, A304)</f>
        <v>12084</v>
      </c>
      <c r="D304" s="6">
        <f t="shared" si="20"/>
        <v>2416.8000000000002</v>
      </c>
      <c r="E304" t="str">
        <f t="shared" si="21"/>
        <v>Repeat</v>
      </c>
      <c r="F304" s="6">
        <f t="shared" si="24"/>
        <v>5517261</v>
      </c>
      <c r="G304" s="7">
        <f t="shared" si="22"/>
        <v>0.72150381115671713</v>
      </c>
      <c r="H304" t="str">
        <f t="shared" si="23"/>
        <v>Top Customers</v>
      </c>
    </row>
    <row r="305" spans="1:8" x14ac:dyDescent="0.25">
      <c r="A305">
        <v>1287</v>
      </c>
      <c r="B305" s="6">
        <f>COUNTIF(Raw_Data!A:A,A305)</f>
        <v>6</v>
      </c>
      <c r="C305" s="6">
        <f>SUMIFS(Raw_Data!G:G, Raw_Data!A:A, A305)</f>
        <v>12008</v>
      </c>
      <c r="D305" s="6">
        <f t="shared" si="20"/>
        <v>2001.3333333333333</v>
      </c>
      <c r="E305" t="str">
        <f t="shared" si="21"/>
        <v>Repeat</v>
      </c>
      <c r="F305" s="6">
        <f t="shared" si="24"/>
        <v>5529269</v>
      </c>
      <c r="G305" s="7">
        <f t="shared" si="22"/>
        <v>0.72307412254208936</v>
      </c>
      <c r="H305" t="str">
        <f t="shared" si="23"/>
        <v>Top Customers</v>
      </c>
    </row>
    <row r="306" spans="1:8" x14ac:dyDescent="0.25">
      <c r="A306">
        <v>1525</v>
      </c>
      <c r="B306" s="6">
        <f>COUNTIF(Raw_Data!A:A,A306)</f>
        <v>5</v>
      </c>
      <c r="C306" s="6">
        <f>SUMIFS(Raw_Data!G:G, Raw_Data!A:A, A306)</f>
        <v>12007</v>
      </c>
      <c r="D306" s="6">
        <f t="shared" si="20"/>
        <v>2401.4</v>
      </c>
      <c r="E306" t="str">
        <f t="shared" si="21"/>
        <v>Repeat</v>
      </c>
      <c r="F306" s="6">
        <f t="shared" si="24"/>
        <v>5541276</v>
      </c>
      <c r="G306" s="7">
        <f t="shared" si="22"/>
        <v>0.72464430315536077</v>
      </c>
      <c r="H306" t="str">
        <f t="shared" si="23"/>
        <v>Top Customers</v>
      </c>
    </row>
    <row r="307" spans="1:8" x14ac:dyDescent="0.25">
      <c r="A307">
        <v>1393</v>
      </c>
      <c r="B307" s="6">
        <f>COUNTIF(Raw_Data!A:A,A307)</f>
        <v>7</v>
      </c>
      <c r="C307" s="6">
        <f>SUMIFS(Raw_Data!G:G, Raw_Data!A:A, A307)</f>
        <v>11910</v>
      </c>
      <c r="D307" s="6">
        <f t="shared" si="20"/>
        <v>1701.4285714285713</v>
      </c>
      <c r="E307" t="str">
        <f t="shared" si="21"/>
        <v>Repeat</v>
      </c>
      <c r="F307" s="6">
        <f t="shared" si="24"/>
        <v>5553186</v>
      </c>
      <c r="G307" s="7">
        <f t="shared" si="22"/>
        <v>0.72620179887486302</v>
      </c>
      <c r="H307" t="str">
        <f t="shared" si="23"/>
        <v>Top Customers</v>
      </c>
    </row>
    <row r="308" spans="1:8" x14ac:dyDescent="0.25">
      <c r="A308">
        <v>1395</v>
      </c>
      <c r="B308" s="6">
        <f>COUNTIF(Raw_Data!A:A,A308)</f>
        <v>7</v>
      </c>
      <c r="C308" s="6">
        <f>SUMIFS(Raw_Data!G:G, Raw_Data!A:A, A308)</f>
        <v>11882</v>
      </c>
      <c r="D308" s="6">
        <f t="shared" si="20"/>
        <v>1697.4285714285713</v>
      </c>
      <c r="E308" t="str">
        <f t="shared" si="21"/>
        <v>Repeat</v>
      </c>
      <c r="F308" s="6">
        <f t="shared" si="24"/>
        <v>5565068</v>
      </c>
      <c r="G308" s="7">
        <f t="shared" si="22"/>
        <v>0.72775563297554524</v>
      </c>
      <c r="H308" t="str">
        <f t="shared" si="23"/>
        <v>Top Customers</v>
      </c>
    </row>
    <row r="309" spans="1:8" x14ac:dyDescent="0.25">
      <c r="A309">
        <v>1027</v>
      </c>
      <c r="B309" s="6">
        <f>COUNTIF(Raw_Data!A:A,A309)</f>
        <v>4</v>
      </c>
      <c r="C309" s="6">
        <f>SUMIFS(Raw_Data!G:G, Raw_Data!A:A, A309)</f>
        <v>11725</v>
      </c>
      <c r="D309" s="6">
        <f t="shared" si="20"/>
        <v>2931.25</v>
      </c>
      <c r="E309" t="str">
        <f t="shared" si="21"/>
        <v>Repeat</v>
      </c>
      <c r="F309" s="6">
        <f t="shared" si="24"/>
        <v>5576793</v>
      </c>
      <c r="G309" s="7">
        <f t="shared" si="22"/>
        <v>0.72928893585641541</v>
      </c>
      <c r="H309" t="str">
        <f t="shared" si="23"/>
        <v>Top Customers</v>
      </c>
    </row>
    <row r="310" spans="1:8" x14ac:dyDescent="0.25">
      <c r="A310">
        <v>1358</v>
      </c>
      <c r="B310" s="6">
        <f>COUNTIF(Raw_Data!A:A,A310)</f>
        <v>5</v>
      </c>
      <c r="C310" s="6">
        <f>SUMIFS(Raw_Data!G:G, Raw_Data!A:A, A310)</f>
        <v>11720</v>
      </c>
      <c r="D310" s="6">
        <f t="shared" si="20"/>
        <v>2344</v>
      </c>
      <c r="E310" t="str">
        <f t="shared" si="21"/>
        <v>Repeat</v>
      </c>
      <c r="F310" s="6">
        <f t="shared" si="24"/>
        <v>5588513</v>
      </c>
      <c r="G310" s="7">
        <f t="shared" si="22"/>
        <v>0.73082158487678195</v>
      </c>
      <c r="H310" t="str">
        <f t="shared" si="23"/>
        <v>Top Customers</v>
      </c>
    </row>
    <row r="311" spans="1:8" x14ac:dyDescent="0.25">
      <c r="A311">
        <v>1390</v>
      </c>
      <c r="B311" s="6">
        <f>COUNTIF(Raw_Data!A:A,A311)</f>
        <v>5</v>
      </c>
      <c r="C311" s="6">
        <f>SUMIFS(Raw_Data!G:G, Raw_Data!A:A, A311)</f>
        <v>11715</v>
      </c>
      <c r="D311" s="6">
        <f t="shared" si="20"/>
        <v>2343</v>
      </c>
      <c r="E311" t="str">
        <f t="shared" si="21"/>
        <v>Repeat</v>
      </c>
      <c r="F311" s="6">
        <f t="shared" si="24"/>
        <v>5600228</v>
      </c>
      <c r="G311" s="7">
        <f t="shared" si="22"/>
        <v>0.73235358003664497</v>
      </c>
      <c r="H311" t="str">
        <f t="shared" si="23"/>
        <v>Top Customers</v>
      </c>
    </row>
    <row r="312" spans="1:8" x14ac:dyDescent="0.25">
      <c r="A312">
        <v>1225</v>
      </c>
      <c r="B312" s="6">
        <f>COUNTIF(Raw_Data!A:A,A312)</f>
        <v>6</v>
      </c>
      <c r="C312" s="6">
        <f>SUMIFS(Raw_Data!G:G, Raw_Data!A:A, A312)</f>
        <v>11710</v>
      </c>
      <c r="D312" s="6">
        <f t="shared" si="20"/>
        <v>1951.6666666666667</v>
      </c>
      <c r="E312" t="str">
        <f t="shared" si="21"/>
        <v>Repeat</v>
      </c>
      <c r="F312" s="6">
        <f t="shared" si="24"/>
        <v>5611938</v>
      </c>
      <c r="G312" s="7">
        <f t="shared" si="22"/>
        <v>0.73388492133600436</v>
      </c>
      <c r="H312" t="str">
        <f t="shared" si="23"/>
        <v>Top Customers</v>
      </c>
    </row>
    <row r="313" spans="1:8" x14ac:dyDescent="0.25">
      <c r="A313">
        <v>1262</v>
      </c>
      <c r="B313" s="6">
        <f>COUNTIF(Raw_Data!A:A,A313)</f>
        <v>5</v>
      </c>
      <c r="C313" s="6">
        <f>SUMIFS(Raw_Data!G:G, Raw_Data!A:A, A313)</f>
        <v>11698</v>
      </c>
      <c r="D313" s="6">
        <f t="shared" si="20"/>
        <v>2339.6</v>
      </c>
      <c r="E313" t="str">
        <f t="shared" si="21"/>
        <v>Repeat</v>
      </c>
      <c r="F313" s="6">
        <f t="shared" si="24"/>
        <v>5623636</v>
      </c>
      <c r="G313" s="7">
        <f t="shared" si="22"/>
        <v>0.7354146933701553</v>
      </c>
      <c r="H313" t="str">
        <f t="shared" si="23"/>
        <v>Top Customers</v>
      </c>
    </row>
    <row r="314" spans="1:8" x14ac:dyDescent="0.25">
      <c r="A314">
        <v>1304</v>
      </c>
      <c r="B314" s="6">
        <f>COUNTIF(Raw_Data!A:A,A314)</f>
        <v>5</v>
      </c>
      <c r="C314" s="6">
        <f>SUMIFS(Raw_Data!G:G, Raw_Data!A:A, A314)</f>
        <v>11641</v>
      </c>
      <c r="D314" s="6">
        <f t="shared" si="20"/>
        <v>2328.1999999999998</v>
      </c>
      <c r="E314" t="str">
        <f t="shared" si="21"/>
        <v>Repeat</v>
      </c>
      <c r="F314" s="6">
        <f t="shared" si="24"/>
        <v>5635277</v>
      </c>
      <c r="G314" s="7">
        <f t="shared" si="22"/>
        <v>0.73693701139456547</v>
      </c>
      <c r="H314" t="str">
        <f t="shared" si="23"/>
        <v>Top Customers</v>
      </c>
    </row>
    <row r="315" spans="1:8" x14ac:dyDescent="0.25">
      <c r="A315">
        <v>1070</v>
      </c>
      <c r="B315" s="6">
        <f>COUNTIF(Raw_Data!A:A,A315)</f>
        <v>4</v>
      </c>
      <c r="C315" s="6">
        <f>SUMIFS(Raw_Data!G:G, Raw_Data!A:A, A315)</f>
        <v>11641</v>
      </c>
      <c r="D315" s="6">
        <f t="shared" si="20"/>
        <v>2910.25</v>
      </c>
      <c r="E315" t="str">
        <f t="shared" si="21"/>
        <v>Repeat</v>
      </c>
      <c r="F315" s="6">
        <f t="shared" si="24"/>
        <v>5646918</v>
      </c>
      <c r="G315" s="7">
        <f t="shared" si="22"/>
        <v>0.73845932941897563</v>
      </c>
      <c r="H315" t="str">
        <f t="shared" si="23"/>
        <v>Top Customers</v>
      </c>
    </row>
    <row r="316" spans="1:8" x14ac:dyDescent="0.25">
      <c r="A316">
        <v>1327</v>
      </c>
      <c r="B316" s="6">
        <f>COUNTIF(Raw_Data!A:A,A316)</f>
        <v>5</v>
      </c>
      <c r="C316" s="6">
        <f>SUMIFS(Raw_Data!G:G, Raw_Data!A:A, A316)</f>
        <v>11635</v>
      </c>
      <c r="D316" s="6">
        <f t="shared" si="20"/>
        <v>2327</v>
      </c>
      <c r="E316" t="str">
        <f t="shared" si="21"/>
        <v>Repeat</v>
      </c>
      <c r="F316" s="6">
        <f t="shared" si="24"/>
        <v>5658553</v>
      </c>
      <c r="G316" s="7">
        <f t="shared" si="22"/>
        <v>0.73998086281078157</v>
      </c>
      <c r="H316" t="str">
        <f t="shared" si="23"/>
        <v>Top Customers</v>
      </c>
    </row>
    <row r="317" spans="1:8" x14ac:dyDescent="0.25">
      <c r="A317">
        <v>1224</v>
      </c>
      <c r="B317" s="6">
        <f>COUNTIF(Raw_Data!A:A,A317)</f>
        <v>5</v>
      </c>
      <c r="C317" s="6">
        <f>SUMIFS(Raw_Data!G:G, Raw_Data!A:A, A317)</f>
        <v>11630</v>
      </c>
      <c r="D317" s="6">
        <f t="shared" si="20"/>
        <v>2326</v>
      </c>
      <c r="E317" t="str">
        <f t="shared" si="21"/>
        <v>Repeat</v>
      </c>
      <c r="F317" s="6">
        <f t="shared" si="24"/>
        <v>5670183</v>
      </c>
      <c r="G317" s="7">
        <f t="shared" si="22"/>
        <v>0.74150174234208388</v>
      </c>
      <c r="H317" t="str">
        <f t="shared" si="23"/>
        <v>Top Customers</v>
      </c>
    </row>
    <row r="318" spans="1:8" x14ac:dyDescent="0.25">
      <c r="A318">
        <v>1244</v>
      </c>
      <c r="B318" s="6">
        <f>COUNTIF(Raw_Data!A:A,A318)</f>
        <v>4</v>
      </c>
      <c r="C318" s="6">
        <f>SUMIFS(Raw_Data!G:G, Raw_Data!A:A, A318)</f>
        <v>11619</v>
      </c>
      <c r="D318" s="6">
        <f t="shared" si="20"/>
        <v>2904.75</v>
      </c>
      <c r="E318" t="str">
        <f t="shared" si="21"/>
        <v>Repeat</v>
      </c>
      <c r="F318" s="6">
        <f t="shared" si="24"/>
        <v>5681802</v>
      </c>
      <c r="G318" s="7">
        <f t="shared" si="22"/>
        <v>0.74302118338027834</v>
      </c>
      <c r="H318" t="str">
        <f t="shared" si="23"/>
        <v>Top Customers</v>
      </c>
    </row>
    <row r="319" spans="1:8" x14ac:dyDescent="0.25">
      <c r="A319">
        <v>1404</v>
      </c>
      <c r="B319" s="6">
        <f>COUNTIF(Raw_Data!A:A,A319)</f>
        <v>3</v>
      </c>
      <c r="C319" s="6">
        <f>SUMIFS(Raw_Data!G:G, Raw_Data!A:A, A319)</f>
        <v>11579</v>
      </c>
      <c r="D319" s="6">
        <f t="shared" si="20"/>
        <v>3859.6666666666665</v>
      </c>
      <c r="E319" t="str">
        <f t="shared" si="21"/>
        <v>Repeat</v>
      </c>
      <c r="F319" s="6">
        <f t="shared" si="24"/>
        <v>5693381</v>
      </c>
      <c r="G319" s="7">
        <f t="shared" si="22"/>
        <v>0.74453539353444431</v>
      </c>
      <c r="H319" t="str">
        <f t="shared" si="23"/>
        <v>Top Customers</v>
      </c>
    </row>
    <row r="320" spans="1:8" x14ac:dyDescent="0.25">
      <c r="A320">
        <v>1116</v>
      </c>
      <c r="B320" s="6">
        <f>COUNTIF(Raw_Data!A:A,A320)</f>
        <v>4</v>
      </c>
      <c r="C320" s="6">
        <f>SUMIFS(Raw_Data!G:G, Raw_Data!A:A, A320)</f>
        <v>11578</v>
      </c>
      <c r="D320" s="6">
        <f t="shared" si="20"/>
        <v>2894.5</v>
      </c>
      <c r="E320" t="str">
        <f t="shared" si="21"/>
        <v>Repeat</v>
      </c>
      <c r="F320" s="6">
        <f t="shared" si="24"/>
        <v>5704959</v>
      </c>
      <c r="G320" s="7">
        <f t="shared" si="22"/>
        <v>0.74604947291650947</v>
      </c>
      <c r="H320" t="str">
        <f t="shared" si="23"/>
        <v>Top Customers</v>
      </c>
    </row>
    <row r="321" spans="1:8" x14ac:dyDescent="0.25">
      <c r="A321">
        <v>1556</v>
      </c>
      <c r="B321" s="6">
        <f>COUNTIF(Raw_Data!A:A,A321)</f>
        <v>6</v>
      </c>
      <c r="C321" s="6">
        <f>SUMIFS(Raw_Data!G:G, Raw_Data!A:A, A321)</f>
        <v>11572</v>
      </c>
      <c r="D321" s="6">
        <f t="shared" si="20"/>
        <v>1928.6666666666667</v>
      </c>
      <c r="E321" t="str">
        <f t="shared" si="21"/>
        <v>Repeat</v>
      </c>
      <c r="F321" s="6">
        <f t="shared" si="24"/>
        <v>5716531</v>
      </c>
      <c r="G321" s="7">
        <f t="shared" si="22"/>
        <v>0.74756276766597041</v>
      </c>
      <c r="H321" t="str">
        <f t="shared" si="23"/>
        <v>Top Customers</v>
      </c>
    </row>
    <row r="322" spans="1:8" x14ac:dyDescent="0.25">
      <c r="A322">
        <v>1475</v>
      </c>
      <c r="B322" s="6">
        <f>COUNTIF(Raw_Data!A:A,A322)</f>
        <v>4</v>
      </c>
      <c r="C322" s="6">
        <f>SUMIFS(Raw_Data!G:G, Raw_Data!A:A, A322)</f>
        <v>11552</v>
      </c>
      <c r="D322" s="6">
        <f t="shared" ref="D322:D385" si="25">C322/B322</f>
        <v>2888</v>
      </c>
      <c r="E322" t="str">
        <f t="shared" ref="E322:E385" si="26">IF(B322&gt;1,"Repeat","New")</f>
        <v>Repeat</v>
      </c>
      <c r="F322" s="6">
        <f t="shared" si="24"/>
        <v>5728083</v>
      </c>
      <c r="G322" s="7">
        <f t="shared" si="22"/>
        <v>0.74907344697341705</v>
      </c>
      <c r="H322" t="str">
        <f t="shared" si="23"/>
        <v>Top Customers</v>
      </c>
    </row>
    <row r="323" spans="1:8" x14ac:dyDescent="0.25">
      <c r="A323">
        <v>1580</v>
      </c>
      <c r="B323" s="6">
        <f>COUNTIF(Raw_Data!A:A,A323)</f>
        <v>6</v>
      </c>
      <c r="C323" s="6">
        <f>SUMIFS(Raw_Data!G:G, Raw_Data!A:A, A323)</f>
        <v>11538</v>
      </c>
      <c r="D323" s="6">
        <f t="shared" si="25"/>
        <v>1923</v>
      </c>
      <c r="E323" t="str">
        <f t="shared" si="26"/>
        <v>Repeat</v>
      </c>
      <c r="F323" s="6">
        <f t="shared" si="24"/>
        <v>5739621</v>
      </c>
      <c r="G323" s="7">
        <f t="shared" ref="G323:G386" si="27">F323/SUM($C:$C)</f>
        <v>0.75058229547145372</v>
      </c>
      <c r="H323" t="str">
        <f t="shared" ref="H323:H386" si="28">IF(G323&lt;=0.8,"Top Customers","Others")</f>
        <v>Top Customers</v>
      </c>
    </row>
    <row r="324" spans="1:8" x14ac:dyDescent="0.25">
      <c r="A324">
        <v>1276</v>
      </c>
      <c r="B324" s="6">
        <f>COUNTIF(Raw_Data!A:A,A324)</f>
        <v>3</v>
      </c>
      <c r="C324" s="6">
        <f>SUMIFS(Raw_Data!G:G, Raw_Data!A:A, A324)</f>
        <v>11434</v>
      </c>
      <c r="D324" s="6">
        <f t="shared" si="25"/>
        <v>3811.3333333333335</v>
      </c>
      <c r="E324" t="str">
        <f t="shared" si="26"/>
        <v>Repeat</v>
      </c>
      <c r="F324" s="6">
        <f t="shared" ref="F324:F387" si="29">F323+C324</f>
        <v>5751055</v>
      </c>
      <c r="G324" s="7">
        <f t="shared" si="27"/>
        <v>0.75207754367101609</v>
      </c>
      <c r="H324" t="str">
        <f t="shared" si="28"/>
        <v>Top Customers</v>
      </c>
    </row>
    <row r="325" spans="1:8" x14ac:dyDescent="0.25">
      <c r="A325">
        <v>1247</v>
      </c>
      <c r="B325" s="6">
        <f>COUNTIF(Raw_Data!A:A,A325)</f>
        <v>3</v>
      </c>
      <c r="C325" s="6">
        <f>SUMIFS(Raw_Data!G:G, Raw_Data!A:A, A325)</f>
        <v>11375</v>
      </c>
      <c r="D325" s="6">
        <f t="shared" si="25"/>
        <v>3791.6666666666665</v>
      </c>
      <c r="E325" t="str">
        <f t="shared" si="26"/>
        <v>Repeat</v>
      </c>
      <c r="F325" s="6">
        <f t="shared" si="29"/>
        <v>5762430</v>
      </c>
      <c r="G325" s="7">
        <f t="shared" si="27"/>
        <v>0.75356507631663638</v>
      </c>
      <c r="H325" t="str">
        <f t="shared" si="28"/>
        <v>Top Customers</v>
      </c>
    </row>
    <row r="326" spans="1:8" x14ac:dyDescent="0.25">
      <c r="A326">
        <v>1265</v>
      </c>
      <c r="B326" s="6">
        <f>COUNTIF(Raw_Data!A:A,A326)</f>
        <v>4</v>
      </c>
      <c r="C326" s="6">
        <f>SUMIFS(Raw_Data!G:G, Raw_Data!A:A, A326)</f>
        <v>11360</v>
      </c>
      <c r="D326" s="6">
        <f t="shared" si="25"/>
        <v>2840</v>
      </c>
      <c r="E326" t="str">
        <f t="shared" si="26"/>
        <v>Repeat</v>
      </c>
      <c r="F326" s="6">
        <f t="shared" si="29"/>
        <v>5773790</v>
      </c>
      <c r="G326" s="7">
        <f t="shared" si="27"/>
        <v>0.75505064738074601</v>
      </c>
      <c r="H326" t="str">
        <f t="shared" si="28"/>
        <v>Top Customers</v>
      </c>
    </row>
    <row r="327" spans="1:8" x14ac:dyDescent="0.25">
      <c r="A327">
        <v>1447</v>
      </c>
      <c r="B327" s="6">
        <f>COUNTIF(Raw_Data!A:A,A327)</f>
        <v>4</v>
      </c>
      <c r="C327" s="6">
        <f>SUMIFS(Raw_Data!G:G, Raw_Data!A:A, A327)</f>
        <v>11346</v>
      </c>
      <c r="D327" s="6">
        <f t="shared" si="25"/>
        <v>2836.5</v>
      </c>
      <c r="E327" t="str">
        <f t="shared" si="26"/>
        <v>Repeat</v>
      </c>
      <c r="F327" s="6">
        <f t="shared" si="29"/>
        <v>5785136</v>
      </c>
      <c r="G327" s="7">
        <f t="shared" si="27"/>
        <v>0.75653438763544556</v>
      </c>
      <c r="H327" t="str">
        <f t="shared" si="28"/>
        <v>Top Customers</v>
      </c>
    </row>
    <row r="328" spans="1:8" x14ac:dyDescent="0.25">
      <c r="A328">
        <v>1051</v>
      </c>
      <c r="B328" s="6">
        <f>COUNTIF(Raw_Data!A:A,A328)</f>
        <v>6</v>
      </c>
      <c r="C328" s="6">
        <f>SUMIFS(Raw_Data!G:G, Raw_Data!A:A, A328)</f>
        <v>11340</v>
      </c>
      <c r="D328" s="6">
        <f t="shared" si="25"/>
        <v>1890</v>
      </c>
      <c r="E328" t="str">
        <f t="shared" si="26"/>
        <v>Repeat</v>
      </c>
      <c r="F328" s="6">
        <f t="shared" si="29"/>
        <v>5796476</v>
      </c>
      <c r="G328" s="7">
        <f t="shared" si="27"/>
        <v>0.75801734325754089</v>
      </c>
      <c r="H328" t="str">
        <f t="shared" si="28"/>
        <v>Top Customers</v>
      </c>
    </row>
    <row r="329" spans="1:8" x14ac:dyDescent="0.25">
      <c r="A329">
        <v>1324</v>
      </c>
      <c r="B329" s="6">
        <f>COUNTIF(Raw_Data!A:A,A329)</f>
        <v>8</v>
      </c>
      <c r="C329" s="6">
        <f>SUMIFS(Raw_Data!G:G, Raw_Data!A:A, A329)</f>
        <v>11308</v>
      </c>
      <c r="D329" s="6">
        <f t="shared" si="25"/>
        <v>1413.5</v>
      </c>
      <c r="E329" t="str">
        <f t="shared" si="26"/>
        <v>Repeat</v>
      </c>
      <c r="F329" s="6">
        <f t="shared" si="29"/>
        <v>5807784</v>
      </c>
      <c r="G329" s="7">
        <f t="shared" si="27"/>
        <v>0.75949611417241336</v>
      </c>
      <c r="H329" t="str">
        <f t="shared" si="28"/>
        <v>Top Customers</v>
      </c>
    </row>
    <row r="330" spans="1:8" x14ac:dyDescent="0.25">
      <c r="A330">
        <v>1228</v>
      </c>
      <c r="B330" s="6">
        <f>COUNTIF(Raw_Data!A:A,A330)</f>
        <v>5</v>
      </c>
      <c r="C330" s="6">
        <f>SUMIFS(Raw_Data!G:G, Raw_Data!A:A, A330)</f>
        <v>11222</v>
      </c>
      <c r="D330" s="6">
        <f t="shared" si="25"/>
        <v>2244.4</v>
      </c>
      <c r="E330" t="str">
        <f t="shared" si="26"/>
        <v>Repeat</v>
      </c>
      <c r="F330" s="6">
        <f t="shared" si="29"/>
        <v>5819006</v>
      </c>
      <c r="G330" s="7">
        <f t="shared" si="27"/>
        <v>0.76096363868662442</v>
      </c>
      <c r="H330" t="str">
        <f t="shared" si="28"/>
        <v>Top Customers</v>
      </c>
    </row>
    <row r="331" spans="1:8" x14ac:dyDescent="0.25">
      <c r="A331">
        <v>1207</v>
      </c>
      <c r="B331" s="6">
        <f>COUNTIF(Raw_Data!A:A,A331)</f>
        <v>4</v>
      </c>
      <c r="C331" s="6">
        <f>SUMIFS(Raw_Data!G:G, Raw_Data!A:A, A331)</f>
        <v>11199</v>
      </c>
      <c r="D331" s="6">
        <f t="shared" si="25"/>
        <v>2799.75</v>
      </c>
      <c r="E331" t="str">
        <f t="shared" si="26"/>
        <v>Repeat</v>
      </c>
      <c r="F331" s="6">
        <f t="shared" si="29"/>
        <v>5830205</v>
      </c>
      <c r="G331" s="7">
        <f t="shared" si="27"/>
        <v>0.76242815544251907</v>
      </c>
      <c r="H331" t="str">
        <f t="shared" si="28"/>
        <v>Top Customers</v>
      </c>
    </row>
    <row r="332" spans="1:8" x14ac:dyDescent="0.25">
      <c r="A332">
        <v>1379</v>
      </c>
      <c r="B332" s="6">
        <f>COUNTIF(Raw_Data!A:A,A332)</f>
        <v>4</v>
      </c>
      <c r="C332" s="6">
        <f>SUMIFS(Raw_Data!G:G, Raw_Data!A:A, A332)</f>
        <v>11150</v>
      </c>
      <c r="D332" s="6">
        <f t="shared" si="25"/>
        <v>2787.5</v>
      </c>
      <c r="E332" t="str">
        <f t="shared" si="26"/>
        <v>Repeat</v>
      </c>
      <c r="F332" s="6">
        <f t="shared" si="29"/>
        <v>5841355</v>
      </c>
      <c r="G332" s="7">
        <f t="shared" si="27"/>
        <v>0.76388626436547868</v>
      </c>
      <c r="H332" t="str">
        <f t="shared" si="28"/>
        <v>Top Customers</v>
      </c>
    </row>
    <row r="333" spans="1:8" x14ac:dyDescent="0.25">
      <c r="A333">
        <v>1518</v>
      </c>
      <c r="B333" s="6">
        <f>COUNTIF(Raw_Data!A:A,A333)</f>
        <v>3</v>
      </c>
      <c r="C333" s="6">
        <f>SUMIFS(Raw_Data!G:G, Raw_Data!A:A, A333)</f>
        <v>11147</v>
      </c>
      <c r="D333" s="6">
        <f t="shared" si="25"/>
        <v>3715.6666666666665</v>
      </c>
      <c r="E333" t="str">
        <f t="shared" si="26"/>
        <v>Repeat</v>
      </c>
      <c r="F333" s="6">
        <f t="shared" si="29"/>
        <v>5852502</v>
      </c>
      <c r="G333" s="7">
        <f t="shared" si="27"/>
        <v>0.7653439809721363</v>
      </c>
      <c r="H333" t="str">
        <f t="shared" si="28"/>
        <v>Top Customers</v>
      </c>
    </row>
    <row r="334" spans="1:8" x14ac:dyDescent="0.25">
      <c r="A334">
        <v>1585</v>
      </c>
      <c r="B334" s="6">
        <f>COUNTIF(Raw_Data!A:A,A334)</f>
        <v>3</v>
      </c>
      <c r="C334" s="6">
        <f>SUMIFS(Raw_Data!G:G, Raw_Data!A:A, A334)</f>
        <v>11124</v>
      </c>
      <c r="D334" s="6">
        <f t="shared" si="25"/>
        <v>3708</v>
      </c>
      <c r="E334" t="str">
        <f t="shared" si="26"/>
        <v>Repeat</v>
      </c>
      <c r="F334" s="6">
        <f t="shared" si="29"/>
        <v>5863626</v>
      </c>
      <c r="G334" s="7">
        <f t="shared" si="27"/>
        <v>0.76679868982047739</v>
      </c>
      <c r="H334" t="str">
        <f t="shared" si="28"/>
        <v>Top Customers</v>
      </c>
    </row>
    <row r="335" spans="1:8" x14ac:dyDescent="0.25">
      <c r="A335">
        <v>1311</v>
      </c>
      <c r="B335" s="6">
        <f>COUNTIF(Raw_Data!A:A,A335)</f>
        <v>5</v>
      </c>
      <c r="C335" s="6">
        <f>SUMIFS(Raw_Data!G:G, Raw_Data!A:A, A335)</f>
        <v>11099</v>
      </c>
      <c r="D335" s="6">
        <f t="shared" si="25"/>
        <v>2219.8000000000002</v>
      </c>
      <c r="E335" t="str">
        <f t="shared" si="26"/>
        <v>Repeat</v>
      </c>
      <c r="F335" s="6">
        <f t="shared" si="29"/>
        <v>5874725</v>
      </c>
      <c r="G335" s="7">
        <f t="shared" si="27"/>
        <v>0.76825012936630066</v>
      </c>
      <c r="H335" t="str">
        <f t="shared" si="28"/>
        <v>Top Customers</v>
      </c>
    </row>
    <row r="336" spans="1:8" x14ac:dyDescent="0.25">
      <c r="A336">
        <v>1486</v>
      </c>
      <c r="B336" s="6">
        <f>COUNTIF(Raw_Data!A:A,A336)</f>
        <v>3</v>
      </c>
      <c r="C336" s="6">
        <f>SUMIFS(Raw_Data!G:G, Raw_Data!A:A, A336)</f>
        <v>11057</v>
      </c>
      <c r="D336" s="6">
        <f t="shared" si="25"/>
        <v>3685.6666666666665</v>
      </c>
      <c r="E336" t="str">
        <f t="shared" si="26"/>
        <v>Repeat</v>
      </c>
      <c r="F336" s="6">
        <f t="shared" si="29"/>
        <v>5885782</v>
      </c>
      <c r="G336" s="7">
        <f t="shared" si="27"/>
        <v>0.76969607648389393</v>
      </c>
      <c r="H336" t="str">
        <f t="shared" si="28"/>
        <v>Top Customers</v>
      </c>
    </row>
    <row r="337" spans="1:8" x14ac:dyDescent="0.25">
      <c r="A337">
        <v>1256</v>
      </c>
      <c r="B337" s="6">
        <f>COUNTIF(Raw_Data!A:A,A337)</f>
        <v>4</v>
      </c>
      <c r="C337" s="6">
        <f>SUMIFS(Raw_Data!G:G, Raw_Data!A:A, A337)</f>
        <v>11020</v>
      </c>
      <c r="D337" s="6">
        <f t="shared" si="25"/>
        <v>2755</v>
      </c>
      <c r="E337" t="str">
        <f t="shared" si="26"/>
        <v>Repeat</v>
      </c>
      <c r="F337" s="6">
        <f t="shared" si="29"/>
        <v>5896802</v>
      </c>
      <c r="G337" s="7">
        <f t="shared" si="27"/>
        <v>0.77113718503376083</v>
      </c>
      <c r="H337" t="str">
        <f t="shared" si="28"/>
        <v>Top Customers</v>
      </c>
    </row>
    <row r="338" spans="1:8" x14ac:dyDescent="0.25">
      <c r="A338">
        <v>1382</v>
      </c>
      <c r="B338" s="6">
        <f>COUNTIF(Raw_Data!A:A,A338)</f>
        <v>6</v>
      </c>
      <c r="C338" s="6">
        <f>SUMIFS(Raw_Data!G:G, Raw_Data!A:A, A338)</f>
        <v>10938</v>
      </c>
      <c r="D338" s="6">
        <f t="shared" si="25"/>
        <v>1823</v>
      </c>
      <c r="E338" t="str">
        <f t="shared" si="26"/>
        <v>Repeat</v>
      </c>
      <c r="F338" s="6">
        <f t="shared" si="29"/>
        <v>5907740</v>
      </c>
      <c r="G338" s="7">
        <f t="shared" si="27"/>
        <v>0.77256757027136913</v>
      </c>
      <c r="H338" t="str">
        <f t="shared" si="28"/>
        <v>Top Customers</v>
      </c>
    </row>
    <row r="339" spans="1:8" x14ac:dyDescent="0.25">
      <c r="A339">
        <v>1582</v>
      </c>
      <c r="B339" s="6">
        <f>COUNTIF(Raw_Data!A:A,A339)</f>
        <v>5</v>
      </c>
      <c r="C339" s="6">
        <f>SUMIFS(Raw_Data!G:G, Raw_Data!A:A, A339)</f>
        <v>10864</v>
      </c>
      <c r="D339" s="6">
        <f t="shared" si="25"/>
        <v>2172.8000000000002</v>
      </c>
      <c r="E339" t="str">
        <f t="shared" si="26"/>
        <v>Repeat</v>
      </c>
      <c r="F339" s="6">
        <f t="shared" si="29"/>
        <v>5918604</v>
      </c>
      <c r="G339" s="7">
        <f t="shared" si="27"/>
        <v>0.77398827837352457</v>
      </c>
      <c r="H339" t="str">
        <f t="shared" si="28"/>
        <v>Top Customers</v>
      </c>
    </row>
    <row r="340" spans="1:8" x14ac:dyDescent="0.25">
      <c r="A340">
        <v>1373</v>
      </c>
      <c r="B340" s="6">
        <f>COUNTIF(Raw_Data!A:A,A340)</f>
        <v>5</v>
      </c>
      <c r="C340" s="6">
        <f>SUMIFS(Raw_Data!G:G, Raw_Data!A:A, A340)</f>
        <v>10837</v>
      </c>
      <c r="D340" s="6">
        <f t="shared" si="25"/>
        <v>2167.4</v>
      </c>
      <c r="E340" t="str">
        <f t="shared" si="26"/>
        <v>Repeat</v>
      </c>
      <c r="F340" s="6">
        <f t="shared" si="29"/>
        <v>5929441</v>
      </c>
      <c r="G340" s="7">
        <f t="shared" si="27"/>
        <v>0.77540545562896079</v>
      </c>
      <c r="H340" t="str">
        <f t="shared" si="28"/>
        <v>Top Customers</v>
      </c>
    </row>
    <row r="341" spans="1:8" x14ac:dyDescent="0.25">
      <c r="A341">
        <v>1179</v>
      </c>
      <c r="B341" s="6">
        <f>COUNTIF(Raw_Data!A:A,A341)</f>
        <v>3</v>
      </c>
      <c r="C341" s="6">
        <f>SUMIFS(Raw_Data!G:G, Raw_Data!A:A, A341)</f>
        <v>10817</v>
      </c>
      <c r="D341" s="6">
        <f t="shared" si="25"/>
        <v>3605.6666666666665</v>
      </c>
      <c r="E341" t="str">
        <f t="shared" si="26"/>
        <v>Repeat</v>
      </c>
      <c r="F341" s="6">
        <f t="shared" si="29"/>
        <v>5940258</v>
      </c>
      <c r="G341" s="7">
        <f t="shared" si="27"/>
        <v>0.77682001744238283</v>
      </c>
      <c r="H341" t="str">
        <f t="shared" si="28"/>
        <v>Top Customers</v>
      </c>
    </row>
    <row r="342" spans="1:8" x14ac:dyDescent="0.25">
      <c r="A342">
        <v>1429</v>
      </c>
      <c r="B342" s="6">
        <f>COUNTIF(Raw_Data!A:A,A342)</f>
        <v>4</v>
      </c>
      <c r="C342" s="6">
        <f>SUMIFS(Raw_Data!G:G, Raw_Data!A:A, A342)</f>
        <v>10773</v>
      </c>
      <c r="D342" s="6">
        <f t="shared" si="25"/>
        <v>2693.25</v>
      </c>
      <c r="E342" t="str">
        <f t="shared" si="26"/>
        <v>Repeat</v>
      </c>
      <c r="F342" s="6">
        <f t="shared" si="29"/>
        <v>5951031</v>
      </c>
      <c r="G342" s="7">
        <f t="shared" si="27"/>
        <v>0.77822882528337334</v>
      </c>
      <c r="H342" t="str">
        <f t="shared" si="28"/>
        <v>Top Customers</v>
      </c>
    </row>
    <row r="343" spans="1:8" x14ac:dyDescent="0.25">
      <c r="A343">
        <v>1410</v>
      </c>
      <c r="B343" s="6">
        <f>COUNTIF(Raw_Data!A:A,A343)</f>
        <v>3</v>
      </c>
      <c r="C343" s="6">
        <f>SUMIFS(Raw_Data!G:G, Raw_Data!A:A, A343)</f>
        <v>10746</v>
      </c>
      <c r="D343" s="6">
        <f t="shared" si="25"/>
        <v>3582</v>
      </c>
      <c r="E343" t="str">
        <f t="shared" si="26"/>
        <v>Repeat</v>
      </c>
      <c r="F343" s="6">
        <f t="shared" si="29"/>
        <v>5961777</v>
      </c>
      <c r="G343" s="7">
        <f t="shared" si="27"/>
        <v>0.77963410227764463</v>
      </c>
      <c r="H343" t="str">
        <f t="shared" si="28"/>
        <v>Top Customers</v>
      </c>
    </row>
    <row r="344" spans="1:8" x14ac:dyDescent="0.25">
      <c r="A344">
        <v>1222</v>
      </c>
      <c r="B344" s="6">
        <f>COUNTIF(Raw_Data!A:A,A344)</f>
        <v>4</v>
      </c>
      <c r="C344" s="6">
        <f>SUMIFS(Raw_Data!G:G, Raw_Data!A:A, A344)</f>
        <v>10693</v>
      </c>
      <c r="D344" s="6">
        <f t="shared" si="25"/>
        <v>2673.25</v>
      </c>
      <c r="E344" t="str">
        <f t="shared" si="26"/>
        <v>Repeat</v>
      </c>
      <c r="F344" s="6">
        <f t="shared" si="29"/>
        <v>5972470</v>
      </c>
      <c r="G344" s="7">
        <f t="shared" si="27"/>
        <v>0.78103244835057806</v>
      </c>
      <c r="H344" t="str">
        <f t="shared" si="28"/>
        <v>Top Customers</v>
      </c>
    </row>
    <row r="345" spans="1:8" x14ac:dyDescent="0.25">
      <c r="A345">
        <v>1457</v>
      </c>
      <c r="B345" s="6">
        <f>COUNTIF(Raw_Data!A:A,A345)</f>
        <v>4</v>
      </c>
      <c r="C345" s="6">
        <f>SUMIFS(Raw_Data!G:G, Raw_Data!A:A, A345)</f>
        <v>10657</v>
      </c>
      <c r="D345" s="6">
        <f t="shared" si="25"/>
        <v>2664.25</v>
      </c>
      <c r="E345" t="str">
        <f t="shared" si="26"/>
        <v>Repeat</v>
      </c>
      <c r="F345" s="6">
        <f t="shared" si="29"/>
        <v>5983127</v>
      </c>
      <c r="G345" s="7">
        <f t="shared" si="27"/>
        <v>0.78242608662788582</v>
      </c>
      <c r="H345" t="str">
        <f t="shared" si="28"/>
        <v>Top Customers</v>
      </c>
    </row>
    <row r="346" spans="1:8" x14ac:dyDescent="0.25">
      <c r="A346">
        <v>1042</v>
      </c>
      <c r="B346" s="6">
        <f>COUNTIF(Raw_Data!A:A,A346)</f>
        <v>5</v>
      </c>
      <c r="C346" s="6">
        <f>SUMIFS(Raw_Data!G:G, Raw_Data!A:A, A346)</f>
        <v>10653</v>
      </c>
      <c r="D346" s="6">
        <f t="shared" si="25"/>
        <v>2130.6</v>
      </c>
      <c r="E346" t="str">
        <f t="shared" si="26"/>
        <v>Repeat</v>
      </c>
      <c r="F346" s="6">
        <f t="shared" si="29"/>
        <v>5993780</v>
      </c>
      <c r="G346" s="7">
        <f t="shared" si="27"/>
        <v>0.78381920181679066</v>
      </c>
      <c r="H346" t="str">
        <f t="shared" si="28"/>
        <v>Top Customers</v>
      </c>
    </row>
    <row r="347" spans="1:8" x14ac:dyDescent="0.25">
      <c r="A347">
        <v>1398</v>
      </c>
      <c r="B347" s="6">
        <f>COUNTIF(Raw_Data!A:A,A347)</f>
        <v>4</v>
      </c>
      <c r="C347" s="6">
        <f>SUMIFS(Raw_Data!G:G, Raw_Data!A:A, A347)</f>
        <v>10635</v>
      </c>
      <c r="D347" s="6">
        <f t="shared" si="25"/>
        <v>2658.75</v>
      </c>
      <c r="E347" t="str">
        <f t="shared" si="26"/>
        <v>Repeat</v>
      </c>
      <c r="F347" s="6">
        <f t="shared" si="29"/>
        <v>6004415</v>
      </c>
      <c r="G347" s="7">
        <f t="shared" si="27"/>
        <v>0.78520996310788271</v>
      </c>
      <c r="H347" t="str">
        <f t="shared" si="28"/>
        <v>Top Customers</v>
      </c>
    </row>
    <row r="348" spans="1:8" x14ac:dyDescent="0.25">
      <c r="A348">
        <v>1331</v>
      </c>
      <c r="B348" s="6">
        <f>COUNTIF(Raw_Data!A:A,A348)</f>
        <v>3</v>
      </c>
      <c r="C348" s="6">
        <f>SUMIFS(Raw_Data!G:G, Raw_Data!A:A, A348)</f>
        <v>10587</v>
      </c>
      <c r="D348" s="6">
        <f t="shared" si="25"/>
        <v>3529</v>
      </c>
      <c r="E348" t="str">
        <f t="shared" si="26"/>
        <v>Repeat</v>
      </c>
      <c r="F348" s="6">
        <f t="shared" si="29"/>
        <v>6015002</v>
      </c>
      <c r="G348" s="7">
        <f t="shared" si="27"/>
        <v>0.78659444733814043</v>
      </c>
      <c r="H348" t="str">
        <f t="shared" si="28"/>
        <v>Top Customers</v>
      </c>
    </row>
    <row r="349" spans="1:8" x14ac:dyDescent="0.25">
      <c r="A349">
        <v>1209</v>
      </c>
      <c r="B349" s="6">
        <f>COUNTIF(Raw_Data!A:A,A349)</f>
        <v>4</v>
      </c>
      <c r="C349" s="6">
        <f>SUMIFS(Raw_Data!G:G, Raw_Data!A:A, A349)</f>
        <v>10570</v>
      </c>
      <c r="D349" s="6">
        <f t="shared" si="25"/>
        <v>2642.5</v>
      </c>
      <c r="E349" t="str">
        <f t="shared" si="26"/>
        <v>Repeat</v>
      </c>
      <c r="F349" s="6">
        <f t="shared" si="29"/>
        <v>6025572</v>
      </c>
      <c r="G349" s="7">
        <f t="shared" si="27"/>
        <v>0.78797670844268608</v>
      </c>
      <c r="H349" t="str">
        <f t="shared" si="28"/>
        <v>Top Customers</v>
      </c>
    </row>
    <row r="350" spans="1:8" x14ac:dyDescent="0.25">
      <c r="A350">
        <v>1026</v>
      </c>
      <c r="B350" s="6">
        <f>COUNTIF(Raw_Data!A:A,A350)</f>
        <v>5</v>
      </c>
      <c r="C350" s="6">
        <f>SUMIFS(Raw_Data!G:G, Raw_Data!A:A, A350)</f>
        <v>10563</v>
      </c>
      <c r="D350" s="6">
        <f t="shared" si="25"/>
        <v>2112.6</v>
      </c>
      <c r="E350" t="str">
        <f t="shared" si="26"/>
        <v>Repeat</v>
      </c>
      <c r="F350" s="6">
        <f t="shared" si="29"/>
        <v>6036135</v>
      </c>
      <c r="G350" s="7">
        <f t="shared" si="27"/>
        <v>0.78935805414252669</v>
      </c>
      <c r="H350" t="str">
        <f t="shared" si="28"/>
        <v>Top Customers</v>
      </c>
    </row>
    <row r="351" spans="1:8" x14ac:dyDescent="0.25">
      <c r="A351">
        <v>1191</v>
      </c>
      <c r="B351" s="6">
        <f>COUNTIF(Raw_Data!A:A,A351)</f>
        <v>5</v>
      </c>
      <c r="C351" s="6">
        <f>SUMIFS(Raw_Data!G:G, Raw_Data!A:A, A351)</f>
        <v>10541</v>
      </c>
      <c r="D351" s="6">
        <f t="shared" si="25"/>
        <v>2108.1999999999998</v>
      </c>
      <c r="E351" t="str">
        <f t="shared" si="26"/>
        <v>Repeat</v>
      </c>
      <c r="F351" s="6">
        <f t="shared" si="29"/>
        <v>6046676</v>
      </c>
      <c r="G351" s="7">
        <f t="shared" si="27"/>
        <v>0.79073652285615159</v>
      </c>
      <c r="H351" t="str">
        <f t="shared" si="28"/>
        <v>Top Customers</v>
      </c>
    </row>
    <row r="352" spans="1:8" x14ac:dyDescent="0.25">
      <c r="A352">
        <v>1417</v>
      </c>
      <c r="B352" s="6">
        <f>COUNTIF(Raw_Data!A:A,A352)</f>
        <v>4</v>
      </c>
      <c r="C352" s="6">
        <f>SUMIFS(Raw_Data!G:G, Raw_Data!A:A, A352)</f>
        <v>10526</v>
      </c>
      <c r="D352" s="6">
        <f t="shared" si="25"/>
        <v>2631.5</v>
      </c>
      <c r="E352" t="str">
        <f t="shared" si="26"/>
        <v>Repeat</v>
      </c>
      <c r="F352" s="6">
        <f t="shared" si="29"/>
        <v>6057202</v>
      </c>
      <c r="G352" s="7">
        <f t="shared" si="27"/>
        <v>0.79211302998826583</v>
      </c>
      <c r="H352" t="str">
        <f t="shared" si="28"/>
        <v>Top Customers</v>
      </c>
    </row>
    <row r="353" spans="1:8" x14ac:dyDescent="0.25">
      <c r="A353">
        <v>1295</v>
      </c>
      <c r="B353" s="6">
        <f>COUNTIF(Raw_Data!A:A,A353)</f>
        <v>5</v>
      </c>
      <c r="C353" s="6">
        <f>SUMIFS(Raw_Data!G:G, Raw_Data!A:A, A353)</f>
        <v>10520</v>
      </c>
      <c r="D353" s="6">
        <f t="shared" si="25"/>
        <v>2104</v>
      </c>
      <c r="E353" t="str">
        <f t="shared" si="26"/>
        <v>Repeat</v>
      </c>
      <c r="F353" s="6">
        <f t="shared" si="29"/>
        <v>6067722</v>
      </c>
      <c r="G353" s="7">
        <f t="shared" si="27"/>
        <v>0.79348875248777573</v>
      </c>
      <c r="H353" t="str">
        <f t="shared" si="28"/>
        <v>Top Customers</v>
      </c>
    </row>
    <row r="354" spans="1:8" x14ac:dyDescent="0.25">
      <c r="A354">
        <v>1325</v>
      </c>
      <c r="B354" s="6">
        <f>COUNTIF(Raw_Data!A:A,A354)</f>
        <v>4</v>
      </c>
      <c r="C354" s="6">
        <f>SUMIFS(Raw_Data!G:G, Raw_Data!A:A, A354)</f>
        <v>10514</v>
      </c>
      <c r="D354" s="6">
        <f t="shared" si="25"/>
        <v>2628.5</v>
      </c>
      <c r="E354" t="str">
        <f t="shared" si="26"/>
        <v>Repeat</v>
      </c>
      <c r="F354" s="6">
        <f t="shared" si="29"/>
        <v>6078236</v>
      </c>
      <c r="G354" s="7">
        <f t="shared" si="27"/>
        <v>0.79486369035468141</v>
      </c>
      <c r="H354" t="str">
        <f t="shared" si="28"/>
        <v>Top Customers</v>
      </c>
    </row>
    <row r="355" spans="1:8" x14ac:dyDescent="0.25">
      <c r="A355">
        <v>1567</v>
      </c>
      <c r="B355" s="6">
        <f>COUNTIF(Raw_Data!A:A,A355)</f>
        <v>5</v>
      </c>
      <c r="C355" s="6">
        <f>SUMIFS(Raw_Data!G:G, Raw_Data!A:A, A355)</f>
        <v>10506</v>
      </c>
      <c r="D355" s="6">
        <f t="shared" si="25"/>
        <v>2101.1999999999998</v>
      </c>
      <c r="E355" t="str">
        <f t="shared" si="26"/>
        <v>Repeat</v>
      </c>
      <c r="F355" s="6">
        <f t="shared" si="29"/>
        <v>6088742</v>
      </c>
      <c r="G355" s="7">
        <f t="shared" si="27"/>
        <v>0.79623758204478134</v>
      </c>
      <c r="H355" t="str">
        <f t="shared" si="28"/>
        <v>Top Customers</v>
      </c>
    </row>
    <row r="356" spans="1:8" x14ac:dyDescent="0.25">
      <c r="A356">
        <v>1577</v>
      </c>
      <c r="B356" s="6">
        <f>COUNTIF(Raw_Data!A:A,A356)</f>
        <v>4</v>
      </c>
      <c r="C356" s="6">
        <f>SUMIFS(Raw_Data!G:G, Raw_Data!A:A, A356)</f>
        <v>10494</v>
      </c>
      <c r="D356" s="6">
        <f t="shared" si="25"/>
        <v>2623.5</v>
      </c>
      <c r="E356" t="str">
        <f t="shared" si="26"/>
        <v>Repeat</v>
      </c>
      <c r="F356" s="6">
        <f t="shared" si="29"/>
        <v>6099236</v>
      </c>
      <c r="G356" s="7">
        <f t="shared" si="27"/>
        <v>0.79760990446967273</v>
      </c>
      <c r="H356" t="str">
        <f t="shared" si="28"/>
        <v>Top Customers</v>
      </c>
    </row>
    <row r="357" spans="1:8" x14ac:dyDescent="0.25">
      <c r="A357">
        <v>1502</v>
      </c>
      <c r="B357" s="6">
        <f>COUNTIF(Raw_Data!A:A,A357)</f>
        <v>3</v>
      </c>
      <c r="C357" s="6">
        <f>SUMIFS(Raw_Data!G:G, Raw_Data!A:A, A357)</f>
        <v>10480</v>
      </c>
      <c r="D357" s="6">
        <f t="shared" si="25"/>
        <v>3493.3333333333335</v>
      </c>
      <c r="E357" t="str">
        <f t="shared" si="26"/>
        <v>Repeat</v>
      </c>
      <c r="F357" s="6">
        <f t="shared" si="29"/>
        <v>6109716</v>
      </c>
      <c r="G357" s="7">
        <f t="shared" si="27"/>
        <v>0.79898039608515403</v>
      </c>
      <c r="H357" t="str">
        <f t="shared" si="28"/>
        <v>Top Customers</v>
      </c>
    </row>
    <row r="358" spans="1:8" x14ac:dyDescent="0.25">
      <c r="A358">
        <v>1056</v>
      </c>
      <c r="B358" s="6">
        <f>COUNTIF(Raw_Data!A:A,A358)</f>
        <v>3</v>
      </c>
      <c r="C358" s="6">
        <f>SUMIFS(Raw_Data!G:G, Raw_Data!A:A, A358)</f>
        <v>10451</v>
      </c>
      <c r="D358" s="6">
        <f t="shared" si="25"/>
        <v>3483.6666666666665</v>
      </c>
      <c r="E358" t="str">
        <f t="shared" si="26"/>
        <v>Repeat</v>
      </c>
      <c r="F358" s="6">
        <f t="shared" si="29"/>
        <v>6120167</v>
      </c>
      <c r="G358" s="7">
        <f t="shared" si="27"/>
        <v>0.80034709530971471</v>
      </c>
      <c r="H358" t="str">
        <f t="shared" si="28"/>
        <v>Others</v>
      </c>
    </row>
    <row r="359" spans="1:8" x14ac:dyDescent="0.25">
      <c r="A359">
        <v>1454</v>
      </c>
      <c r="B359" s="6">
        <f>COUNTIF(Raw_Data!A:A,A359)</f>
        <v>6</v>
      </c>
      <c r="C359" s="6">
        <f>SUMIFS(Raw_Data!G:G, Raw_Data!A:A, A359)</f>
        <v>10425</v>
      </c>
      <c r="D359" s="6">
        <f t="shared" si="25"/>
        <v>1737.5</v>
      </c>
      <c r="E359" t="str">
        <f t="shared" si="26"/>
        <v>Repeat</v>
      </c>
      <c r="F359" s="6">
        <f t="shared" si="29"/>
        <v>6130592</v>
      </c>
      <c r="G359" s="7">
        <f t="shared" si="27"/>
        <v>0.80171039445965686</v>
      </c>
      <c r="H359" t="str">
        <f t="shared" si="28"/>
        <v>Others</v>
      </c>
    </row>
    <row r="360" spans="1:8" x14ac:dyDescent="0.25">
      <c r="A360">
        <v>1076</v>
      </c>
      <c r="B360" s="6">
        <f>COUNTIF(Raw_Data!A:A,A360)</f>
        <v>5</v>
      </c>
      <c r="C360" s="6">
        <f>SUMIFS(Raw_Data!G:G, Raw_Data!A:A, A360)</f>
        <v>10418</v>
      </c>
      <c r="D360" s="6">
        <f t="shared" si="25"/>
        <v>2083.6</v>
      </c>
      <c r="E360" t="str">
        <f t="shared" si="26"/>
        <v>Repeat</v>
      </c>
      <c r="F360" s="6">
        <f t="shared" si="29"/>
        <v>6141010</v>
      </c>
      <c r="G360" s="7">
        <f t="shared" si="27"/>
        <v>0.80307277820489398</v>
      </c>
      <c r="H360" t="str">
        <f t="shared" si="28"/>
        <v>Others</v>
      </c>
    </row>
    <row r="361" spans="1:8" x14ac:dyDescent="0.25">
      <c r="A361">
        <v>1090</v>
      </c>
      <c r="B361" s="6">
        <f>COUNTIF(Raw_Data!A:A,A361)</f>
        <v>5</v>
      </c>
      <c r="C361" s="6">
        <f>SUMIFS(Raw_Data!G:G, Raw_Data!A:A, A361)</f>
        <v>10409</v>
      </c>
      <c r="D361" s="6">
        <f t="shared" si="25"/>
        <v>2081.8000000000002</v>
      </c>
      <c r="E361" t="str">
        <f t="shared" si="26"/>
        <v>Repeat</v>
      </c>
      <c r="F361" s="6">
        <f t="shared" si="29"/>
        <v>6151419</v>
      </c>
      <c r="G361" s="7">
        <f t="shared" si="27"/>
        <v>0.80443398500122465</v>
      </c>
      <c r="H361" t="str">
        <f t="shared" si="28"/>
        <v>Others</v>
      </c>
    </row>
    <row r="362" spans="1:8" x14ac:dyDescent="0.25">
      <c r="A362">
        <v>1316</v>
      </c>
      <c r="B362" s="6">
        <f>COUNTIF(Raw_Data!A:A,A362)</f>
        <v>4</v>
      </c>
      <c r="C362" s="6">
        <f>SUMIFS(Raw_Data!G:G, Raw_Data!A:A, A362)</f>
        <v>10316</v>
      </c>
      <c r="D362" s="6">
        <f t="shared" si="25"/>
        <v>2579</v>
      </c>
      <c r="E362" t="str">
        <f t="shared" si="26"/>
        <v>Repeat</v>
      </c>
      <c r="F362" s="6">
        <f t="shared" si="29"/>
        <v>6161735</v>
      </c>
      <c r="G362" s="7">
        <f t="shared" si="27"/>
        <v>0.80578302999218898</v>
      </c>
      <c r="H362" t="str">
        <f t="shared" si="28"/>
        <v>Others</v>
      </c>
    </row>
    <row r="363" spans="1:8" x14ac:dyDescent="0.25">
      <c r="A363">
        <v>1234</v>
      </c>
      <c r="B363" s="6">
        <f>COUNTIF(Raw_Data!A:A,A363)</f>
        <v>3</v>
      </c>
      <c r="C363" s="6">
        <f>SUMIFS(Raw_Data!G:G, Raw_Data!A:A, A363)</f>
        <v>10284</v>
      </c>
      <c r="D363" s="6">
        <f t="shared" si="25"/>
        <v>3428</v>
      </c>
      <c r="E363" t="str">
        <f t="shared" si="26"/>
        <v>Repeat</v>
      </c>
      <c r="F363" s="6">
        <f t="shared" si="29"/>
        <v>6172019</v>
      </c>
      <c r="G363" s="7">
        <f t="shared" si="27"/>
        <v>0.80712789027593046</v>
      </c>
      <c r="H363" t="str">
        <f t="shared" si="28"/>
        <v>Others</v>
      </c>
    </row>
    <row r="364" spans="1:8" x14ac:dyDescent="0.25">
      <c r="A364">
        <v>1544</v>
      </c>
      <c r="B364" s="6">
        <f>COUNTIF(Raw_Data!A:A,A364)</f>
        <v>4</v>
      </c>
      <c r="C364" s="6">
        <f>SUMIFS(Raw_Data!G:G, Raw_Data!A:A, A364)</f>
        <v>10265</v>
      </c>
      <c r="D364" s="6">
        <f t="shared" si="25"/>
        <v>2566.25</v>
      </c>
      <c r="E364" t="str">
        <f t="shared" si="26"/>
        <v>Repeat</v>
      </c>
      <c r="F364" s="6">
        <f t="shared" si="29"/>
        <v>6182284</v>
      </c>
      <c r="G364" s="7">
        <f t="shared" si="27"/>
        <v>0.80847026588975834</v>
      </c>
      <c r="H364" t="str">
        <f t="shared" si="28"/>
        <v>Others</v>
      </c>
    </row>
    <row r="365" spans="1:8" x14ac:dyDescent="0.25">
      <c r="A365">
        <v>1151</v>
      </c>
      <c r="B365" s="6">
        <f>COUNTIF(Raw_Data!A:A,A365)</f>
        <v>4</v>
      </c>
      <c r="C365" s="6">
        <f>SUMIFS(Raw_Data!G:G, Raw_Data!A:A, A365)</f>
        <v>10240</v>
      </c>
      <c r="D365" s="6">
        <f t="shared" si="25"/>
        <v>2560</v>
      </c>
      <c r="E365" t="str">
        <f t="shared" si="26"/>
        <v>Repeat</v>
      </c>
      <c r="F365" s="6">
        <f t="shared" si="29"/>
        <v>6192524</v>
      </c>
      <c r="G365" s="7">
        <f t="shared" si="27"/>
        <v>0.80980937220106841</v>
      </c>
      <c r="H365" t="str">
        <f t="shared" si="28"/>
        <v>Others</v>
      </c>
    </row>
    <row r="366" spans="1:8" x14ac:dyDescent="0.25">
      <c r="A366">
        <v>1309</v>
      </c>
      <c r="B366" s="6">
        <f>COUNTIF(Raw_Data!A:A,A366)</f>
        <v>4</v>
      </c>
      <c r="C366" s="6">
        <f>SUMIFS(Raw_Data!G:G, Raw_Data!A:A, A366)</f>
        <v>10193</v>
      </c>
      <c r="D366" s="6">
        <f t="shared" si="25"/>
        <v>2548.25</v>
      </c>
      <c r="E366" t="str">
        <f t="shared" si="26"/>
        <v>Repeat</v>
      </c>
      <c r="F366" s="6">
        <f t="shared" si="29"/>
        <v>6202717</v>
      </c>
      <c r="G366" s="7">
        <f t="shared" si="27"/>
        <v>0.81114233222364485</v>
      </c>
      <c r="H366" t="str">
        <f t="shared" si="28"/>
        <v>Others</v>
      </c>
    </row>
    <row r="367" spans="1:8" x14ac:dyDescent="0.25">
      <c r="A367">
        <v>1230</v>
      </c>
      <c r="B367" s="6">
        <f>COUNTIF(Raw_Data!A:A,A367)</f>
        <v>3</v>
      </c>
      <c r="C367" s="6">
        <f>SUMIFS(Raw_Data!G:G, Raw_Data!A:A, A367)</f>
        <v>10143</v>
      </c>
      <c r="D367" s="6">
        <f t="shared" si="25"/>
        <v>3381</v>
      </c>
      <c r="E367" t="str">
        <f t="shared" si="26"/>
        <v>Repeat</v>
      </c>
      <c r="F367" s="6">
        <f t="shared" si="29"/>
        <v>6212860</v>
      </c>
      <c r="G367" s="7">
        <f t="shared" si="27"/>
        <v>0.81246875364118565</v>
      </c>
      <c r="H367" t="str">
        <f t="shared" si="28"/>
        <v>Others</v>
      </c>
    </row>
    <row r="368" spans="1:8" x14ac:dyDescent="0.25">
      <c r="A368">
        <v>1448</v>
      </c>
      <c r="B368" s="6">
        <f>COUNTIF(Raw_Data!A:A,A368)</f>
        <v>3</v>
      </c>
      <c r="C368" s="6">
        <f>SUMIFS(Raw_Data!G:G, Raw_Data!A:A, A368)</f>
        <v>10143</v>
      </c>
      <c r="D368" s="6">
        <f t="shared" si="25"/>
        <v>3381</v>
      </c>
      <c r="E368" t="str">
        <f t="shared" si="26"/>
        <v>Repeat</v>
      </c>
      <c r="F368" s="6">
        <f t="shared" si="29"/>
        <v>6223003</v>
      </c>
      <c r="G368" s="7">
        <f t="shared" si="27"/>
        <v>0.81379517505872645</v>
      </c>
      <c r="H368" t="str">
        <f t="shared" si="28"/>
        <v>Others</v>
      </c>
    </row>
    <row r="369" spans="1:8" x14ac:dyDescent="0.25">
      <c r="A369">
        <v>1453</v>
      </c>
      <c r="B369" s="6">
        <f>COUNTIF(Raw_Data!A:A,A369)</f>
        <v>6</v>
      </c>
      <c r="C369" s="6">
        <f>SUMIFS(Raw_Data!G:G, Raw_Data!A:A, A369)</f>
        <v>10085</v>
      </c>
      <c r="D369" s="6">
        <f t="shared" si="25"/>
        <v>1680.8333333333333</v>
      </c>
      <c r="E369" t="str">
        <f t="shared" si="26"/>
        <v>Repeat</v>
      </c>
      <c r="F369" s="6">
        <f t="shared" si="29"/>
        <v>6233088</v>
      </c>
      <c r="G369" s="7">
        <f t="shared" si="27"/>
        <v>0.81511401169442588</v>
      </c>
      <c r="H369" t="str">
        <f t="shared" si="28"/>
        <v>Others</v>
      </c>
    </row>
    <row r="370" spans="1:8" x14ac:dyDescent="0.25">
      <c r="A370">
        <v>1011</v>
      </c>
      <c r="B370" s="6">
        <f>COUNTIF(Raw_Data!A:A,A370)</f>
        <v>4</v>
      </c>
      <c r="C370" s="6">
        <f>SUMIFS(Raw_Data!G:G, Raw_Data!A:A, A370)</f>
        <v>9994</v>
      </c>
      <c r="D370" s="6">
        <f t="shared" si="25"/>
        <v>2498.5</v>
      </c>
      <c r="E370" t="str">
        <f t="shared" si="26"/>
        <v>Repeat</v>
      </c>
      <c r="F370" s="6">
        <f t="shared" si="29"/>
        <v>6243082</v>
      </c>
      <c r="G370" s="7">
        <f t="shared" si="27"/>
        <v>0.81642094806896026</v>
      </c>
      <c r="H370" t="str">
        <f t="shared" si="28"/>
        <v>Others</v>
      </c>
    </row>
    <row r="371" spans="1:8" x14ac:dyDescent="0.25">
      <c r="A371">
        <v>1491</v>
      </c>
      <c r="B371" s="6">
        <f>COUNTIF(Raw_Data!A:A,A371)</f>
        <v>4</v>
      </c>
      <c r="C371" s="6">
        <f>SUMIFS(Raw_Data!G:G, Raw_Data!A:A, A371)</f>
        <v>9965</v>
      </c>
      <c r="D371" s="6">
        <f t="shared" si="25"/>
        <v>2491.25</v>
      </c>
      <c r="E371" t="str">
        <f t="shared" si="26"/>
        <v>Repeat</v>
      </c>
      <c r="F371" s="6">
        <f t="shared" si="29"/>
        <v>6253047</v>
      </c>
      <c r="G371" s="7">
        <f t="shared" si="27"/>
        <v>0.81772409205257401</v>
      </c>
      <c r="H371" t="str">
        <f t="shared" si="28"/>
        <v>Others</v>
      </c>
    </row>
    <row r="372" spans="1:8" x14ac:dyDescent="0.25">
      <c r="A372">
        <v>1366</v>
      </c>
      <c r="B372" s="6">
        <f>COUNTIF(Raw_Data!A:A,A372)</f>
        <v>4</v>
      </c>
      <c r="C372" s="6">
        <f>SUMIFS(Raw_Data!G:G, Raw_Data!A:A, A372)</f>
        <v>9932</v>
      </c>
      <c r="D372" s="6">
        <f t="shared" si="25"/>
        <v>2483</v>
      </c>
      <c r="E372" t="str">
        <f t="shared" si="26"/>
        <v>Repeat</v>
      </c>
      <c r="F372" s="6">
        <f t="shared" si="29"/>
        <v>6262979</v>
      </c>
      <c r="G372" s="7">
        <f t="shared" si="27"/>
        <v>0.81902292055686421</v>
      </c>
      <c r="H372" t="str">
        <f t="shared" si="28"/>
        <v>Others</v>
      </c>
    </row>
    <row r="373" spans="1:8" x14ac:dyDescent="0.25">
      <c r="A373">
        <v>1174</v>
      </c>
      <c r="B373" s="6">
        <f>COUNTIF(Raw_Data!A:A,A373)</f>
        <v>3</v>
      </c>
      <c r="C373" s="6">
        <f>SUMIFS(Raw_Data!G:G, Raw_Data!A:A, A373)</f>
        <v>9870</v>
      </c>
      <c r="D373" s="6">
        <f t="shared" si="25"/>
        <v>3290</v>
      </c>
      <c r="E373" t="str">
        <f t="shared" si="26"/>
        <v>Repeat</v>
      </c>
      <c r="F373" s="6">
        <f t="shared" si="29"/>
        <v>6272849</v>
      </c>
      <c r="G373" s="7">
        <f t="shared" si="27"/>
        <v>0.8203136411909101</v>
      </c>
      <c r="H373" t="str">
        <f t="shared" si="28"/>
        <v>Others</v>
      </c>
    </row>
    <row r="374" spans="1:8" x14ac:dyDescent="0.25">
      <c r="A374">
        <v>1101</v>
      </c>
      <c r="B374" s="6">
        <f>COUNTIF(Raw_Data!A:A,A374)</f>
        <v>4</v>
      </c>
      <c r="C374" s="6">
        <f>SUMIFS(Raw_Data!G:G, Raw_Data!A:A, A374)</f>
        <v>9868</v>
      </c>
      <c r="D374" s="6">
        <f t="shared" si="25"/>
        <v>2467</v>
      </c>
      <c r="E374" t="str">
        <f t="shared" si="26"/>
        <v>Repeat</v>
      </c>
      <c r="F374" s="6">
        <f t="shared" si="29"/>
        <v>6282717</v>
      </c>
      <c r="G374" s="7">
        <f t="shared" si="27"/>
        <v>0.82160410028075459</v>
      </c>
      <c r="H374" t="str">
        <f t="shared" si="28"/>
        <v>Others</v>
      </c>
    </row>
    <row r="375" spans="1:8" x14ac:dyDescent="0.25">
      <c r="A375">
        <v>1514</v>
      </c>
      <c r="B375" s="6">
        <f>COUNTIF(Raw_Data!A:A,A375)</f>
        <v>4</v>
      </c>
      <c r="C375" s="6">
        <f>SUMIFS(Raw_Data!G:G, Raw_Data!A:A, A375)</f>
        <v>9860</v>
      </c>
      <c r="D375" s="6">
        <f t="shared" si="25"/>
        <v>2465</v>
      </c>
      <c r="E375" t="str">
        <f t="shared" si="26"/>
        <v>Repeat</v>
      </c>
      <c r="F375" s="6">
        <f t="shared" si="29"/>
        <v>6292577</v>
      </c>
      <c r="G375" s="7">
        <f t="shared" si="27"/>
        <v>0.82289351319379345</v>
      </c>
      <c r="H375" t="str">
        <f t="shared" si="28"/>
        <v>Others</v>
      </c>
    </row>
    <row r="376" spans="1:8" x14ac:dyDescent="0.25">
      <c r="A376">
        <v>1369</v>
      </c>
      <c r="B376" s="6">
        <f>COUNTIF(Raw_Data!A:A,A376)</f>
        <v>4</v>
      </c>
      <c r="C376" s="6">
        <f>SUMIFS(Raw_Data!G:G, Raw_Data!A:A, A376)</f>
        <v>9848</v>
      </c>
      <c r="D376" s="6">
        <f t="shared" si="25"/>
        <v>2462</v>
      </c>
      <c r="E376" t="str">
        <f t="shared" si="26"/>
        <v>Repeat</v>
      </c>
      <c r="F376" s="6">
        <f t="shared" si="29"/>
        <v>6302425</v>
      </c>
      <c r="G376" s="7">
        <f t="shared" si="27"/>
        <v>0.82418135684162364</v>
      </c>
      <c r="H376" t="str">
        <f t="shared" si="28"/>
        <v>Others</v>
      </c>
    </row>
    <row r="377" spans="1:8" x14ac:dyDescent="0.25">
      <c r="A377">
        <v>1235</v>
      </c>
      <c r="B377" s="6">
        <f>COUNTIF(Raw_Data!A:A,A377)</f>
        <v>4</v>
      </c>
      <c r="C377" s="6">
        <f>SUMIFS(Raw_Data!G:G, Raw_Data!A:A, A377)</f>
        <v>9846</v>
      </c>
      <c r="D377" s="6">
        <f t="shared" si="25"/>
        <v>2461.5</v>
      </c>
      <c r="E377" t="str">
        <f t="shared" si="26"/>
        <v>Repeat</v>
      </c>
      <c r="F377" s="6">
        <f t="shared" si="29"/>
        <v>6312271</v>
      </c>
      <c r="G377" s="7">
        <f t="shared" si="27"/>
        <v>0.82546893894525242</v>
      </c>
      <c r="H377" t="str">
        <f t="shared" si="28"/>
        <v>Others</v>
      </c>
    </row>
    <row r="378" spans="1:8" x14ac:dyDescent="0.25">
      <c r="A378">
        <v>1166</v>
      </c>
      <c r="B378" s="6">
        <f>COUNTIF(Raw_Data!A:A,A378)</f>
        <v>3</v>
      </c>
      <c r="C378" s="6">
        <f>SUMIFS(Raw_Data!G:G, Raw_Data!A:A, A378)</f>
        <v>9824</v>
      </c>
      <c r="D378" s="6">
        <f t="shared" si="25"/>
        <v>3274.6666666666665</v>
      </c>
      <c r="E378" t="str">
        <f t="shared" si="26"/>
        <v>Repeat</v>
      </c>
      <c r="F378" s="6">
        <f t="shared" si="29"/>
        <v>6322095</v>
      </c>
      <c r="G378" s="7">
        <f t="shared" si="27"/>
        <v>0.82675364406266549</v>
      </c>
      <c r="H378" t="str">
        <f t="shared" si="28"/>
        <v>Others</v>
      </c>
    </row>
    <row r="379" spans="1:8" x14ac:dyDescent="0.25">
      <c r="A379">
        <v>1587</v>
      </c>
      <c r="B379" s="6">
        <f>COUNTIF(Raw_Data!A:A,A379)</f>
        <v>3</v>
      </c>
      <c r="C379" s="6">
        <f>SUMIFS(Raw_Data!G:G, Raw_Data!A:A, A379)</f>
        <v>9673</v>
      </c>
      <c r="D379" s="6">
        <f t="shared" si="25"/>
        <v>3224.3333333333335</v>
      </c>
      <c r="E379" t="str">
        <f t="shared" si="26"/>
        <v>Repeat</v>
      </c>
      <c r="F379" s="6">
        <f t="shared" si="29"/>
        <v>6331768</v>
      </c>
      <c r="G379" s="7">
        <f t="shared" si="27"/>
        <v>0.82801860259287074</v>
      </c>
      <c r="H379" t="str">
        <f t="shared" si="28"/>
        <v>Others</v>
      </c>
    </row>
    <row r="380" spans="1:8" x14ac:dyDescent="0.25">
      <c r="A380">
        <v>1062</v>
      </c>
      <c r="B380" s="6">
        <f>COUNTIF(Raw_Data!A:A,A380)</f>
        <v>4</v>
      </c>
      <c r="C380" s="6">
        <f>SUMIFS(Raw_Data!G:G, Raw_Data!A:A, A380)</f>
        <v>9670</v>
      </c>
      <c r="D380" s="6">
        <f t="shared" si="25"/>
        <v>2417.5</v>
      </c>
      <c r="E380" t="str">
        <f t="shared" si="26"/>
        <v>Repeat</v>
      </c>
      <c r="F380" s="6">
        <f t="shared" si="29"/>
        <v>6341438</v>
      </c>
      <c r="G380" s="7">
        <f t="shared" si="27"/>
        <v>0.82928316880677388</v>
      </c>
      <c r="H380" t="str">
        <f t="shared" si="28"/>
        <v>Others</v>
      </c>
    </row>
    <row r="381" spans="1:8" x14ac:dyDescent="0.25">
      <c r="A381">
        <v>1461</v>
      </c>
      <c r="B381" s="6">
        <f>COUNTIF(Raw_Data!A:A,A381)</f>
        <v>4</v>
      </c>
      <c r="C381" s="6">
        <f>SUMIFS(Raw_Data!G:G, Raw_Data!A:A, A381)</f>
        <v>9634</v>
      </c>
      <c r="D381" s="6">
        <f t="shared" si="25"/>
        <v>2408.5</v>
      </c>
      <c r="E381" t="str">
        <f t="shared" si="26"/>
        <v>Repeat</v>
      </c>
      <c r="F381" s="6">
        <f t="shared" si="29"/>
        <v>6351072</v>
      </c>
      <c r="G381" s="7">
        <f t="shared" si="27"/>
        <v>0.83054302722505136</v>
      </c>
      <c r="H381" t="str">
        <f t="shared" si="28"/>
        <v>Others</v>
      </c>
    </row>
    <row r="382" spans="1:8" x14ac:dyDescent="0.25">
      <c r="A382">
        <v>1184</v>
      </c>
      <c r="B382" s="6">
        <f>COUNTIF(Raw_Data!A:A,A382)</f>
        <v>5</v>
      </c>
      <c r="C382" s="6">
        <f>SUMIFS(Raw_Data!G:G, Raw_Data!A:A, A382)</f>
        <v>9631</v>
      </c>
      <c r="D382" s="6">
        <f t="shared" si="25"/>
        <v>1926.2</v>
      </c>
      <c r="E382" t="str">
        <f t="shared" si="26"/>
        <v>Repeat</v>
      </c>
      <c r="F382" s="6">
        <f t="shared" si="29"/>
        <v>6360703</v>
      </c>
      <c r="G382" s="7">
        <f t="shared" si="27"/>
        <v>0.8318024933270266</v>
      </c>
      <c r="H382" t="str">
        <f t="shared" si="28"/>
        <v>Others</v>
      </c>
    </row>
    <row r="383" spans="1:8" x14ac:dyDescent="0.25">
      <c r="A383">
        <v>1298</v>
      </c>
      <c r="B383" s="6">
        <f>COUNTIF(Raw_Data!A:A,A383)</f>
        <v>3</v>
      </c>
      <c r="C383" s="6">
        <f>SUMIFS(Raw_Data!G:G, Raw_Data!A:A, A383)</f>
        <v>9595</v>
      </c>
      <c r="D383" s="6">
        <f t="shared" si="25"/>
        <v>3198.3333333333335</v>
      </c>
      <c r="E383" t="str">
        <f t="shared" si="26"/>
        <v>Repeat</v>
      </c>
      <c r="F383" s="6">
        <f t="shared" si="29"/>
        <v>6370298</v>
      </c>
      <c r="G383" s="7">
        <f t="shared" si="27"/>
        <v>0.83305725163337618</v>
      </c>
      <c r="H383" t="str">
        <f t="shared" si="28"/>
        <v>Others</v>
      </c>
    </row>
    <row r="384" spans="1:8" x14ac:dyDescent="0.25">
      <c r="A384">
        <v>1066</v>
      </c>
      <c r="B384" s="6">
        <f>COUNTIF(Raw_Data!A:A,A384)</f>
        <v>6</v>
      </c>
      <c r="C384" s="6">
        <f>SUMIFS(Raw_Data!G:G, Raw_Data!A:A, A384)</f>
        <v>9573</v>
      </c>
      <c r="D384" s="6">
        <f t="shared" si="25"/>
        <v>1595.5</v>
      </c>
      <c r="E384" t="str">
        <f t="shared" si="26"/>
        <v>Repeat</v>
      </c>
      <c r="F384" s="6">
        <f t="shared" si="29"/>
        <v>6379871</v>
      </c>
      <c r="G384" s="7">
        <f t="shared" si="27"/>
        <v>0.83430913295351017</v>
      </c>
      <c r="H384" t="str">
        <f t="shared" si="28"/>
        <v>Others</v>
      </c>
    </row>
    <row r="385" spans="1:8" x14ac:dyDescent="0.25">
      <c r="A385">
        <v>1237</v>
      </c>
      <c r="B385" s="6">
        <f>COUNTIF(Raw_Data!A:A,A385)</f>
        <v>4</v>
      </c>
      <c r="C385" s="6">
        <f>SUMIFS(Raw_Data!G:G, Raw_Data!A:A, A385)</f>
        <v>9564</v>
      </c>
      <c r="D385" s="6">
        <f t="shared" si="25"/>
        <v>2391</v>
      </c>
      <c r="E385" t="str">
        <f t="shared" si="26"/>
        <v>Repeat</v>
      </c>
      <c r="F385" s="6">
        <f t="shared" si="29"/>
        <v>6389435</v>
      </c>
      <c r="G385" s="7">
        <f t="shared" si="27"/>
        <v>0.8355598373247376</v>
      </c>
      <c r="H385" t="str">
        <f t="shared" si="28"/>
        <v>Others</v>
      </c>
    </row>
    <row r="386" spans="1:8" x14ac:dyDescent="0.25">
      <c r="A386">
        <v>1060</v>
      </c>
      <c r="B386" s="6">
        <f>COUNTIF(Raw_Data!A:A,A386)</f>
        <v>4</v>
      </c>
      <c r="C386" s="6">
        <f>SUMIFS(Raw_Data!G:G, Raw_Data!A:A, A386)</f>
        <v>9560</v>
      </c>
      <c r="D386" s="6">
        <f t="shared" ref="D386:D449" si="30">C386/B386</f>
        <v>2390</v>
      </c>
      <c r="E386" t="str">
        <f t="shared" ref="E386:E449" si="31">IF(B386&gt;1,"Repeat","New")</f>
        <v>Repeat</v>
      </c>
      <c r="F386" s="6">
        <f t="shared" si="29"/>
        <v>6398995</v>
      </c>
      <c r="G386" s="7">
        <f t="shared" si="27"/>
        <v>0.83681001860756221</v>
      </c>
      <c r="H386" t="str">
        <f t="shared" si="28"/>
        <v>Others</v>
      </c>
    </row>
    <row r="387" spans="1:8" x14ac:dyDescent="0.25">
      <c r="A387">
        <v>1345</v>
      </c>
      <c r="B387" s="6">
        <f>COUNTIF(Raw_Data!A:A,A387)</f>
        <v>5</v>
      </c>
      <c r="C387" s="6">
        <f>SUMIFS(Raw_Data!G:G, Raw_Data!A:A, A387)</f>
        <v>9503</v>
      </c>
      <c r="D387" s="6">
        <f t="shared" si="30"/>
        <v>1900.6</v>
      </c>
      <c r="E387" t="str">
        <f t="shared" si="31"/>
        <v>Repeat</v>
      </c>
      <c r="F387" s="6">
        <f t="shared" si="29"/>
        <v>6408498</v>
      </c>
      <c r="G387" s="7">
        <f t="shared" ref="G387:G450" si="32">F387/SUM($C:$C)</f>
        <v>0.83805274588064615</v>
      </c>
      <c r="H387" t="str">
        <f t="shared" ref="H387:H450" si="33">IF(G387&lt;=0.8,"Top Customers","Others")</f>
        <v>Others</v>
      </c>
    </row>
    <row r="388" spans="1:8" x14ac:dyDescent="0.25">
      <c r="A388">
        <v>1340</v>
      </c>
      <c r="B388" s="6">
        <f>COUNTIF(Raw_Data!A:A,A388)</f>
        <v>3</v>
      </c>
      <c r="C388" s="6">
        <f>SUMIFS(Raw_Data!G:G, Raw_Data!A:A, A388)</f>
        <v>9467</v>
      </c>
      <c r="D388" s="6">
        <f t="shared" si="30"/>
        <v>3155.6666666666665</v>
      </c>
      <c r="E388" t="str">
        <f t="shared" si="31"/>
        <v>Repeat</v>
      </c>
      <c r="F388" s="6">
        <f t="shared" ref="F388:F451" si="34">F387+C388</f>
        <v>6417965</v>
      </c>
      <c r="G388" s="7">
        <f t="shared" si="32"/>
        <v>0.83929076535810432</v>
      </c>
      <c r="H388" t="str">
        <f t="shared" si="33"/>
        <v>Others</v>
      </c>
    </row>
    <row r="389" spans="1:8" x14ac:dyDescent="0.25">
      <c r="A389">
        <v>1328</v>
      </c>
      <c r="B389" s="6">
        <f>COUNTIF(Raw_Data!A:A,A389)</f>
        <v>3</v>
      </c>
      <c r="C389" s="6">
        <f>SUMIFS(Raw_Data!G:G, Raw_Data!A:A, A389)</f>
        <v>9439</v>
      </c>
      <c r="D389" s="6">
        <f t="shared" si="30"/>
        <v>3146.3333333333335</v>
      </c>
      <c r="E389" t="str">
        <f t="shared" si="31"/>
        <v>Repeat</v>
      </c>
      <c r="F389" s="6">
        <f t="shared" si="34"/>
        <v>6427404</v>
      </c>
      <c r="G389" s="7">
        <f t="shared" si="32"/>
        <v>0.84052512321674255</v>
      </c>
      <c r="H389" t="str">
        <f t="shared" si="33"/>
        <v>Others</v>
      </c>
    </row>
    <row r="390" spans="1:8" x14ac:dyDescent="0.25">
      <c r="A390">
        <v>1586</v>
      </c>
      <c r="B390" s="6">
        <f>COUNTIF(Raw_Data!A:A,A390)</f>
        <v>3</v>
      </c>
      <c r="C390" s="6">
        <f>SUMIFS(Raw_Data!G:G, Raw_Data!A:A, A390)</f>
        <v>9408</v>
      </c>
      <c r="D390" s="6">
        <f t="shared" si="30"/>
        <v>3136</v>
      </c>
      <c r="E390" t="str">
        <f t="shared" si="31"/>
        <v>Repeat</v>
      </c>
      <c r="F390" s="6">
        <f t="shared" si="34"/>
        <v>6436812</v>
      </c>
      <c r="G390" s="7">
        <f t="shared" si="32"/>
        <v>0.84175542714025875</v>
      </c>
      <c r="H390" t="str">
        <f t="shared" si="33"/>
        <v>Others</v>
      </c>
    </row>
    <row r="391" spans="1:8" x14ac:dyDescent="0.25">
      <c r="A391">
        <v>1569</v>
      </c>
      <c r="B391" s="6">
        <f>COUNTIF(Raw_Data!A:A,A391)</f>
        <v>3</v>
      </c>
      <c r="C391" s="6">
        <f>SUMIFS(Raw_Data!G:G, Raw_Data!A:A, A391)</f>
        <v>9396</v>
      </c>
      <c r="D391" s="6">
        <f t="shared" si="30"/>
        <v>3132</v>
      </c>
      <c r="E391" t="str">
        <f t="shared" si="31"/>
        <v>Repeat</v>
      </c>
      <c r="F391" s="6">
        <f t="shared" si="34"/>
        <v>6446208</v>
      </c>
      <c r="G391" s="7">
        <f t="shared" si="32"/>
        <v>0.84298416179856628</v>
      </c>
      <c r="H391" t="str">
        <f t="shared" si="33"/>
        <v>Others</v>
      </c>
    </row>
    <row r="392" spans="1:8" x14ac:dyDescent="0.25">
      <c r="A392">
        <v>1291</v>
      </c>
      <c r="B392" s="6">
        <f>COUNTIF(Raw_Data!A:A,A392)</f>
        <v>4</v>
      </c>
      <c r="C392" s="6">
        <f>SUMIFS(Raw_Data!G:G, Raw_Data!A:A, A392)</f>
        <v>9380</v>
      </c>
      <c r="D392" s="6">
        <f t="shared" si="30"/>
        <v>2345</v>
      </c>
      <c r="E392" t="str">
        <f t="shared" si="31"/>
        <v>Repeat</v>
      </c>
      <c r="F392" s="6">
        <f t="shared" si="34"/>
        <v>6455588</v>
      </c>
      <c r="G392" s="7">
        <f t="shared" si="32"/>
        <v>0.84421080410326232</v>
      </c>
      <c r="H392" t="str">
        <f t="shared" si="33"/>
        <v>Others</v>
      </c>
    </row>
    <row r="393" spans="1:8" x14ac:dyDescent="0.25">
      <c r="A393">
        <v>1278</v>
      </c>
      <c r="B393" s="6">
        <f>COUNTIF(Raw_Data!A:A,A393)</f>
        <v>4</v>
      </c>
      <c r="C393" s="6">
        <f>SUMIFS(Raw_Data!G:G, Raw_Data!A:A, A393)</f>
        <v>9369</v>
      </c>
      <c r="D393" s="6">
        <f t="shared" si="30"/>
        <v>2342.25</v>
      </c>
      <c r="E393" t="str">
        <f t="shared" si="31"/>
        <v>Repeat</v>
      </c>
      <c r="F393" s="6">
        <f t="shared" si="34"/>
        <v>6464957</v>
      </c>
      <c r="G393" s="7">
        <f t="shared" si="32"/>
        <v>0.84543600791485063</v>
      </c>
      <c r="H393" t="str">
        <f t="shared" si="33"/>
        <v>Others</v>
      </c>
    </row>
    <row r="394" spans="1:8" x14ac:dyDescent="0.25">
      <c r="A394">
        <v>1112</v>
      </c>
      <c r="B394" s="6">
        <f>COUNTIF(Raw_Data!A:A,A394)</f>
        <v>3</v>
      </c>
      <c r="C394" s="6">
        <f>SUMIFS(Raw_Data!G:G, Raw_Data!A:A, A394)</f>
        <v>9303</v>
      </c>
      <c r="D394" s="6">
        <f t="shared" si="30"/>
        <v>3101</v>
      </c>
      <c r="E394" t="str">
        <f t="shared" si="31"/>
        <v>Repeat</v>
      </c>
      <c r="F394" s="6">
        <f t="shared" si="34"/>
        <v>6474260</v>
      </c>
      <c r="G394" s="7">
        <f t="shared" si="32"/>
        <v>0.84665258076779182</v>
      </c>
      <c r="H394" t="str">
        <f t="shared" si="33"/>
        <v>Others</v>
      </c>
    </row>
    <row r="395" spans="1:8" x14ac:dyDescent="0.25">
      <c r="A395">
        <v>1372</v>
      </c>
      <c r="B395" s="6">
        <f>COUNTIF(Raw_Data!A:A,A395)</f>
        <v>2</v>
      </c>
      <c r="C395" s="6">
        <f>SUMIFS(Raw_Data!G:G, Raw_Data!A:A, A395)</f>
        <v>9286</v>
      </c>
      <c r="D395" s="6">
        <f t="shared" si="30"/>
        <v>4643</v>
      </c>
      <c r="E395" t="str">
        <f t="shared" si="31"/>
        <v>Repeat</v>
      </c>
      <c r="F395" s="6">
        <f t="shared" si="34"/>
        <v>6483546</v>
      </c>
      <c r="G395" s="7">
        <f t="shared" si="32"/>
        <v>0.84786693049502082</v>
      </c>
      <c r="H395" t="str">
        <f t="shared" si="33"/>
        <v>Others</v>
      </c>
    </row>
    <row r="396" spans="1:8" x14ac:dyDescent="0.25">
      <c r="A396">
        <v>1241</v>
      </c>
      <c r="B396" s="6">
        <f>COUNTIF(Raw_Data!A:A,A396)</f>
        <v>3</v>
      </c>
      <c r="C396" s="6">
        <f>SUMIFS(Raw_Data!G:G, Raw_Data!A:A, A396)</f>
        <v>9267</v>
      </c>
      <c r="D396" s="6">
        <f t="shared" si="30"/>
        <v>3089</v>
      </c>
      <c r="E396" t="str">
        <f t="shared" si="31"/>
        <v>Repeat</v>
      </c>
      <c r="F396" s="6">
        <f t="shared" si="34"/>
        <v>6492813</v>
      </c>
      <c r="G396" s="7">
        <f t="shared" si="32"/>
        <v>0.84907879555233623</v>
      </c>
      <c r="H396" t="str">
        <f t="shared" si="33"/>
        <v>Others</v>
      </c>
    </row>
    <row r="397" spans="1:8" x14ac:dyDescent="0.25">
      <c r="A397">
        <v>1079</v>
      </c>
      <c r="B397" s="6">
        <f>COUNTIF(Raw_Data!A:A,A397)</f>
        <v>4</v>
      </c>
      <c r="C397" s="6">
        <f>SUMIFS(Raw_Data!G:G, Raw_Data!A:A, A397)</f>
        <v>9223</v>
      </c>
      <c r="D397" s="6">
        <f t="shared" si="30"/>
        <v>2305.75</v>
      </c>
      <c r="E397" t="str">
        <f t="shared" si="31"/>
        <v>Repeat</v>
      </c>
      <c r="F397" s="6">
        <f t="shared" si="34"/>
        <v>6502036</v>
      </c>
      <c r="G397" s="7">
        <f t="shared" si="32"/>
        <v>0.85028490663722023</v>
      </c>
      <c r="H397" t="str">
        <f t="shared" si="33"/>
        <v>Others</v>
      </c>
    </row>
    <row r="398" spans="1:8" x14ac:dyDescent="0.25">
      <c r="A398">
        <v>1279</v>
      </c>
      <c r="B398" s="6">
        <f>COUNTIF(Raw_Data!A:A,A398)</f>
        <v>5</v>
      </c>
      <c r="C398" s="6">
        <f>SUMIFS(Raw_Data!G:G, Raw_Data!A:A, A398)</f>
        <v>9168</v>
      </c>
      <c r="D398" s="6">
        <f t="shared" si="30"/>
        <v>1833.6</v>
      </c>
      <c r="E398" t="str">
        <f t="shared" si="31"/>
        <v>Repeat</v>
      </c>
      <c r="F398" s="6">
        <f t="shared" si="34"/>
        <v>6511204</v>
      </c>
      <c r="G398" s="7">
        <f t="shared" si="32"/>
        <v>0.85148382525656507</v>
      </c>
      <c r="H398" t="str">
        <f t="shared" si="33"/>
        <v>Others</v>
      </c>
    </row>
    <row r="399" spans="1:8" x14ac:dyDescent="0.25">
      <c r="A399">
        <v>1034</v>
      </c>
      <c r="B399" s="6">
        <f>COUNTIF(Raw_Data!A:A,A399)</f>
        <v>3</v>
      </c>
      <c r="C399" s="6">
        <f>SUMIFS(Raw_Data!G:G, Raw_Data!A:A, A399)</f>
        <v>9157</v>
      </c>
      <c r="D399" s="6">
        <f t="shared" si="30"/>
        <v>3052.3333333333335</v>
      </c>
      <c r="E399" t="str">
        <f t="shared" si="31"/>
        <v>Repeat</v>
      </c>
      <c r="F399" s="6">
        <f t="shared" si="34"/>
        <v>6520361</v>
      </c>
      <c r="G399" s="7">
        <f t="shared" si="32"/>
        <v>0.85268130538280196</v>
      </c>
      <c r="H399" t="str">
        <f t="shared" si="33"/>
        <v>Others</v>
      </c>
    </row>
    <row r="400" spans="1:8" x14ac:dyDescent="0.25">
      <c r="A400">
        <v>1290</v>
      </c>
      <c r="B400" s="6">
        <f>COUNTIF(Raw_Data!A:A,A400)</f>
        <v>4</v>
      </c>
      <c r="C400" s="6">
        <f>SUMIFS(Raw_Data!G:G, Raw_Data!A:A, A400)</f>
        <v>9093</v>
      </c>
      <c r="D400" s="6">
        <f t="shared" si="30"/>
        <v>2273.25</v>
      </c>
      <c r="E400" t="str">
        <f t="shared" si="31"/>
        <v>Repeat</v>
      </c>
      <c r="F400" s="6">
        <f t="shared" si="34"/>
        <v>6529454</v>
      </c>
      <c r="G400" s="7">
        <f t="shared" si="32"/>
        <v>0.85387041609459324</v>
      </c>
      <c r="H400" t="str">
        <f t="shared" si="33"/>
        <v>Others</v>
      </c>
    </row>
    <row r="401" spans="1:8" x14ac:dyDescent="0.25">
      <c r="A401">
        <v>1312</v>
      </c>
      <c r="B401" s="6">
        <f>COUNTIF(Raw_Data!A:A,A401)</f>
        <v>4</v>
      </c>
      <c r="C401" s="6">
        <f>SUMIFS(Raw_Data!G:G, Raw_Data!A:A, A401)</f>
        <v>9087</v>
      </c>
      <c r="D401" s="6">
        <f t="shared" si="30"/>
        <v>2271.75</v>
      </c>
      <c r="E401" t="str">
        <f t="shared" si="31"/>
        <v>Repeat</v>
      </c>
      <c r="F401" s="6">
        <f t="shared" si="34"/>
        <v>6538541</v>
      </c>
      <c r="G401" s="7">
        <f t="shared" si="32"/>
        <v>0.8550587421737802</v>
      </c>
      <c r="H401" t="str">
        <f t="shared" si="33"/>
        <v>Others</v>
      </c>
    </row>
    <row r="402" spans="1:8" x14ac:dyDescent="0.25">
      <c r="A402">
        <v>1258</v>
      </c>
      <c r="B402" s="6">
        <f>COUNTIF(Raw_Data!A:A,A402)</f>
        <v>3</v>
      </c>
      <c r="C402" s="6">
        <f>SUMIFS(Raw_Data!G:G, Raw_Data!A:A, A402)</f>
        <v>9052</v>
      </c>
      <c r="D402" s="6">
        <f t="shared" si="30"/>
        <v>3017.3333333333335</v>
      </c>
      <c r="E402" t="str">
        <f t="shared" si="31"/>
        <v>Repeat</v>
      </c>
      <c r="F402" s="6">
        <f t="shared" si="34"/>
        <v>6547593</v>
      </c>
      <c r="G402" s="7">
        <f t="shared" si="32"/>
        <v>0.85624249122944218</v>
      </c>
      <c r="H402" t="str">
        <f t="shared" si="33"/>
        <v>Others</v>
      </c>
    </row>
    <row r="403" spans="1:8" x14ac:dyDescent="0.25">
      <c r="A403">
        <v>1370</v>
      </c>
      <c r="B403" s="6">
        <f>COUNTIF(Raw_Data!A:A,A403)</f>
        <v>4</v>
      </c>
      <c r="C403" s="6">
        <f>SUMIFS(Raw_Data!G:G, Raw_Data!A:A, A403)</f>
        <v>9046</v>
      </c>
      <c r="D403" s="6">
        <f t="shared" si="30"/>
        <v>2261.5</v>
      </c>
      <c r="E403" t="str">
        <f t="shared" si="31"/>
        <v>Repeat</v>
      </c>
      <c r="F403" s="6">
        <f t="shared" si="34"/>
        <v>6556639</v>
      </c>
      <c r="G403" s="7">
        <f t="shared" si="32"/>
        <v>0.85742545565249983</v>
      </c>
      <c r="H403" t="str">
        <f t="shared" si="33"/>
        <v>Others</v>
      </c>
    </row>
    <row r="404" spans="1:8" x14ac:dyDescent="0.25">
      <c r="A404">
        <v>1054</v>
      </c>
      <c r="B404" s="6">
        <f>COUNTIF(Raw_Data!A:A,A404)</f>
        <v>5</v>
      </c>
      <c r="C404" s="6">
        <f>SUMIFS(Raw_Data!G:G, Raw_Data!A:A, A404)</f>
        <v>9023</v>
      </c>
      <c r="D404" s="6">
        <f t="shared" si="30"/>
        <v>1804.6</v>
      </c>
      <c r="E404" t="str">
        <f t="shared" si="31"/>
        <v>Repeat</v>
      </c>
      <c r="F404" s="6">
        <f t="shared" si="34"/>
        <v>6565662</v>
      </c>
      <c r="G404" s="7">
        <f t="shared" si="32"/>
        <v>0.85860541231724108</v>
      </c>
      <c r="H404" t="str">
        <f t="shared" si="33"/>
        <v>Others</v>
      </c>
    </row>
    <row r="405" spans="1:8" x14ac:dyDescent="0.25">
      <c r="A405">
        <v>1523</v>
      </c>
      <c r="B405" s="6">
        <f>COUNTIF(Raw_Data!A:A,A405)</f>
        <v>3</v>
      </c>
      <c r="C405" s="6">
        <f>SUMIFS(Raw_Data!G:G, Raw_Data!A:A, A405)</f>
        <v>9014</v>
      </c>
      <c r="D405" s="6">
        <f t="shared" si="30"/>
        <v>3004.6666666666665</v>
      </c>
      <c r="E405" t="str">
        <f t="shared" si="31"/>
        <v>Repeat</v>
      </c>
      <c r="F405" s="6">
        <f t="shared" si="34"/>
        <v>6574676</v>
      </c>
      <c r="G405" s="7">
        <f t="shared" si="32"/>
        <v>0.85978419203307588</v>
      </c>
      <c r="H405" t="str">
        <f t="shared" si="33"/>
        <v>Others</v>
      </c>
    </row>
    <row r="406" spans="1:8" x14ac:dyDescent="0.25">
      <c r="A406">
        <v>1105</v>
      </c>
      <c r="B406" s="6">
        <f>COUNTIF(Raw_Data!A:A,A406)</f>
        <v>3</v>
      </c>
      <c r="C406" s="6">
        <f>SUMIFS(Raw_Data!G:G, Raw_Data!A:A, A406)</f>
        <v>9008</v>
      </c>
      <c r="D406" s="6">
        <f t="shared" si="30"/>
        <v>3002.6666666666665</v>
      </c>
      <c r="E406" t="str">
        <f t="shared" si="31"/>
        <v>Repeat</v>
      </c>
      <c r="F406" s="6">
        <f t="shared" si="34"/>
        <v>6583684</v>
      </c>
      <c r="G406" s="7">
        <f t="shared" si="32"/>
        <v>0.86096218711630645</v>
      </c>
      <c r="H406" t="str">
        <f t="shared" si="33"/>
        <v>Others</v>
      </c>
    </row>
    <row r="407" spans="1:8" x14ac:dyDescent="0.25">
      <c r="A407">
        <v>1246</v>
      </c>
      <c r="B407" s="6">
        <f>COUNTIF(Raw_Data!A:A,A407)</f>
        <v>4</v>
      </c>
      <c r="C407" s="6">
        <f>SUMIFS(Raw_Data!G:G, Raw_Data!A:A, A407)</f>
        <v>8998</v>
      </c>
      <c r="D407" s="6">
        <f t="shared" si="30"/>
        <v>2249.5</v>
      </c>
      <c r="E407" t="str">
        <f t="shared" si="31"/>
        <v>Repeat</v>
      </c>
      <c r="F407" s="6">
        <f t="shared" si="34"/>
        <v>6592682</v>
      </c>
      <c r="G407" s="7">
        <f t="shared" si="32"/>
        <v>0.86213887447852988</v>
      </c>
      <c r="H407" t="str">
        <f t="shared" si="33"/>
        <v>Others</v>
      </c>
    </row>
    <row r="408" spans="1:8" x14ac:dyDescent="0.25">
      <c r="A408">
        <v>1036</v>
      </c>
      <c r="B408" s="6">
        <f>COUNTIF(Raw_Data!A:A,A408)</f>
        <v>4</v>
      </c>
      <c r="C408" s="6">
        <f>SUMIFS(Raw_Data!G:G, Raw_Data!A:A, A408)</f>
        <v>8974</v>
      </c>
      <c r="D408" s="6">
        <f t="shared" si="30"/>
        <v>2243.5</v>
      </c>
      <c r="E408" t="str">
        <f t="shared" si="31"/>
        <v>Repeat</v>
      </c>
      <c r="F408" s="6">
        <f t="shared" si="34"/>
        <v>6601656</v>
      </c>
      <c r="G408" s="7">
        <f t="shared" si="32"/>
        <v>0.8633124233103362</v>
      </c>
      <c r="H408" t="str">
        <f t="shared" si="33"/>
        <v>Others</v>
      </c>
    </row>
    <row r="409" spans="1:8" x14ac:dyDescent="0.25">
      <c r="A409">
        <v>1446</v>
      </c>
      <c r="B409" s="6">
        <f>COUNTIF(Raw_Data!A:A,A409)</f>
        <v>4</v>
      </c>
      <c r="C409" s="6">
        <f>SUMIFS(Raw_Data!G:G, Raw_Data!A:A, A409)</f>
        <v>8964</v>
      </c>
      <c r="D409" s="6">
        <f t="shared" si="30"/>
        <v>2241</v>
      </c>
      <c r="E409" t="str">
        <f t="shared" si="31"/>
        <v>Repeat</v>
      </c>
      <c r="F409" s="6">
        <f t="shared" si="34"/>
        <v>6610620</v>
      </c>
      <c r="G409" s="7">
        <f t="shared" si="32"/>
        <v>0.86448466442113536</v>
      </c>
      <c r="H409" t="str">
        <f t="shared" si="33"/>
        <v>Others</v>
      </c>
    </row>
    <row r="410" spans="1:8" x14ac:dyDescent="0.25">
      <c r="A410">
        <v>1341</v>
      </c>
      <c r="B410" s="6">
        <f>COUNTIF(Raw_Data!A:A,A410)</f>
        <v>5</v>
      </c>
      <c r="C410" s="6">
        <f>SUMIFS(Raw_Data!G:G, Raw_Data!A:A, A410)</f>
        <v>8952</v>
      </c>
      <c r="D410" s="6">
        <f t="shared" si="30"/>
        <v>1790.4</v>
      </c>
      <c r="E410" t="str">
        <f t="shared" si="31"/>
        <v>Repeat</v>
      </c>
      <c r="F410" s="6">
        <f t="shared" si="34"/>
        <v>6619572</v>
      </c>
      <c r="G410" s="7">
        <f t="shared" si="32"/>
        <v>0.86565533626672586</v>
      </c>
      <c r="H410" t="str">
        <f t="shared" si="33"/>
        <v>Others</v>
      </c>
    </row>
    <row r="411" spans="1:8" x14ac:dyDescent="0.25">
      <c r="A411">
        <v>1367</v>
      </c>
      <c r="B411" s="6">
        <f>COUNTIF(Raw_Data!A:A,A411)</f>
        <v>4</v>
      </c>
      <c r="C411" s="6">
        <f>SUMIFS(Raw_Data!G:G, Raw_Data!A:A, A411)</f>
        <v>8886</v>
      </c>
      <c r="D411" s="6">
        <f t="shared" si="30"/>
        <v>2221.5</v>
      </c>
      <c r="E411" t="str">
        <f t="shared" si="31"/>
        <v>Repeat</v>
      </c>
      <c r="F411" s="6">
        <f t="shared" si="34"/>
        <v>6628458</v>
      </c>
      <c r="G411" s="7">
        <f t="shared" si="32"/>
        <v>0.86681737715366936</v>
      </c>
      <c r="H411" t="str">
        <f t="shared" si="33"/>
        <v>Others</v>
      </c>
    </row>
    <row r="412" spans="1:8" x14ac:dyDescent="0.25">
      <c r="A412">
        <v>1451</v>
      </c>
      <c r="B412" s="6">
        <f>COUNTIF(Raw_Data!A:A,A412)</f>
        <v>3</v>
      </c>
      <c r="C412" s="6">
        <f>SUMIFS(Raw_Data!G:G, Raw_Data!A:A, A412)</f>
        <v>8885</v>
      </c>
      <c r="D412" s="6">
        <f t="shared" si="30"/>
        <v>2961.6666666666665</v>
      </c>
      <c r="E412" t="str">
        <f t="shared" si="31"/>
        <v>Repeat</v>
      </c>
      <c r="F412" s="6">
        <f t="shared" si="34"/>
        <v>6637343</v>
      </c>
      <c r="G412" s="7">
        <f t="shared" si="32"/>
        <v>0.86797928726851215</v>
      </c>
      <c r="H412" t="str">
        <f t="shared" si="33"/>
        <v>Others</v>
      </c>
    </row>
    <row r="413" spans="1:8" x14ac:dyDescent="0.25">
      <c r="A413">
        <v>1462</v>
      </c>
      <c r="B413" s="6">
        <f>COUNTIF(Raw_Data!A:A,A413)</f>
        <v>4</v>
      </c>
      <c r="C413" s="6">
        <f>SUMIFS(Raw_Data!G:G, Raw_Data!A:A, A413)</f>
        <v>8876</v>
      </c>
      <c r="D413" s="6">
        <f t="shared" si="30"/>
        <v>2219</v>
      </c>
      <c r="E413" t="str">
        <f t="shared" si="31"/>
        <v>Repeat</v>
      </c>
      <c r="F413" s="6">
        <f t="shared" si="34"/>
        <v>6646219</v>
      </c>
      <c r="G413" s="7">
        <f t="shared" si="32"/>
        <v>0.86914002043444849</v>
      </c>
      <c r="H413" t="str">
        <f t="shared" si="33"/>
        <v>Others</v>
      </c>
    </row>
    <row r="414" spans="1:8" x14ac:dyDescent="0.25">
      <c r="A414">
        <v>1215</v>
      </c>
      <c r="B414" s="6">
        <f>COUNTIF(Raw_Data!A:A,A414)</f>
        <v>4</v>
      </c>
      <c r="C414" s="6">
        <f>SUMIFS(Raw_Data!G:G, Raw_Data!A:A, A414)</f>
        <v>8787</v>
      </c>
      <c r="D414" s="6">
        <f t="shared" si="30"/>
        <v>2196.75</v>
      </c>
      <c r="E414" t="str">
        <f t="shared" si="31"/>
        <v>Repeat</v>
      </c>
      <c r="F414" s="6">
        <f t="shared" si="34"/>
        <v>6655006</v>
      </c>
      <c r="G414" s="7">
        <f t="shared" si="32"/>
        <v>0.8702891148834212</v>
      </c>
      <c r="H414" t="str">
        <f t="shared" si="33"/>
        <v>Others</v>
      </c>
    </row>
    <row r="415" spans="1:8" x14ac:dyDescent="0.25">
      <c r="A415">
        <v>1195</v>
      </c>
      <c r="B415" s="6">
        <f>COUNTIF(Raw_Data!A:A,A415)</f>
        <v>5</v>
      </c>
      <c r="C415" s="6">
        <f>SUMIFS(Raw_Data!G:G, Raw_Data!A:A, A415)</f>
        <v>8774</v>
      </c>
      <c r="D415" s="6">
        <f t="shared" si="30"/>
        <v>1754.8</v>
      </c>
      <c r="E415" t="str">
        <f t="shared" si="31"/>
        <v>Repeat</v>
      </c>
      <c r="F415" s="6">
        <f t="shared" si="34"/>
        <v>6663780</v>
      </c>
      <c r="G415" s="7">
        <f t="shared" si="32"/>
        <v>0.87143650929508476</v>
      </c>
      <c r="H415" t="str">
        <f t="shared" si="33"/>
        <v>Others</v>
      </c>
    </row>
    <row r="416" spans="1:8" x14ac:dyDescent="0.25">
      <c r="A416">
        <v>1590</v>
      </c>
      <c r="B416" s="6">
        <f>COUNTIF(Raw_Data!A:A,A416)</f>
        <v>3</v>
      </c>
      <c r="C416" s="6">
        <f>SUMIFS(Raw_Data!G:G, Raw_Data!A:A, A416)</f>
        <v>8755</v>
      </c>
      <c r="D416" s="6">
        <f t="shared" si="30"/>
        <v>2918.3333333333335</v>
      </c>
      <c r="E416" t="str">
        <f t="shared" si="31"/>
        <v>Repeat</v>
      </c>
      <c r="F416" s="6">
        <f t="shared" si="34"/>
        <v>6672535</v>
      </c>
      <c r="G416" s="7">
        <f t="shared" si="32"/>
        <v>0.87258141903683473</v>
      </c>
      <c r="H416" t="str">
        <f t="shared" si="33"/>
        <v>Others</v>
      </c>
    </row>
    <row r="417" spans="1:8" x14ac:dyDescent="0.25">
      <c r="A417">
        <v>1270</v>
      </c>
      <c r="B417" s="6">
        <f>COUNTIF(Raw_Data!A:A,A417)</f>
        <v>6</v>
      </c>
      <c r="C417" s="6">
        <f>SUMIFS(Raw_Data!G:G, Raw_Data!A:A, A417)</f>
        <v>8715</v>
      </c>
      <c r="D417" s="6">
        <f t="shared" si="30"/>
        <v>1452.5</v>
      </c>
      <c r="E417" t="str">
        <f t="shared" si="31"/>
        <v>Repeat</v>
      </c>
      <c r="F417" s="6">
        <f t="shared" si="34"/>
        <v>6681250</v>
      </c>
      <c r="G417" s="7">
        <f t="shared" si="32"/>
        <v>0.8737210978945561</v>
      </c>
      <c r="H417" t="str">
        <f t="shared" si="33"/>
        <v>Others</v>
      </c>
    </row>
    <row r="418" spans="1:8" x14ac:dyDescent="0.25">
      <c r="A418">
        <v>1134</v>
      </c>
      <c r="B418" s="6">
        <f>COUNTIF(Raw_Data!A:A,A418)</f>
        <v>3</v>
      </c>
      <c r="C418" s="6">
        <f>SUMIFS(Raw_Data!G:G, Raw_Data!A:A, A418)</f>
        <v>8692</v>
      </c>
      <c r="D418" s="6">
        <f t="shared" si="30"/>
        <v>2897.3333333333335</v>
      </c>
      <c r="E418" t="str">
        <f t="shared" si="31"/>
        <v>Repeat</v>
      </c>
      <c r="F418" s="6">
        <f t="shared" si="34"/>
        <v>6689942</v>
      </c>
      <c r="G418" s="7">
        <f t="shared" si="32"/>
        <v>0.87485776899396106</v>
      </c>
      <c r="H418" t="str">
        <f t="shared" si="33"/>
        <v>Others</v>
      </c>
    </row>
    <row r="419" spans="1:8" x14ac:dyDescent="0.25">
      <c r="A419">
        <v>1115</v>
      </c>
      <c r="B419" s="6">
        <f>COUNTIF(Raw_Data!A:A,A419)</f>
        <v>4</v>
      </c>
      <c r="C419" s="6">
        <f>SUMIFS(Raw_Data!G:G, Raw_Data!A:A, A419)</f>
        <v>8673</v>
      </c>
      <c r="D419" s="6">
        <f t="shared" si="30"/>
        <v>2168.25</v>
      </c>
      <c r="E419" t="str">
        <f t="shared" si="31"/>
        <v>Repeat</v>
      </c>
      <c r="F419" s="6">
        <f t="shared" si="34"/>
        <v>6698615</v>
      </c>
      <c r="G419" s="7">
        <f t="shared" si="32"/>
        <v>0.87599195542345254</v>
      </c>
      <c r="H419" t="str">
        <f t="shared" si="33"/>
        <v>Others</v>
      </c>
    </row>
    <row r="420" spans="1:8" x14ac:dyDescent="0.25">
      <c r="A420">
        <v>1470</v>
      </c>
      <c r="B420" s="6">
        <f>COUNTIF(Raw_Data!A:A,A420)</f>
        <v>3</v>
      </c>
      <c r="C420" s="6">
        <f>SUMIFS(Raw_Data!G:G, Raw_Data!A:A, A420)</f>
        <v>8644</v>
      </c>
      <c r="D420" s="6">
        <f t="shared" si="30"/>
        <v>2881.3333333333335</v>
      </c>
      <c r="E420" t="str">
        <f t="shared" si="31"/>
        <v>Repeat</v>
      </c>
      <c r="F420" s="6">
        <f t="shared" si="34"/>
        <v>6707259</v>
      </c>
      <c r="G420" s="7">
        <f t="shared" si="32"/>
        <v>0.87712234946202317</v>
      </c>
      <c r="H420" t="str">
        <f t="shared" si="33"/>
        <v>Others</v>
      </c>
    </row>
    <row r="421" spans="1:8" x14ac:dyDescent="0.25">
      <c r="A421">
        <v>1210</v>
      </c>
      <c r="B421" s="6">
        <f>COUNTIF(Raw_Data!A:A,A421)</f>
        <v>6</v>
      </c>
      <c r="C421" s="6">
        <f>SUMIFS(Raw_Data!G:G, Raw_Data!A:A, A421)</f>
        <v>8631</v>
      </c>
      <c r="D421" s="6">
        <f t="shared" si="30"/>
        <v>1438.5</v>
      </c>
      <c r="E421" t="str">
        <f t="shared" si="31"/>
        <v>Repeat</v>
      </c>
      <c r="F421" s="6">
        <f t="shared" si="34"/>
        <v>6715890</v>
      </c>
      <c r="G421" s="7">
        <f t="shared" si="32"/>
        <v>0.87825104346328464</v>
      </c>
      <c r="H421" t="str">
        <f t="shared" si="33"/>
        <v>Others</v>
      </c>
    </row>
    <row r="422" spans="1:8" x14ac:dyDescent="0.25">
      <c r="A422">
        <v>1418</v>
      </c>
      <c r="B422" s="6">
        <f>COUNTIF(Raw_Data!A:A,A422)</f>
        <v>5</v>
      </c>
      <c r="C422" s="6">
        <f>SUMIFS(Raw_Data!G:G, Raw_Data!A:A, A422)</f>
        <v>8594</v>
      </c>
      <c r="D422" s="6">
        <f t="shared" si="30"/>
        <v>1718.8</v>
      </c>
      <c r="E422" t="str">
        <f t="shared" si="31"/>
        <v>Repeat</v>
      </c>
      <c r="F422" s="6">
        <f t="shared" si="34"/>
        <v>6724484</v>
      </c>
      <c r="G422" s="7">
        <f t="shared" si="32"/>
        <v>0.87937489889681963</v>
      </c>
      <c r="H422" t="str">
        <f t="shared" si="33"/>
        <v>Others</v>
      </c>
    </row>
    <row r="423" spans="1:8" x14ac:dyDescent="0.25">
      <c r="A423">
        <v>1148</v>
      </c>
      <c r="B423" s="6">
        <f>COUNTIF(Raw_Data!A:A,A423)</f>
        <v>6</v>
      </c>
      <c r="C423" s="6">
        <f>SUMIFS(Raw_Data!G:G, Raw_Data!A:A, A423)</f>
        <v>8543</v>
      </c>
      <c r="D423" s="6">
        <f t="shared" si="30"/>
        <v>1423.8333333333333</v>
      </c>
      <c r="E423" t="str">
        <f t="shared" si="31"/>
        <v>Repeat</v>
      </c>
      <c r="F423" s="6">
        <f t="shared" si="34"/>
        <v>6733027</v>
      </c>
      <c r="G423" s="7">
        <f t="shared" si="32"/>
        <v>0.88049208495321829</v>
      </c>
      <c r="H423" t="str">
        <f t="shared" si="33"/>
        <v>Others</v>
      </c>
    </row>
    <row r="424" spans="1:8" x14ac:dyDescent="0.25">
      <c r="A424">
        <v>1593</v>
      </c>
      <c r="B424" s="6">
        <f>COUNTIF(Raw_Data!A:A,A424)</f>
        <v>4</v>
      </c>
      <c r="C424" s="6">
        <f>SUMIFS(Raw_Data!G:G, Raw_Data!A:A, A424)</f>
        <v>8538</v>
      </c>
      <c r="D424" s="6">
        <f t="shared" si="30"/>
        <v>2134.5</v>
      </c>
      <c r="E424" t="str">
        <f t="shared" si="31"/>
        <v>Repeat</v>
      </c>
      <c r="F424" s="6">
        <f t="shared" si="34"/>
        <v>6741565</v>
      </c>
      <c r="G424" s="7">
        <f t="shared" si="32"/>
        <v>0.88160861714911332</v>
      </c>
      <c r="H424" t="str">
        <f t="shared" si="33"/>
        <v>Others</v>
      </c>
    </row>
    <row r="425" spans="1:8" x14ac:dyDescent="0.25">
      <c r="A425">
        <v>1003</v>
      </c>
      <c r="B425" s="6">
        <f>COUNTIF(Raw_Data!A:A,A425)</f>
        <v>4</v>
      </c>
      <c r="C425" s="6">
        <f>SUMIFS(Raw_Data!G:G, Raw_Data!A:A, A425)</f>
        <v>8523</v>
      </c>
      <c r="D425" s="6">
        <f t="shared" si="30"/>
        <v>2130.75</v>
      </c>
      <c r="E425" t="str">
        <f t="shared" si="31"/>
        <v>Repeat</v>
      </c>
      <c r="F425" s="6">
        <f t="shared" si="34"/>
        <v>6750088</v>
      </c>
      <c r="G425" s="7">
        <f t="shared" si="32"/>
        <v>0.88272318776349756</v>
      </c>
      <c r="H425" t="str">
        <f t="shared" si="33"/>
        <v>Others</v>
      </c>
    </row>
    <row r="426" spans="1:8" x14ac:dyDescent="0.25">
      <c r="A426">
        <v>1549</v>
      </c>
      <c r="B426" s="6">
        <f>COUNTIF(Raw_Data!A:A,A426)</f>
        <v>5</v>
      </c>
      <c r="C426" s="6">
        <f>SUMIFS(Raw_Data!G:G, Raw_Data!A:A, A426)</f>
        <v>8494</v>
      </c>
      <c r="D426" s="6">
        <f t="shared" si="30"/>
        <v>1698.8</v>
      </c>
      <c r="E426" t="str">
        <f t="shared" si="31"/>
        <v>Repeat</v>
      </c>
      <c r="F426" s="6">
        <f t="shared" si="34"/>
        <v>6758582</v>
      </c>
      <c r="G426" s="7">
        <f t="shared" si="32"/>
        <v>0.88383396598696129</v>
      </c>
      <c r="H426" t="str">
        <f t="shared" si="33"/>
        <v>Others</v>
      </c>
    </row>
    <row r="427" spans="1:8" x14ac:dyDescent="0.25">
      <c r="A427">
        <v>1509</v>
      </c>
      <c r="B427" s="6">
        <f>COUNTIF(Raw_Data!A:A,A427)</f>
        <v>4</v>
      </c>
      <c r="C427" s="6">
        <f>SUMIFS(Raw_Data!G:G, Raw_Data!A:A, A427)</f>
        <v>8456</v>
      </c>
      <c r="D427" s="6">
        <f t="shared" si="30"/>
        <v>2114</v>
      </c>
      <c r="E427" t="str">
        <f t="shared" si="31"/>
        <v>Repeat</v>
      </c>
      <c r="F427" s="6">
        <f t="shared" si="34"/>
        <v>6767038</v>
      </c>
      <c r="G427" s="7">
        <f t="shared" si="32"/>
        <v>0.88493977487059772</v>
      </c>
      <c r="H427" t="str">
        <f t="shared" si="33"/>
        <v>Others</v>
      </c>
    </row>
    <row r="428" spans="1:8" x14ac:dyDescent="0.25">
      <c r="A428">
        <v>1074</v>
      </c>
      <c r="B428" s="6">
        <f>COUNTIF(Raw_Data!A:A,A428)</f>
        <v>3</v>
      </c>
      <c r="C428" s="6">
        <f>SUMIFS(Raw_Data!G:G, Raw_Data!A:A, A428)</f>
        <v>8437</v>
      </c>
      <c r="D428" s="6">
        <f t="shared" si="30"/>
        <v>2812.3333333333335</v>
      </c>
      <c r="E428" t="str">
        <f t="shared" si="31"/>
        <v>Repeat</v>
      </c>
      <c r="F428" s="6">
        <f t="shared" si="34"/>
        <v>6775475</v>
      </c>
      <c r="G428" s="7">
        <f t="shared" si="32"/>
        <v>0.88604309908432066</v>
      </c>
      <c r="H428" t="str">
        <f t="shared" si="33"/>
        <v>Others</v>
      </c>
    </row>
    <row r="429" spans="1:8" x14ac:dyDescent="0.25">
      <c r="A429">
        <v>1396</v>
      </c>
      <c r="B429" s="6">
        <f>COUNTIF(Raw_Data!A:A,A429)</f>
        <v>4</v>
      </c>
      <c r="C429" s="6">
        <f>SUMIFS(Raw_Data!G:G, Raw_Data!A:A, A429)</f>
        <v>8431</v>
      </c>
      <c r="D429" s="6">
        <f t="shared" si="30"/>
        <v>2107.75</v>
      </c>
      <c r="E429" t="str">
        <f t="shared" si="31"/>
        <v>Repeat</v>
      </c>
      <c r="F429" s="6">
        <f t="shared" si="34"/>
        <v>6783906</v>
      </c>
      <c r="G429" s="7">
        <f t="shared" si="32"/>
        <v>0.88714563866543927</v>
      </c>
      <c r="H429" t="str">
        <f t="shared" si="33"/>
        <v>Others</v>
      </c>
    </row>
    <row r="430" spans="1:8" x14ac:dyDescent="0.25">
      <c r="A430">
        <v>1037</v>
      </c>
      <c r="B430" s="6">
        <f>COUNTIF(Raw_Data!A:A,A430)</f>
        <v>5</v>
      </c>
      <c r="C430" s="6">
        <f>SUMIFS(Raw_Data!G:G, Raw_Data!A:A, A430)</f>
        <v>8378</v>
      </c>
      <c r="D430" s="6">
        <f t="shared" si="30"/>
        <v>1675.6</v>
      </c>
      <c r="E430" t="str">
        <f t="shared" si="31"/>
        <v>Repeat</v>
      </c>
      <c r="F430" s="6">
        <f t="shared" si="34"/>
        <v>6792284</v>
      </c>
      <c r="G430" s="7">
        <f t="shared" si="32"/>
        <v>0.88824124732522014</v>
      </c>
      <c r="H430" t="str">
        <f t="shared" si="33"/>
        <v>Others</v>
      </c>
    </row>
    <row r="431" spans="1:8" x14ac:dyDescent="0.25">
      <c r="A431">
        <v>1568</v>
      </c>
      <c r="B431" s="6">
        <f>COUNTIF(Raw_Data!A:A,A431)</f>
        <v>3</v>
      </c>
      <c r="C431" s="6">
        <f>SUMIFS(Raw_Data!G:G, Raw_Data!A:A, A431)</f>
        <v>8370</v>
      </c>
      <c r="D431" s="6">
        <f t="shared" si="30"/>
        <v>2790</v>
      </c>
      <c r="E431" t="str">
        <f t="shared" si="31"/>
        <v>Repeat</v>
      </c>
      <c r="F431" s="6">
        <f t="shared" si="34"/>
        <v>6800654</v>
      </c>
      <c r="G431" s="7">
        <f t="shared" si="32"/>
        <v>0.88933580980819527</v>
      </c>
      <c r="H431" t="str">
        <f t="shared" si="33"/>
        <v>Others</v>
      </c>
    </row>
    <row r="432" spans="1:8" x14ac:dyDescent="0.25">
      <c r="A432">
        <v>1482</v>
      </c>
      <c r="B432" s="6">
        <f>COUNTIF(Raw_Data!A:A,A432)</f>
        <v>5</v>
      </c>
      <c r="C432" s="6">
        <f>SUMIFS(Raw_Data!G:G, Raw_Data!A:A, A432)</f>
        <v>8274</v>
      </c>
      <c r="D432" s="6">
        <f t="shared" si="30"/>
        <v>1654.8</v>
      </c>
      <c r="E432" t="str">
        <f t="shared" si="31"/>
        <v>Repeat</v>
      </c>
      <c r="F432" s="6">
        <f t="shared" si="34"/>
        <v>6808928</v>
      </c>
      <c r="G432" s="7">
        <f t="shared" si="32"/>
        <v>0.89041781816950183</v>
      </c>
      <c r="H432" t="str">
        <f t="shared" si="33"/>
        <v>Others</v>
      </c>
    </row>
    <row r="433" spans="1:8" x14ac:dyDescent="0.25">
      <c r="A433">
        <v>1570</v>
      </c>
      <c r="B433" s="6">
        <f>COUNTIF(Raw_Data!A:A,A433)</f>
        <v>4</v>
      </c>
      <c r="C433" s="6">
        <f>SUMIFS(Raw_Data!G:G, Raw_Data!A:A, A433)</f>
        <v>8234</v>
      </c>
      <c r="D433" s="6">
        <f t="shared" si="30"/>
        <v>2058.5</v>
      </c>
      <c r="E433" t="str">
        <f t="shared" si="31"/>
        <v>Repeat</v>
      </c>
      <c r="F433" s="6">
        <f t="shared" si="34"/>
        <v>6817162</v>
      </c>
      <c r="G433" s="7">
        <f t="shared" si="32"/>
        <v>0.8914945956467798</v>
      </c>
      <c r="H433" t="str">
        <f t="shared" si="33"/>
        <v>Others</v>
      </c>
    </row>
    <row r="434" spans="1:8" x14ac:dyDescent="0.25">
      <c r="A434">
        <v>1271</v>
      </c>
      <c r="B434" s="6">
        <f>COUNTIF(Raw_Data!A:A,A434)</f>
        <v>4</v>
      </c>
      <c r="C434" s="6">
        <f>SUMIFS(Raw_Data!G:G, Raw_Data!A:A, A434)</f>
        <v>8199</v>
      </c>
      <c r="D434" s="6">
        <f t="shared" si="30"/>
        <v>2049.75</v>
      </c>
      <c r="E434" t="str">
        <f t="shared" si="31"/>
        <v>Repeat</v>
      </c>
      <c r="F434" s="6">
        <f t="shared" si="34"/>
        <v>6825361</v>
      </c>
      <c r="G434" s="7">
        <f t="shared" si="32"/>
        <v>0.89256679610053291</v>
      </c>
      <c r="H434" t="str">
        <f t="shared" si="33"/>
        <v>Others</v>
      </c>
    </row>
    <row r="435" spans="1:8" x14ac:dyDescent="0.25">
      <c r="A435">
        <v>1236</v>
      </c>
      <c r="B435" s="6">
        <f>COUNTIF(Raw_Data!A:A,A435)</f>
        <v>4</v>
      </c>
      <c r="C435" s="6">
        <f>SUMIFS(Raw_Data!G:G, Raw_Data!A:A, A435)</f>
        <v>8175</v>
      </c>
      <c r="D435" s="6">
        <f t="shared" si="30"/>
        <v>2043.75</v>
      </c>
      <c r="E435" t="str">
        <f t="shared" si="31"/>
        <v>Repeat</v>
      </c>
      <c r="F435" s="6">
        <f t="shared" si="34"/>
        <v>6833536</v>
      </c>
      <c r="G435" s="7">
        <f t="shared" si="32"/>
        <v>0.8936358580238688</v>
      </c>
      <c r="H435" t="str">
        <f t="shared" si="33"/>
        <v>Others</v>
      </c>
    </row>
    <row r="436" spans="1:8" x14ac:dyDescent="0.25">
      <c r="A436">
        <v>1522</v>
      </c>
      <c r="B436" s="6">
        <f>COUNTIF(Raw_Data!A:A,A436)</f>
        <v>3</v>
      </c>
      <c r="C436" s="6">
        <f>SUMIFS(Raw_Data!G:G, Raw_Data!A:A, A436)</f>
        <v>8174</v>
      </c>
      <c r="D436" s="6">
        <f t="shared" si="30"/>
        <v>2724.6666666666665</v>
      </c>
      <c r="E436" t="str">
        <f t="shared" si="31"/>
        <v>Repeat</v>
      </c>
      <c r="F436" s="6">
        <f t="shared" si="34"/>
        <v>6841710</v>
      </c>
      <c r="G436" s="7">
        <f t="shared" si="32"/>
        <v>0.89470478917510399</v>
      </c>
      <c r="H436" t="str">
        <f t="shared" si="33"/>
        <v>Others</v>
      </c>
    </row>
    <row r="437" spans="1:8" x14ac:dyDescent="0.25">
      <c r="A437">
        <v>1211</v>
      </c>
      <c r="B437" s="6">
        <f>COUNTIF(Raw_Data!A:A,A437)</f>
        <v>4</v>
      </c>
      <c r="C437" s="6">
        <f>SUMIFS(Raw_Data!G:G, Raw_Data!A:A, A437)</f>
        <v>8157</v>
      </c>
      <c r="D437" s="6">
        <f t="shared" si="30"/>
        <v>2039.25</v>
      </c>
      <c r="E437" t="str">
        <f t="shared" si="31"/>
        <v>Repeat</v>
      </c>
      <c r="F437" s="6">
        <f t="shared" si="34"/>
        <v>6849867</v>
      </c>
      <c r="G437" s="7">
        <f t="shared" si="32"/>
        <v>0.89577149720062699</v>
      </c>
      <c r="H437" t="str">
        <f t="shared" si="33"/>
        <v>Others</v>
      </c>
    </row>
    <row r="438" spans="1:8" x14ac:dyDescent="0.25">
      <c r="A438">
        <v>1431</v>
      </c>
      <c r="B438" s="6">
        <f>COUNTIF(Raw_Data!A:A,A438)</f>
        <v>4</v>
      </c>
      <c r="C438" s="6">
        <f>SUMIFS(Raw_Data!G:G, Raw_Data!A:A, A438)</f>
        <v>8069</v>
      </c>
      <c r="D438" s="6">
        <f t="shared" si="30"/>
        <v>2017.25</v>
      </c>
      <c r="E438" t="str">
        <f t="shared" si="31"/>
        <v>Repeat</v>
      </c>
      <c r="F438" s="6">
        <f t="shared" si="34"/>
        <v>6857936</v>
      </c>
      <c r="G438" s="7">
        <f t="shared" si="32"/>
        <v>0.89682669728128728</v>
      </c>
      <c r="H438" t="str">
        <f t="shared" si="33"/>
        <v>Others</v>
      </c>
    </row>
    <row r="439" spans="1:8" x14ac:dyDescent="0.25">
      <c r="A439">
        <v>1552</v>
      </c>
      <c r="B439" s="6">
        <f>COUNTIF(Raw_Data!A:A,A439)</f>
        <v>3</v>
      </c>
      <c r="C439" s="6">
        <f>SUMIFS(Raw_Data!G:G, Raw_Data!A:A, A439)</f>
        <v>8012</v>
      </c>
      <c r="D439" s="6">
        <f t="shared" si="30"/>
        <v>2670.6666666666665</v>
      </c>
      <c r="E439" t="str">
        <f t="shared" si="31"/>
        <v>Repeat</v>
      </c>
      <c r="F439" s="6">
        <f t="shared" si="34"/>
        <v>6865948</v>
      </c>
      <c r="G439" s="7">
        <f t="shared" si="32"/>
        <v>0.89787444335220679</v>
      </c>
      <c r="H439" t="str">
        <f t="shared" si="33"/>
        <v>Others</v>
      </c>
    </row>
    <row r="440" spans="1:8" x14ac:dyDescent="0.25">
      <c r="A440">
        <v>1565</v>
      </c>
      <c r="B440" s="6">
        <f>COUNTIF(Raw_Data!A:A,A440)</f>
        <v>4</v>
      </c>
      <c r="C440" s="6">
        <f>SUMIFS(Raw_Data!G:G, Raw_Data!A:A, A440)</f>
        <v>8001</v>
      </c>
      <c r="D440" s="6">
        <f t="shared" si="30"/>
        <v>2000.25</v>
      </c>
      <c r="E440" t="str">
        <f t="shared" si="31"/>
        <v>Repeat</v>
      </c>
      <c r="F440" s="6">
        <f t="shared" si="34"/>
        <v>6873949</v>
      </c>
      <c r="G440" s="7">
        <f t="shared" si="32"/>
        <v>0.89892075093001844</v>
      </c>
      <c r="H440" t="str">
        <f t="shared" si="33"/>
        <v>Others</v>
      </c>
    </row>
    <row r="441" spans="1:8" x14ac:dyDescent="0.25">
      <c r="A441">
        <v>1061</v>
      </c>
      <c r="B441" s="6">
        <f>COUNTIF(Raw_Data!A:A,A441)</f>
        <v>3</v>
      </c>
      <c r="C441" s="6">
        <f>SUMIFS(Raw_Data!G:G, Raw_Data!A:A, A441)</f>
        <v>7987</v>
      </c>
      <c r="D441" s="6">
        <f t="shared" si="30"/>
        <v>2662.3333333333335</v>
      </c>
      <c r="E441" t="str">
        <f t="shared" si="31"/>
        <v>Repeat</v>
      </c>
      <c r="F441" s="6">
        <f t="shared" si="34"/>
        <v>6881936</v>
      </c>
      <c r="G441" s="7">
        <f t="shared" si="32"/>
        <v>0.89996522769842013</v>
      </c>
      <c r="H441" t="str">
        <f t="shared" si="33"/>
        <v>Others</v>
      </c>
    </row>
    <row r="442" spans="1:8" x14ac:dyDescent="0.25">
      <c r="A442">
        <v>1536</v>
      </c>
      <c r="B442" s="6">
        <f>COUNTIF(Raw_Data!A:A,A442)</f>
        <v>3</v>
      </c>
      <c r="C442" s="6">
        <f>SUMIFS(Raw_Data!G:G, Raw_Data!A:A, A442)</f>
        <v>7971</v>
      </c>
      <c r="D442" s="6">
        <f t="shared" si="30"/>
        <v>2657</v>
      </c>
      <c r="E442" t="str">
        <f t="shared" si="31"/>
        <v>Repeat</v>
      </c>
      <c r="F442" s="6">
        <f t="shared" si="34"/>
        <v>6889907</v>
      </c>
      <c r="G442" s="7">
        <f t="shared" si="32"/>
        <v>0.90100761211321045</v>
      </c>
      <c r="H442" t="str">
        <f t="shared" si="33"/>
        <v>Others</v>
      </c>
    </row>
    <row r="443" spans="1:8" x14ac:dyDescent="0.25">
      <c r="A443">
        <v>1481</v>
      </c>
      <c r="B443" s="6">
        <f>COUNTIF(Raw_Data!A:A,A443)</f>
        <v>4</v>
      </c>
      <c r="C443" s="6">
        <f>SUMIFS(Raw_Data!G:G, Raw_Data!A:A, A443)</f>
        <v>7965</v>
      </c>
      <c r="D443" s="6">
        <f t="shared" si="30"/>
        <v>1991.25</v>
      </c>
      <c r="E443" t="str">
        <f t="shared" si="31"/>
        <v>Repeat</v>
      </c>
      <c r="F443" s="6">
        <f t="shared" si="34"/>
        <v>6897872</v>
      </c>
      <c r="G443" s="7">
        <f t="shared" si="32"/>
        <v>0.90204921189539644</v>
      </c>
      <c r="H443" t="str">
        <f t="shared" si="33"/>
        <v>Others</v>
      </c>
    </row>
    <row r="444" spans="1:8" x14ac:dyDescent="0.25">
      <c r="A444">
        <v>1394</v>
      </c>
      <c r="B444" s="6">
        <f>COUNTIF(Raw_Data!A:A,A444)</f>
        <v>3</v>
      </c>
      <c r="C444" s="6">
        <f>SUMIFS(Raw_Data!G:G, Raw_Data!A:A, A444)</f>
        <v>7956</v>
      </c>
      <c r="D444" s="6">
        <f t="shared" si="30"/>
        <v>2652</v>
      </c>
      <c r="E444" t="str">
        <f t="shared" si="31"/>
        <v>Repeat</v>
      </c>
      <c r="F444" s="6">
        <f t="shared" si="34"/>
        <v>6905828</v>
      </c>
      <c r="G444" s="7">
        <f t="shared" si="32"/>
        <v>0.90308963472867598</v>
      </c>
      <c r="H444" t="str">
        <f t="shared" si="33"/>
        <v>Others</v>
      </c>
    </row>
    <row r="445" spans="1:8" x14ac:dyDescent="0.25">
      <c r="A445">
        <v>1085</v>
      </c>
      <c r="B445" s="6">
        <f>COUNTIF(Raw_Data!A:A,A445)</f>
        <v>3</v>
      </c>
      <c r="C445" s="6">
        <f>SUMIFS(Raw_Data!G:G, Raw_Data!A:A, A445)</f>
        <v>7881</v>
      </c>
      <c r="D445" s="6">
        <f t="shared" si="30"/>
        <v>2627</v>
      </c>
      <c r="E445" t="str">
        <f t="shared" si="31"/>
        <v>Repeat</v>
      </c>
      <c r="F445" s="6">
        <f t="shared" si="34"/>
        <v>6913709</v>
      </c>
      <c r="G445" s="7">
        <f t="shared" si="32"/>
        <v>0.90412024965440208</v>
      </c>
      <c r="H445" t="str">
        <f t="shared" si="33"/>
        <v>Others</v>
      </c>
    </row>
    <row r="446" spans="1:8" x14ac:dyDescent="0.25">
      <c r="A446">
        <v>1097</v>
      </c>
      <c r="B446" s="6">
        <f>COUNTIF(Raw_Data!A:A,A446)</f>
        <v>3</v>
      </c>
      <c r="C446" s="6">
        <f>SUMIFS(Raw_Data!G:G, Raw_Data!A:A, A446)</f>
        <v>7877</v>
      </c>
      <c r="D446" s="6">
        <f t="shared" si="30"/>
        <v>2625.6666666666665</v>
      </c>
      <c r="E446" t="str">
        <f t="shared" si="31"/>
        <v>Repeat</v>
      </c>
      <c r="F446" s="6">
        <f t="shared" si="34"/>
        <v>6921586</v>
      </c>
      <c r="G446" s="7">
        <f t="shared" si="32"/>
        <v>0.90515034149172524</v>
      </c>
      <c r="H446" t="str">
        <f t="shared" si="33"/>
        <v>Others</v>
      </c>
    </row>
    <row r="447" spans="1:8" x14ac:dyDescent="0.25">
      <c r="A447">
        <v>1142</v>
      </c>
      <c r="B447" s="6">
        <f>COUNTIF(Raw_Data!A:A,A447)</f>
        <v>4</v>
      </c>
      <c r="C447" s="6">
        <f>SUMIFS(Raw_Data!G:G, Raw_Data!A:A, A447)</f>
        <v>7861</v>
      </c>
      <c r="D447" s="6">
        <f t="shared" si="30"/>
        <v>1965.25</v>
      </c>
      <c r="E447" t="str">
        <f t="shared" si="31"/>
        <v>Repeat</v>
      </c>
      <c r="F447" s="6">
        <f t="shared" si="34"/>
        <v>6929447</v>
      </c>
      <c r="G447" s="7">
        <f t="shared" si="32"/>
        <v>0.90617834097543692</v>
      </c>
      <c r="H447" t="str">
        <f t="shared" si="33"/>
        <v>Others</v>
      </c>
    </row>
    <row r="448" spans="1:8" x14ac:dyDescent="0.25">
      <c r="A448">
        <v>1030</v>
      </c>
      <c r="B448" s="6">
        <f>COUNTIF(Raw_Data!A:A,A448)</f>
        <v>3</v>
      </c>
      <c r="C448" s="6">
        <f>SUMIFS(Raw_Data!G:G, Raw_Data!A:A, A448)</f>
        <v>7836</v>
      </c>
      <c r="D448" s="6">
        <f t="shared" si="30"/>
        <v>2612</v>
      </c>
      <c r="E448" t="str">
        <f t="shared" si="31"/>
        <v>Repeat</v>
      </c>
      <c r="F448" s="6">
        <f t="shared" si="34"/>
        <v>6937283</v>
      </c>
      <c r="G448" s="7">
        <f t="shared" si="32"/>
        <v>0.90720307115663079</v>
      </c>
      <c r="H448" t="str">
        <f t="shared" si="33"/>
        <v>Others</v>
      </c>
    </row>
    <row r="449" spans="1:8" x14ac:dyDescent="0.25">
      <c r="A449">
        <v>1403</v>
      </c>
      <c r="B449" s="6">
        <f>COUNTIF(Raw_Data!A:A,A449)</f>
        <v>4</v>
      </c>
      <c r="C449" s="6">
        <f>SUMIFS(Raw_Data!G:G, Raw_Data!A:A, A449)</f>
        <v>7737</v>
      </c>
      <c r="D449" s="6">
        <f t="shared" si="30"/>
        <v>1934.25</v>
      </c>
      <c r="E449" t="str">
        <f t="shared" si="31"/>
        <v>Repeat</v>
      </c>
      <c r="F449" s="6">
        <f t="shared" si="34"/>
        <v>6945020</v>
      </c>
      <c r="G449" s="7">
        <f t="shared" si="32"/>
        <v>0.9082148548998541</v>
      </c>
      <c r="H449" t="str">
        <f t="shared" si="33"/>
        <v>Others</v>
      </c>
    </row>
    <row r="450" spans="1:8" x14ac:dyDescent="0.25">
      <c r="A450">
        <v>1308</v>
      </c>
      <c r="B450" s="6">
        <f>COUNTIF(Raw_Data!A:A,A450)</f>
        <v>3</v>
      </c>
      <c r="C450" s="6">
        <f>SUMIFS(Raw_Data!G:G, Raw_Data!A:A, A450)</f>
        <v>7707</v>
      </c>
      <c r="D450" s="6">
        <f t="shared" ref="D450:D513" si="35">C450/B450</f>
        <v>2569</v>
      </c>
      <c r="E450" t="str">
        <f t="shared" ref="E450:E513" si="36">IF(B450&gt;1,"Repeat","New")</f>
        <v>Repeat</v>
      </c>
      <c r="F450" s="6">
        <f t="shared" si="34"/>
        <v>6952727</v>
      </c>
      <c r="G450" s="7">
        <f t="shared" si="32"/>
        <v>0.90922271548005584</v>
      </c>
      <c r="H450" t="str">
        <f t="shared" si="33"/>
        <v>Others</v>
      </c>
    </row>
    <row r="451" spans="1:8" x14ac:dyDescent="0.25">
      <c r="A451">
        <v>1434</v>
      </c>
      <c r="B451" s="6">
        <f>COUNTIF(Raw_Data!A:A,A451)</f>
        <v>2</v>
      </c>
      <c r="C451" s="6">
        <f>SUMIFS(Raw_Data!G:G, Raw_Data!A:A, A451)</f>
        <v>7636</v>
      </c>
      <c r="D451" s="6">
        <f t="shared" si="35"/>
        <v>3818</v>
      </c>
      <c r="E451" t="str">
        <f t="shared" si="36"/>
        <v>Repeat</v>
      </c>
      <c r="F451" s="6">
        <f t="shared" si="34"/>
        <v>6960363</v>
      </c>
      <c r="G451" s="7">
        <f t="shared" ref="G451:G514" si="37">F451/SUM($C:$C)</f>
        <v>0.91022129124110696</v>
      </c>
      <c r="H451" t="str">
        <f t="shared" ref="H451:H514" si="38">IF(G451&lt;=0.8,"Top Customers","Others")</f>
        <v>Others</v>
      </c>
    </row>
    <row r="452" spans="1:8" x14ac:dyDescent="0.25">
      <c r="A452">
        <v>1576</v>
      </c>
      <c r="B452" s="6">
        <f>COUNTIF(Raw_Data!A:A,A452)</f>
        <v>4</v>
      </c>
      <c r="C452" s="6">
        <f>SUMIFS(Raw_Data!G:G, Raw_Data!A:A, A452)</f>
        <v>7630</v>
      </c>
      <c r="D452" s="6">
        <f t="shared" si="35"/>
        <v>1907.5</v>
      </c>
      <c r="E452" t="str">
        <f t="shared" si="36"/>
        <v>Repeat</v>
      </c>
      <c r="F452" s="6">
        <f t="shared" ref="F452:F515" si="39">F451+C452</f>
        <v>6967993</v>
      </c>
      <c r="G452" s="7">
        <f t="shared" si="37"/>
        <v>0.91121908236955385</v>
      </c>
      <c r="H452" t="str">
        <f t="shared" si="38"/>
        <v>Others</v>
      </c>
    </row>
    <row r="453" spans="1:8" x14ac:dyDescent="0.25">
      <c r="A453">
        <v>1140</v>
      </c>
      <c r="B453" s="6">
        <f>COUNTIF(Raw_Data!A:A,A453)</f>
        <v>3</v>
      </c>
      <c r="C453" s="6">
        <f>SUMIFS(Raw_Data!G:G, Raw_Data!A:A, A453)</f>
        <v>7423</v>
      </c>
      <c r="D453" s="6">
        <f t="shared" si="35"/>
        <v>2474.3333333333335</v>
      </c>
      <c r="E453" t="str">
        <f t="shared" si="36"/>
        <v>Repeat</v>
      </c>
      <c r="F453" s="6">
        <f t="shared" si="39"/>
        <v>6975416</v>
      </c>
      <c r="G453" s="7">
        <f t="shared" si="37"/>
        <v>0.91218980367315294</v>
      </c>
      <c r="H453" t="str">
        <f t="shared" si="38"/>
        <v>Others</v>
      </c>
    </row>
    <row r="454" spans="1:8" x14ac:dyDescent="0.25">
      <c r="A454">
        <v>1383</v>
      </c>
      <c r="B454" s="6">
        <f>COUNTIF(Raw_Data!A:A,A454)</f>
        <v>3</v>
      </c>
      <c r="C454" s="6">
        <f>SUMIFS(Raw_Data!G:G, Raw_Data!A:A, A454)</f>
        <v>7411</v>
      </c>
      <c r="D454" s="6">
        <f t="shared" si="35"/>
        <v>2470.3333333333335</v>
      </c>
      <c r="E454" t="str">
        <f t="shared" si="36"/>
        <v>Repeat</v>
      </c>
      <c r="F454" s="6">
        <f t="shared" si="39"/>
        <v>6982827</v>
      </c>
      <c r="G454" s="7">
        <f t="shared" si="37"/>
        <v>0.91315895571154337</v>
      </c>
      <c r="H454" t="str">
        <f t="shared" si="38"/>
        <v>Others</v>
      </c>
    </row>
    <row r="455" spans="1:8" x14ac:dyDescent="0.25">
      <c r="A455">
        <v>1438</v>
      </c>
      <c r="B455" s="6">
        <f>COUNTIF(Raw_Data!A:A,A455)</f>
        <v>4</v>
      </c>
      <c r="C455" s="6">
        <f>SUMIFS(Raw_Data!G:G, Raw_Data!A:A, A455)</f>
        <v>7391</v>
      </c>
      <c r="D455" s="6">
        <f t="shared" si="35"/>
        <v>1847.75</v>
      </c>
      <c r="E455" t="str">
        <f t="shared" si="36"/>
        <v>Repeat</v>
      </c>
      <c r="F455" s="6">
        <f t="shared" si="39"/>
        <v>6990218</v>
      </c>
      <c r="G455" s="7">
        <f t="shared" si="37"/>
        <v>0.91412549230791962</v>
      </c>
      <c r="H455" t="str">
        <f t="shared" si="38"/>
        <v>Others</v>
      </c>
    </row>
    <row r="456" spans="1:8" x14ac:dyDescent="0.25">
      <c r="A456">
        <v>1539</v>
      </c>
      <c r="B456" s="6">
        <f>COUNTIF(Raw_Data!A:A,A456)</f>
        <v>4</v>
      </c>
      <c r="C456" s="6">
        <f>SUMIFS(Raw_Data!G:G, Raw_Data!A:A, A456)</f>
        <v>7378</v>
      </c>
      <c r="D456" s="6">
        <f t="shared" si="35"/>
        <v>1844.5</v>
      </c>
      <c r="E456" t="str">
        <f t="shared" si="36"/>
        <v>Repeat</v>
      </c>
      <c r="F456" s="6">
        <f t="shared" si="39"/>
        <v>6997596</v>
      </c>
      <c r="G456" s="7">
        <f t="shared" si="37"/>
        <v>0.9150903288669866</v>
      </c>
      <c r="H456" t="str">
        <f t="shared" si="38"/>
        <v>Others</v>
      </c>
    </row>
    <row r="457" spans="1:8" x14ac:dyDescent="0.25">
      <c r="A457">
        <v>1200</v>
      </c>
      <c r="B457" s="6">
        <f>COUNTIF(Raw_Data!A:A,A457)</f>
        <v>3</v>
      </c>
      <c r="C457" s="6">
        <f>SUMIFS(Raw_Data!G:G, Raw_Data!A:A, A457)</f>
        <v>7336</v>
      </c>
      <c r="D457" s="6">
        <f t="shared" si="35"/>
        <v>2445.3333333333335</v>
      </c>
      <c r="E457" t="str">
        <f t="shared" si="36"/>
        <v>Repeat</v>
      </c>
      <c r="F457" s="6">
        <f t="shared" si="39"/>
        <v>7004932</v>
      </c>
      <c r="G457" s="7">
        <f t="shared" si="37"/>
        <v>0.91604967299782358</v>
      </c>
      <c r="H457" t="str">
        <f t="shared" si="38"/>
        <v>Others</v>
      </c>
    </row>
    <row r="458" spans="1:8" x14ac:dyDescent="0.25">
      <c r="A458">
        <v>1300</v>
      </c>
      <c r="B458" s="6">
        <f>COUNTIF(Raw_Data!A:A,A458)</f>
        <v>3</v>
      </c>
      <c r="C458" s="6">
        <f>SUMIFS(Raw_Data!G:G, Raw_Data!A:A, A458)</f>
        <v>7280</v>
      </c>
      <c r="D458" s="6">
        <f t="shared" si="35"/>
        <v>2426.6666666666665</v>
      </c>
      <c r="E458" t="str">
        <f t="shared" si="36"/>
        <v>Repeat</v>
      </c>
      <c r="F458" s="6">
        <f t="shared" si="39"/>
        <v>7012212</v>
      </c>
      <c r="G458" s="7">
        <f t="shared" si="37"/>
        <v>0.9170016938910206</v>
      </c>
      <c r="H458" t="str">
        <f t="shared" si="38"/>
        <v>Others</v>
      </c>
    </row>
    <row r="459" spans="1:8" x14ac:dyDescent="0.25">
      <c r="A459">
        <v>1176</v>
      </c>
      <c r="B459" s="6">
        <f>COUNTIF(Raw_Data!A:A,A459)</f>
        <v>3</v>
      </c>
      <c r="C459" s="6">
        <f>SUMIFS(Raw_Data!G:G, Raw_Data!A:A, A459)</f>
        <v>7272</v>
      </c>
      <c r="D459" s="6">
        <f t="shared" si="35"/>
        <v>2424</v>
      </c>
      <c r="E459" t="str">
        <f t="shared" si="36"/>
        <v>Repeat</v>
      </c>
      <c r="F459" s="6">
        <f t="shared" si="39"/>
        <v>7019484</v>
      </c>
      <c r="G459" s="7">
        <f t="shared" si="37"/>
        <v>0.91795266860741187</v>
      </c>
      <c r="H459" t="str">
        <f t="shared" si="38"/>
        <v>Others</v>
      </c>
    </row>
    <row r="460" spans="1:8" x14ac:dyDescent="0.25">
      <c r="A460">
        <v>1208</v>
      </c>
      <c r="B460" s="6">
        <f>COUNTIF(Raw_Data!A:A,A460)</f>
        <v>4</v>
      </c>
      <c r="C460" s="6">
        <f>SUMIFS(Raw_Data!G:G, Raw_Data!A:A, A460)</f>
        <v>7248</v>
      </c>
      <c r="D460" s="6">
        <f t="shared" si="35"/>
        <v>1812</v>
      </c>
      <c r="E460" t="str">
        <f t="shared" si="36"/>
        <v>Repeat</v>
      </c>
      <c r="F460" s="6">
        <f t="shared" si="39"/>
        <v>7026732</v>
      </c>
      <c r="G460" s="7">
        <f t="shared" si="37"/>
        <v>0.91890050479338592</v>
      </c>
      <c r="H460" t="str">
        <f t="shared" si="38"/>
        <v>Others</v>
      </c>
    </row>
    <row r="461" spans="1:8" x14ac:dyDescent="0.25">
      <c r="A461">
        <v>1472</v>
      </c>
      <c r="B461" s="6">
        <f>COUNTIF(Raw_Data!A:A,A461)</f>
        <v>3</v>
      </c>
      <c r="C461" s="6">
        <f>SUMIFS(Raw_Data!G:G, Raw_Data!A:A, A461)</f>
        <v>7166</v>
      </c>
      <c r="D461" s="6">
        <f t="shared" si="35"/>
        <v>2388.6666666666665</v>
      </c>
      <c r="E461" t="str">
        <f t="shared" si="36"/>
        <v>Repeat</v>
      </c>
      <c r="F461" s="6">
        <f t="shared" si="39"/>
        <v>7033898</v>
      </c>
      <c r="G461" s="7">
        <f t="shared" si="37"/>
        <v>0.91983761766710159</v>
      </c>
      <c r="H461" t="str">
        <f t="shared" si="38"/>
        <v>Others</v>
      </c>
    </row>
    <row r="462" spans="1:8" x14ac:dyDescent="0.25">
      <c r="A462">
        <v>1402</v>
      </c>
      <c r="B462" s="6">
        <f>COUNTIF(Raw_Data!A:A,A462)</f>
        <v>5</v>
      </c>
      <c r="C462" s="6">
        <f>SUMIFS(Raw_Data!G:G, Raw_Data!A:A, A462)</f>
        <v>7153</v>
      </c>
      <c r="D462" s="6">
        <f t="shared" si="35"/>
        <v>1430.6</v>
      </c>
      <c r="E462" t="str">
        <f t="shared" si="36"/>
        <v>Repeat</v>
      </c>
      <c r="F462" s="6">
        <f t="shared" si="39"/>
        <v>7041051</v>
      </c>
      <c r="G462" s="7">
        <f t="shared" si="37"/>
        <v>0.92077303050350789</v>
      </c>
      <c r="H462" t="str">
        <f t="shared" si="38"/>
        <v>Others</v>
      </c>
    </row>
    <row r="463" spans="1:8" x14ac:dyDescent="0.25">
      <c r="A463">
        <v>1138</v>
      </c>
      <c r="B463" s="6">
        <f>COUNTIF(Raw_Data!A:A,A463)</f>
        <v>3</v>
      </c>
      <c r="C463" s="6">
        <f>SUMIFS(Raw_Data!G:G, Raw_Data!A:A, A463)</f>
        <v>7114</v>
      </c>
      <c r="D463" s="6">
        <f t="shared" si="35"/>
        <v>2371.3333333333335</v>
      </c>
      <c r="E463" t="str">
        <f t="shared" si="36"/>
        <v>Repeat</v>
      </c>
      <c r="F463" s="6">
        <f t="shared" si="39"/>
        <v>7048165</v>
      </c>
      <c r="G463" s="7">
        <f t="shared" si="37"/>
        <v>0.92170334322798642</v>
      </c>
      <c r="H463" t="str">
        <f t="shared" si="38"/>
        <v>Others</v>
      </c>
    </row>
    <row r="464" spans="1:8" x14ac:dyDescent="0.25">
      <c r="A464">
        <v>1452</v>
      </c>
      <c r="B464" s="6">
        <f>COUNTIF(Raw_Data!A:A,A464)</f>
        <v>3</v>
      </c>
      <c r="C464" s="6">
        <f>SUMIFS(Raw_Data!G:G, Raw_Data!A:A, A464)</f>
        <v>7090</v>
      </c>
      <c r="D464" s="6">
        <f t="shared" si="35"/>
        <v>2363.3333333333335</v>
      </c>
      <c r="E464" t="str">
        <f t="shared" si="36"/>
        <v>Repeat</v>
      </c>
      <c r="F464" s="6">
        <f t="shared" si="39"/>
        <v>7055255</v>
      </c>
      <c r="G464" s="7">
        <f t="shared" si="37"/>
        <v>0.92263051742204771</v>
      </c>
      <c r="H464" t="str">
        <f t="shared" si="38"/>
        <v>Others</v>
      </c>
    </row>
    <row r="465" spans="1:8" x14ac:dyDescent="0.25">
      <c r="A465">
        <v>1589</v>
      </c>
      <c r="B465" s="6">
        <f>COUNTIF(Raw_Data!A:A,A465)</f>
        <v>4</v>
      </c>
      <c r="C465" s="6">
        <f>SUMIFS(Raw_Data!G:G, Raw_Data!A:A, A465)</f>
        <v>7049</v>
      </c>
      <c r="D465" s="6">
        <f t="shared" si="35"/>
        <v>1762.25</v>
      </c>
      <c r="E465" t="str">
        <f t="shared" si="36"/>
        <v>Repeat</v>
      </c>
      <c r="F465" s="6">
        <f t="shared" si="39"/>
        <v>7062304</v>
      </c>
      <c r="G465" s="7">
        <f t="shared" si="37"/>
        <v>0.92355232995997982</v>
      </c>
      <c r="H465" t="str">
        <f t="shared" si="38"/>
        <v>Others</v>
      </c>
    </row>
    <row r="466" spans="1:8" x14ac:dyDescent="0.25">
      <c r="A466">
        <v>1560</v>
      </c>
      <c r="B466" s="6">
        <f>COUNTIF(Raw_Data!A:A,A466)</f>
        <v>3</v>
      </c>
      <c r="C466" s="6">
        <f>SUMIFS(Raw_Data!G:G, Raw_Data!A:A, A466)</f>
        <v>6995</v>
      </c>
      <c r="D466" s="6">
        <f t="shared" si="35"/>
        <v>2331.6666666666665</v>
      </c>
      <c r="E466" t="str">
        <f t="shared" si="36"/>
        <v>Repeat</v>
      </c>
      <c r="F466" s="6">
        <f t="shared" si="39"/>
        <v>7069299</v>
      </c>
      <c r="G466" s="7">
        <f t="shared" si="37"/>
        <v>0.92446708080447337</v>
      </c>
      <c r="H466" t="str">
        <f t="shared" si="38"/>
        <v>Others</v>
      </c>
    </row>
    <row r="467" spans="1:8" x14ac:dyDescent="0.25">
      <c r="A467">
        <v>1232</v>
      </c>
      <c r="B467" s="6">
        <f>COUNTIF(Raw_Data!A:A,A467)</f>
        <v>3</v>
      </c>
      <c r="C467" s="6">
        <f>SUMIFS(Raw_Data!G:G, Raw_Data!A:A, A467)</f>
        <v>6931</v>
      </c>
      <c r="D467" s="6">
        <f t="shared" si="35"/>
        <v>2310.3333333333335</v>
      </c>
      <c r="E467" t="str">
        <f t="shared" si="36"/>
        <v>Repeat</v>
      </c>
      <c r="F467" s="6">
        <f t="shared" si="39"/>
        <v>7076230</v>
      </c>
      <c r="G467" s="7">
        <f t="shared" si="37"/>
        <v>0.92537346223452122</v>
      </c>
      <c r="H467" t="str">
        <f t="shared" si="38"/>
        <v>Others</v>
      </c>
    </row>
    <row r="468" spans="1:8" x14ac:dyDescent="0.25">
      <c r="A468">
        <v>1100</v>
      </c>
      <c r="B468" s="6">
        <f>COUNTIF(Raw_Data!A:A,A468)</f>
        <v>3</v>
      </c>
      <c r="C468" s="6">
        <f>SUMIFS(Raw_Data!G:G, Raw_Data!A:A, A468)</f>
        <v>6910</v>
      </c>
      <c r="D468" s="6">
        <f t="shared" si="35"/>
        <v>2303.3333333333335</v>
      </c>
      <c r="E468" t="str">
        <f t="shared" si="36"/>
        <v>Repeat</v>
      </c>
      <c r="F468" s="6">
        <f t="shared" si="39"/>
        <v>7083140</v>
      </c>
      <c r="G468" s="7">
        <f t="shared" si="37"/>
        <v>0.92627709745045406</v>
      </c>
      <c r="H468" t="str">
        <f t="shared" si="38"/>
        <v>Others</v>
      </c>
    </row>
    <row r="469" spans="1:8" x14ac:dyDescent="0.25">
      <c r="A469">
        <v>1068</v>
      </c>
      <c r="B469" s="6">
        <f>COUNTIF(Raw_Data!A:A,A469)</f>
        <v>3</v>
      </c>
      <c r="C469" s="6">
        <f>SUMIFS(Raw_Data!G:G, Raw_Data!A:A, A469)</f>
        <v>6898</v>
      </c>
      <c r="D469" s="6">
        <f t="shared" si="35"/>
        <v>2299.3333333333335</v>
      </c>
      <c r="E469" t="str">
        <f t="shared" si="36"/>
        <v>Repeat</v>
      </c>
      <c r="F469" s="6">
        <f t="shared" si="39"/>
        <v>7090038</v>
      </c>
      <c r="G469" s="7">
        <f t="shared" si="37"/>
        <v>0.92717916340117834</v>
      </c>
      <c r="H469" t="str">
        <f t="shared" si="38"/>
        <v>Others</v>
      </c>
    </row>
    <row r="470" spans="1:8" x14ac:dyDescent="0.25">
      <c r="A470">
        <v>1384</v>
      </c>
      <c r="B470" s="6">
        <f>COUNTIF(Raw_Data!A:A,A470)</f>
        <v>4</v>
      </c>
      <c r="C470" s="6">
        <f>SUMIFS(Raw_Data!G:G, Raw_Data!A:A, A470)</f>
        <v>6877</v>
      </c>
      <c r="D470" s="6">
        <f t="shared" si="35"/>
        <v>1719.25</v>
      </c>
      <c r="E470" t="str">
        <f t="shared" si="36"/>
        <v>Repeat</v>
      </c>
      <c r="F470" s="6">
        <f t="shared" si="39"/>
        <v>7096915</v>
      </c>
      <c r="G470" s="7">
        <f t="shared" si="37"/>
        <v>0.92807848313778762</v>
      </c>
      <c r="H470" t="str">
        <f t="shared" si="38"/>
        <v>Others</v>
      </c>
    </row>
    <row r="471" spans="1:8" x14ac:dyDescent="0.25">
      <c r="A471">
        <v>1077</v>
      </c>
      <c r="B471" s="6">
        <f>COUNTIF(Raw_Data!A:A,A471)</f>
        <v>2</v>
      </c>
      <c r="C471" s="6">
        <f>SUMIFS(Raw_Data!G:G, Raw_Data!A:A, A471)</f>
        <v>6835</v>
      </c>
      <c r="D471" s="6">
        <f t="shared" si="35"/>
        <v>3417.5</v>
      </c>
      <c r="E471" t="str">
        <f t="shared" si="36"/>
        <v>Repeat</v>
      </c>
      <c r="F471" s="6">
        <f t="shared" si="39"/>
        <v>7103750</v>
      </c>
      <c r="G471" s="7">
        <f t="shared" si="37"/>
        <v>0.9289723104461669</v>
      </c>
      <c r="H471" t="str">
        <f t="shared" si="38"/>
        <v>Others</v>
      </c>
    </row>
    <row r="472" spans="1:8" x14ac:dyDescent="0.25">
      <c r="A472">
        <v>1430</v>
      </c>
      <c r="B472" s="6">
        <f>COUNTIF(Raw_Data!A:A,A472)</f>
        <v>3</v>
      </c>
      <c r="C472" s="6">
        <f>SUMIFS(Raw_Data!G:G, Raw_Data!A:A, A472)</f>
        <v>6827</v>
      </c>
      <c r="D472" s="6">
        <f t="shared" si="35"/>
        <v>2275.6666666666665</v>
      </c>
      <c r="E472" t="str">
        <f t="shared" si="36"/>
        <v>Repeat</v>
      </c>
      <c r="F472" s="6">
        <f t="shared" si="39"/>
        <v>7110577</v>
      </c>
      <c r="G472" s="7">
        <f t="shared" si="37"/>
        <v>0.92986509157774055</v>
      </c>
      <c r="H472" t="str">
        <f t="shared" si="38"/>
        <v>Others</v>
      </c>
    </row>
    <row r="473" spans="1:8" x14ac:dyDescent="0.25">
      <c r="A473">
        <v>1152</v>
      </c>
      <c r="B473" s="6">
        <f>COUNTIF(Raw_Data!A:A,A473)</f>
        <v>4</v>
      </c>
      <c r="C473" s="6">
        <f>SUMIFS(Raw_Data!G:G, Raw_Data!A:A, A473)</f>
        <v>6774</v>
      </c>
      <c r="D473" s="6">
        <f t="shared" si="35"/>
        <v>1693.5</v>
      </c>
      <c r="E473" t="str">
        <f t="shared" si="36"/>
        <v>Repeat</v>
      </c>
      <c r="F473" s="6">
        <f t="shared" si="39"/>
        <v>7117351</v>
      </c>
      <c r="G473" s="7">
        <f t="shared" si="37"/>
        <v>0.93075094178797635</v>
      </c>
      <c r="H473" t="str">
        <f t="shared" si="38"/>
        <v>Others</v>
      </c>
    </row>
    <row r="474" spans="1:8" x14ac:dyDescent="0.25">
      <c r="A474">
        <v>1031</v>
      </c>
      <c r="B474" s="6">
        <f>COUNTIF(Raw_Data!A:A,A474)</f>
        <v>3</v>
      </c>
      <c r="C474" s="6">
        <f>SUMIFS(Raw_Data!G:G, Raw_Data!A:A, A474)</f>
        <v>6761</v>
      </c>
      <c r="D474" s="6">
        <f t="shared" si="35"/>
        <v>2253.6666666666665</v>
      </c>
      <c r="E474" t="str">
        <f t="shared" si="36"/>
        <v>Repeat</v>
      </c>
      <c r="F474" s="6">
        <f t="shared" si="39"/>
        <v>7124112</v>
      </c>
      <c r="G474" s="7">
        <f t="shared" si="37"/>
        <v>0.93163509196090277</v>
      </c>
      <c r="H474" t="str">
        <f t="shared" si="38"/>
        <v>Others</v>
      </c>
    </row>
    <row r="475" spans="1:8" x14ac:dyDescent="0.25">
      <c r="A475">
        <v>1513</v>
      </c>
      <c r="B475" s="6">
        <f>COUNTIF(Raw_Data!A:A,A475)</f>
        <v>5</v>
      </c>
      <c r="C475" s="6">
        <f>SUMIFS(Raw_Data!G:G, Raw_Data!A:A, A475)</f>
        <v>6743</v>
      </c>
      <c r="D475" s="6">
        <f t="shared" si="35"/>
        <v>1348.6</v>
      </c>
      <c r="E475" t="str">
        <f t="shared" si="36"/>
        <v>Repeat</v>
      </c>
      <c r="F475" s="6">
        <f t="shared" si="39"/>
        <v>7130855</v>
      </c>
      <c r="G475" s="7">
        <f t="shared" si="37"/>
        <v>0.93251688823601642</v>
      </c>
      <c r="H475" t="str">
        <f t="shared" si="38"/>
        <v>Others</v>
      </c>
    </row>
    <row r="476" spans="1:8" x14ac:dyDescent="0.25">
      <c r="A476">
        <v>1412</v>
      </c>
      <c r="B476" s="6">
        <f>COUNTIF(Raw_Data!A:A,A476)</f>
        <v>3</v>
      </c>
      <c r="C476" s="6">
        <f>SUMIFS(Raw_Data!G:G, Raw_Data!A:A, A476)</f>
        <v>6729</v>
      </c>
      <c r="D476" s="6">
        <f t="shared" si="35"/>
        <v>2243</v>
      </c>
      <c r="E476" t="str">
        <f t="shared" si="36"/>
        <v>Repeat</v>
      </c>
      <c r="F476" s="6">
        <f t="shared" si="39"/>
        <v>7137584</v>
      </c>
      <c r="G476" s="7">
        <f t="shared" si="37"/>
        <v>0.9333968537017201</v>
      </c>
      <c r="H476" t="str">
        <f t="shared" si="38"/>
        <v>Others</v>
      </c>
    </row>
    <row r="477" spans="1:8" x14ac:dyDescent="0.25">
      <c r="A477">
        <v>1362</v>
      </c>
      <c r="B477" s="6">
        <f>COUNTIF(Raw_Data!A:A,A477)</f>
        <v>3</v>
      </c>
      <c r="C477" s="6">
        <f>SUMIFS(Raw_Data!G:G, Raw_Data!A:A, A477)</f>
        <v>6702</v>
      </c>
      <c r="D477" s="6">
        <f t="shared" si="35"/>
        <v>2234</v>
      </c>
      <c r="E477" t="str">
        <f t="shared" si="36"/>
        <v>Repeat</v>
      </c>
      <c r="F477" s="6">
        <f t="shared" si="39"/>
        <v>7144286</v>
      </c>
      <c r="G477" s="7">
        <f t="shared" si="37"/>
        <v>0.93427328832070444</v>
      </c>
      <c r="H477" t="str">
        <f t="shared" si="38"/>
        <v>Others</v>
      </c>
    </row>
    <row r="478" spans="1:8" x14ac:dyDescent="0.25">
      <c r="A478">
        <v>1592</v>
      </c>
      <c r="B478" s="6">
        <f>COUNTIF(Raw_Data!A:A,A478)</f>
        <v>3</v>
      </c>
      <c r="C478" s="6">
        <f>SUMIFS(Raw_Data!G:G, Raw_Data!A:A, A478)</f>
        <v>6695</v>
      </c>
      <c r="D478" s="6">
        <f t="shared" si="35"/>
        <v>2231.6666666666665</v>
      </c>
      <c r="E478" t="str">
        <f t="shared" si="36"/>
        <v>Repeat</v>
      </c>
      <c r="F478" s="6">
        <f t="shared" si="39"/>
        <v>7150981</v>
      </c>
      <c r="G478" s="7">
        <f t="shared" si="37"/>
        <v>0.93514880753498386</v>
      </c>
      <c r="H478" t="str">
        <f t="shared" si="38"/>
        <v>Others</v>
      </c>
    </row>
    <row r="479" spans="1:8" x14ac:dyDescent="0.25">
      <c r="A479">
        <v>1177</v>
      </c>
      <c r="B479" s="6">
        <f>COUNTIF(Raw_Data!A:A,A479)</f>
        <v>5</v>
      </c>
      <c r="C479" s="6">
        <f>SUMIFS(Raw_Data!G:G, Raw_Data!A:A, A479)</f>
        <v>6681</v>
      </c>
      <c r="D479" s="6">
        <f t="shared" si="35"/>
        <v>1336.2</v>
      </c>
      <c r="E479" t="str">
        <f t="shared" si="36"/>
        <v>Repeat</v>
      </c>
      <c r="F479" s="6">
        <f t="shared" si="39"/>
        <v>7157662</v>
      </c>
      <c r="G479" s="7">
        <f t="shared" si="37"/>
        <v>0.93602249593985321</v>
      </c>
      <c r="H479" t="str">
        <f t="shared" si="38"/>
        <v>Others</v>
      </c>
    </row>
    <row r="480" spans="1:8" x14ac:dyDescent="0.25">
      <c r="A480">
        <v>1292</v>
      </c>
      <c r="B480" s="6">
        <f>COUNTIF(Raw_Data!A:A,A480)</f>
        <v>3</v>
      </c>
      <c r="C480" s="6">
        <f>SUMIFS(Raw_Data!G:G, Raw_Data!A:A, A480)</f>
        <v>6558</v>
      </c>
      <c r="D480" s="6">
        <f t="shared" si="35"/>
        <v>2186</v>
      </c>
      <c r="E480" t="str">
        <f t="shared" si="36"/>
        <v>Repeat</v>
      </c>
      <c r="F480" s="6">
        <f t="shared" si="39"/>
        <v>7164220</v>
      </c>
      <c r="G480" s="7">
        <f t="shared" si="37"/>
        <v>0.93688009937633476</v>
      </c>
      <c r="H480" t="str">
        <f t="shared" si="38"/>
        <v>Others</v>
      </c>
    </row>
    <row r="481" spans="1:8" x14ac:dyDescent="0.25">
      <c r="A481">
        <v>1155</v>
      </c>
      <c r="B481" s="6">
        <f>COUNTIF(Raw_Data!A:A,A481)</f>
        <v>3</v>
      </c>
      <c r="C481" s="6">
        <f>SUMIFS(Raw_Data!G:G, Raw_Data!A:A, A481)</f>
        <v>6543</v>
      </c>
      <c r="D481" s="6">
        <f t="shared" si="35"/>
        <v>2181</v>
      </c>
      <c r="E481" t="str">
        <f t="shared" si="36"/>
        <v>Repeat</v>
      </c>
      <c r="F481" s="6">
        <f t="shared" si="39"/>
        <v>7170763</v>
      </c>
      <c r="G481" s="7">
        <f t="shared" si="37"/>
        <v>0.93773574123130565</v>
      </c>
      <c r="H481" t="str">
        <f t="shared" si="38"/>
        <v>Others</v>
      </c>
    </row>
    <row r="482" spans="1:8" x14ac:dyDescent="0.25">
      <c r="A482">
        <v>1175</v>
      </c>
      <c r="B482" s="6">
        <f>COUNTIF(Raw_Data!A:A,A482)</f>
        <v>3</v>
      </c>
      <c r="C482" s="6">
        <f>SUMIFS(Raw_Data!G:G, Raw_Data!A:A, A482)</f>
        <v>6501</v>
      </c>
      <c r="D482" s="6">
        <f t="shared" si="35"/>
        <v>2167</v>
      </c>
      <c r="E482" t="str">
        <f t="shared" si="36"/>
        <v>Repeat</v>
      </c>
      <c r="F482" s="6">
        <f t="shared" si="39"/>
        <v>7177264</v>
      </c>
      <c r="G482" s="7">
        <f t="shared" si="37"/>
        <v>0.93858589065804654</v>
      </c>
      <c r="H482" t="str">
        <f t="shared" si="38"/>
        <v>Others</v>
      </c>
    </row>
    <row r="483" spans="1:8" x14ac:dyDescent="0.25">
      <c r="A483">
        <v>1540</v>
      </c>
      <c r="B483" s="6">
        <f>COUNTIF(Raw_Data!A:A,A483)</f>
        <v>4</v>
      </c>
      <c r="C483" s="6">
        <f>SUMIFS(Raw_Data!G:G, Raw_Data!A:A, A483)</f>
        <v>6473</v>
      </c>
      <c r="D483" s="6">
        <f t="shared" si="35"/>
        <v>1618.25</v>
      </c>
      <c r="E483" t="str">
        <f t="shared" si="36"/>
        <v>Repeat</v>
      </c>
      <c r="F483" s="6">
        <f t="shared" si="39"/>
        <v>7183737</v>
      </c>
      <c r="G483" s="7">
        <f t="shared" si="37"/>
        <v>0.93943237846596739</v>
      </c>
      <c r="H483" t="str">
        <f t="shared" si="38"/>
        <v>Others</v>
      </c>
    </row>
    <row r="484" spans="1:8" x14ac:dyDescent="0.25">
      <c r="A484">
        <v>1205</v>
      </c>
      <c r="B484" s="6">
        <f>COUNTIF(Raw_Data!A:A,A484)</f>
        <v>3</v>
      </c>
      <c r="C484" s="6">
        <f>SUMIFS(Raw_Data!G:G, Raw_Data!A:A, A484)</f>
        <v>6473</v>
      </c>
      <c r="D484" s="6">
        <f t="shared" si="35"/>
        <v>2157.6666666666665</v>
      </c>
      <c r="E484" t="str">
        <f t="shared" si="36"/>
        <v>Repeat</v>
      </c>
      <c r="F484" s="6">
        <f t="shared" si="39"/>
        <v>7190210</v>
      </c>
      <c r="G484" s="7">
        <f t="shared" si="37"/>
        <v>0.94027886627388835</v>
      </c>
      <c r="H484" t="str">
        <f t="shared" si="38"/>
        <v>Others</v>
      </c>
    </row>
    <row r="485" spans="1:8" x14ac:dyDescent="0.25">
      <c r="A485">
        <v>1091</v>
      </c>
      <c r="B485" s="6">
        <f>COUNTIF(Raw_Data!A:A,A485)</f>
        <v>2</v>
      </c>
      <c r="C485" s="6">
        <f>SUMIFS(Raw_Data!G:G, Raw_Data!A:A, A485)</f>
        <v>6443</v>
      </c>
      <c r="D485" s="6">
        <f t="shared" si="35"/>
        <v>3221.5</v>
      </c>
      <c r="E485" t="str">
        <f t="shared" si="36"/>
        <v>Repeat</v>
      </c>
      <c r="F485" s="6">
        <f t="shared" si="39"/>
        <v>7196653</v>
      </c>
      <c r="G485" s="7">
        <f t="shared" si="37"/>
        <v>0.94112143091878775</v>
      </c>
      <c r="H485" t="str">
        <f t="shared" si="38"/>
        <v>Others</v>
      </c>
    </row>
    <row r="486" spans="1:8" x14ac:dyDescent="0.25">
      <c r="A486">
        <v>1535</v>
      </c>
      <c r="B486" s="6">
        <f>COUNTIF(Raw_Data!A:A,A486)</f>
        <v>2</v>
      </c>
      <c r="C486" s="6">
        <f>SUMIFS(Raw_Data!G:G, Raw_Data!A:A, A486)</f>
        <v>6440</v>
      </c>
      <c r="D486" s="6">
        <f t="shared" si="35"/>
        <v>3220</v>
      </c>
      <c r="E486" t="str">
        <f t="shared" si="36"/>
        <v>Repeat</v>
      </c>
      <c r="F486" s="6">
        <f t="shared" si="39"/>
        <v>7203093</v>
      </c>
      <c r="G486" s="7">
        <f t="shared" si="37"/>
        <v>0.94196360324738515</v>
      </c>
      <c r="H486" t="str">
        <f t="shared" si="38"/>
        <v>Others</v>
      </c>
    </row>
    <row r="487" spans="1:8" x14ac:dyDescent="0.25">
      <c r="A487">
        <v>1597</v>
      </c>
      <c r="B487" s="6">
        <f>COUNTIF(Raw_Data!A:A,A487)</f>
        <v>2</v>
      </c>
      <c r="C487" s="6">
        <f>SUMIFS(Raw_Data!G:G, Raw_Data!A:A, A487)</f>
        <v>6402</v>
      </c>
      <c r="D487" s="6">
        <f t="shared" si="35"/>
        <v>3201</v>
      </c>
      <c r="E487" t="str">
        <f t="shared" si="36"/>
        <v>Repeat</v>
      </c>
      <c r="F487" s="6">
        <f t="shared" si="39"/>
        <v>7209495</v>
      </c>
      <c r="G487" s="7">
        <f t="shared" si="37"/>
        <v>0.94280080623615536</v>
      </c>
      <c r="H487" t="str">
        <f t="shared" si="38"/>
        <v>Others</v>
      </c>
    </row>
    <row r="488" spans="1:8" x14ac:dyDescent="0.25">
      <c r="A488">
        <v>1180</v>
      </c>
      <c r="B488" s="6">
        <f>COUNTIF(Raw_Data!A:A,A488)</f>
        <v>3</v>
      </c>
      <c r="C488" s="6">
        <f>SUMIFS(Raw_Data!G:G, Raw_Data!A:A, A488)</f>
        <v>6269</v>
      </c>
      <c r="D488" s="6">
        <f t="shared" si="35"/>
        <v>2089.6666666666665</v>
      </c>
      <c r="E488" t="str">
        <f t="shared" si="36"/>
        <v>Repeat</v>
      </c>
      <c r="F488" s="6">
        <f t="shared" si="39"/>
        <v>7215764</v>
      </c>
      <c r="G488" s="7">
        <f t="shared" si="37"/>
        <v>0.94362061653553053</v>
      </c>
      <c r="H488" t="str">
        <f t="shared" si="38"/>
        <v>Others</v>
      </c>
    </row>
    <row r="489" spans="1:8" x14ac:dyDescent="0.25">
      <c r="A489">
        <v>1082</v>
      </c>
      <c r="B489" s="6">
        <f>COUNTIF(Raw_Data!A:A,A489)</f>
        <v>4</v>
      </c>
      <c r="C489" s="6">
        <f>SUMIFS(Raw_Data!G:G, Raw_Data!A:A, A489)</f>
        <v>6228</v>
      </c>
      <c r="D489" s="6">
        <f t="shared" si="35"/>
        <v>1557</v>
      </c>
      <c r="E489" t="str">
        <f t="shared" si="36"/>
        <v>Repeat</v>
      </c>
      <c r="F489" s="6">
        <f t="shared" si="39"/>
        <v>7221992</v>
      </c>
      <c r="G489" s="7">
        <f t="shared" si="37"/>
        <v>0.94443506517877662</v>
      </c>
      <c r="H489" t="str">
        <f t="shared" si="38"/>
        <v>Others</v>
      </c>
    </row>
    <row r="490" spans="1:8" x14ac:dyDescent="0.25">
      <c r="A490">
        <v>1357</v>
      </c>
      <c r="B490" s="6">
        <f>COUNTIF(Raw_Data!A:A,A490)</f>
        <v>3</v>
      </c>
      <c r="C490" s="6">
        <f>SUMIFS(Raw_Data!G:G, Raw_Data!A:A, A490)</f>
        <v>6226</v>
      </c>
      <c r="D490" s="6">
        <f t="shared" si="35"/>
        <v>2075.3333333333335</v>
      </c>
      <c r="E490" t="str">
        <f t="shared" si="36"/>
        <v>Repeat</v>
      </c>
      <c r="F490" s="6">
        <f t="shared" si="39"/>
        <v>7228218</v>
      </c>
      <c r="G490" s="7">
        <f t="shared" si="37"/>
        <v>0.94524925227782119</v>
      </c>
      <c r="H490" t="str">
        <f t="shared" si="38"/>
        <v>Others</v>
      </c>
    </row>
    <row r="491" spans="1:8" x14ac:dyDescent="0.25">
      <c r="A491">
        <v>1484</v>
      </c>
      <c r="B491" s="6">
        <f>COUNTIF(Raw_Data!A:A,A491)</f>
        <v>3</v>
      </c>
      <c r="C491" s="6">
        <f>SUMIFS(Raw_Data!G:G, Raw_Data!A:A, A491)</f>
        <v>6196</v>
      </c>
      <c r="D491" s="6">
        <f t="shared" si="35"/>
        <v>2065.3333333333335</v>
      </c>
      <c r="E491" t="str">
        <f t="shared" si="36"/>
        <v>Repeat</v>
      </c>
      <c r="F491" s="6">
        <f t="shared" si="39"/>
        <v>7234414</v>
      </c>
      <c r="G491" s="7">
        <f t="shared" si="37"/>
        <v>0.94605951621384432</v>
      </c>
      <c r="H491" t="str">
        <f t="shared" si="38"/>
        <v>Others</v>
      </c>
    </row>
    <row r="492" spans="1:8" x14ac:dyDescent="0.25">
      <c r="A492">
        <v>1332</v>
      </c>
      <c r="B492" s="6">
        <f>COUNTIF(Raw_Data!A:A,A492)</f>
        <v>5</v>
      </c>
      <c r="C492" s="6">
        <f>SUMIFS(Raw_Data!G:G, Raw_Data!A:A, A492)</f>
        <v>6186</v>
      </c>
      <c r="D492" s="6">
        <f t="shared" si="35"/>
        <v>1237.2</v>
      </c>
      <c r="E492" t="str">
        <f t="shared" si="36"/>
        <v>Repeat</v>
      </c>
      <c r="F492" s="6">
        <f t="shared" si="39"/>
        <v>7240600</v>
      </c>
      <c r="G492" s="7">
        <f t="shared" si="37"/>
        <v>0.9468684724288603</v>
      </c>
      <c r="H492" t="str">
        <f t="shared" si="38"/>
        <v>Others</v>
      </c>
    </row>
    <row r="493" spans="1:8" x14ac:dyDescent="0.25">
      <c r="A493">
        <v>1044</v>
      </c>
      <c r="B493" s="6">
        <f>COUNTIF(Raw_Data!A:A,A493)</f>
        <v>3</v>
      </c>
      <c r="C493" s="6">
        <f>SUMIFS(Raw_Data!G:G, Raw_Data!A:A, A493)</f>
        <v>6169</v>
      </c>
      <c r="D493" s="6">
        <f t="shared" si="35"/>
        <v>2056.3333333333335</v>
      </c>
      <c r="E493" t="str">
        <f t="shared" si="36"/>
        <v>Repeat</v>
      </c>
      <c r="F493" s="6">
        <f t="shared" si="39"/>
        <v>7246769</v>
      </c>
      <c r="G493" s="7">
        <f t="shared" si="37"/>
        <v>0.9476752055181642</v>
      </c>
      <c r="H493" t="str">
        <f t="shared" si="38"/>
        <v>Others</v>
      </c>
    </row>
    <row r="494" spans="1:8" x14ac:dyDescent="0.25">
      <c r="A494">
        <v>1439</v>
      </c>
      <c r="B494" s="6">
        <f>COUNTIF(Raw_Data!A:A,A494)</f>
        <v>2</v>
      </c>
      <c r="C494" s="6">
        <f>SUMIFS(Raw_Data!G:G, Raw_Data!A:A, A494)</f>
        <v>6125</v>
      </c>
      <c r="D494" s="6">
        <f t="shared" si="35"/>
        <v>3062.5</v>
      </c>
      <c r="E494" t="str">
        <f t="shared" si="36"/>
        <v>Repeat</v>
      </c>
      <c r="F494" s="6">
        <f t="shared" si="39"/>
        <v>7252894</v>
      </c>
      <c r="G494" s="7">
        <f t="shared" si="37"/>
        <v>0.94847618463503669</v>
      </c>
      <c r="H494" t="str">
        <f t="shared" si="38"/>
        <v>Others</v>
      </c>
    </row>
    <row r="495" spans="1:8" x14ac:dyDescent="0.25">
      <c r="A495">
        <v>1510</v>
      </c>
      <c r="B495" s="6">
        <f>COUNTIF(Raw_Data!A:A,A495)</f>
        <v>4</v>
      </c>
      <c r="C495" s="6">
        <f>SUMIFS(Raw_Data!G:G, Raw_Data!A:A, A495)</f>
        <v>6054</v>
      </c>
      <c r="D495" s="6">
        <f t="shared" si="35"/>
        <v>1513.5</v>
      </c>
      <c r="E495" t="str">
        <f t="shared" si="36"/>
        <v>Repeat</v>
      </c>
      <c r="F495" s="6">
        <f t="shared" si="39"/>
        <v>7258948</v>
      </c>
      <c r="G495" s="7">
        <f t="shared" si="37"/>
        <v>0.94926787893275844</v>
      </c>
      <c r="H495" t="str">
        <f t="shared" si="38"/>
        <v>Others</v>
      </c>
    </row>
    <row r="496" spans="1:8" x14ac:dyDescent="0.25">
      <c r="A496">
        <v>1064</v>
      </c>
      <c r="B496" s="6">
        <f>COUNTIF(Raw_Data!A:A,A496)</f>
        <v>2</v>
      </c>
      <c r="C496" s="6">
        <f>SUMIFS(Raw_Data!G:G, Raw_Data!A:A, A496)</f>
        <v>6029</v>
      </c>
      <c r="D496" s="6">
        <f t="shared" si="35"/>
        <v>3014.5</v>
      </c>
      <c r="E496" t="str">
        <f t="shared" si="36"/>
        <v>Repeat</v>
      </c>
      <c r="F496" s="6">
        <f t="shared" si="39"/>
        <v>7264977</v>
      </c>
      <c r="G496" s="7">
        <f t="shared" si="37"/>
        <v>0.95005630392796236</v>
      </c>
      <c r="H496" t="str">
        <f t="shared" si="38"/>
        <v>Others</v>
      </c>
    </row>
    <row r="497" spans="1:8" x14ac:dyDescent="0.25">
      <c r="A497">
        <v>1275</v>
      </c>
      <c r="B497" s="6">
        <f>COUNTIF(Raw_Data!A:A,A497)</f>
        <v>2</v>
      </c>
      <c r="C497" s="6">
        <f>SUMIFS(Raw_Data!G:G, Raw_Data!A:A, A497)</f>
        <v>6016</v>
      </c>
      <c r="D497" s="6">
        <f t="shared" si="35"/>
        <v>3008</v>
      </c>
      <c r="E497" t="str">
        <f t="shared" si="36"/>
        <v>Repeat</v>
      </c>
      <c r="F497" s="6">
        <f t="shared" si="39"/>
        <v>7270993</v>
      </c>
      <c r="G497" s="7">
        <f t="shared" si="37"/>
        <v>0.95084302888585703</v>
      </c>
      <c r="H497" t="str">
        <f t="shared" si="38"/>
        <v>Others</v>
      </c>
    </row>
    <row r="498" spans="1:8" x14ac:dyDescent="0.25">
      <c r="A498">
        <v>1282</v>
      </c>
      <c r="B498" s="6">
        <f>COUNTIF(Raw_Data!A:A,A498)</f>
        <v>3</v>
      </c>
      <c r="C498" s="6">
        <f>SUMIFS(Raw_Data!G:G, Raw_Data!A:A, A498)</f>
        <v>5985</v>
      </c>
      <c r="D498" s="6">
        <f t="shared" si="35"/>
        <v>1995</v>
      </c>
      <c r="E498" t="str">
        <f t="shared" si="36"/>
        <v>Repeat</v>
      </c>
      <c r="F498" s="6">
        <f t="shared" si="39"/>
        <v>7276978</v>
      </c>
      <c r="G498" s="7">
        <f t="shared" si="37"/>
        <v>0.95162569990862955</v>
      </c>
      <c r="H498" t="str">
        <f t="shared" si="38"/>
        <v>Others</v>
      </c>
    </row>
    <row r="499" spans="1:8" x14ac:dyDescent="0.25">
      <c r="A499">
        <v>1388</v>
      </c>
      <c r="B499" s="6">
        <f>COUNTIF(Raw_Data!A:A,A499)</f>
        <v>3</v>
      </c>
      <c r="C499" s="6">
        <f>SUMIFS(Raw_Data!G:G, Raw_Data!A:A, A499)</f>
        <v>5867</v>
      </c>
      <c r="D499" s="6">
        <f t="shared" si="35"/>
        <v>1955.6666666666667</v>
      </c>
      <c r="E499" t="str">
        <f t="shared" si="36"/>
        <v>Repeat</v>
      </c>
      <c r="F499" s="6">
        <f t="shared" si="39"/>
        <v>7282845</v>
      </c>
      <c r="G499" s="7">
        <f t="shared" si="37"/>
        <v>0.9523929398235178</v>
      </c>
      <c r="H499" t="str">
        <f t="shared" si="38"/>
        <v>Others</v>
      </c>
    </row>
    <row r="500" spans="1:8" x14ac:dyDescent="0.25">
      <c r="A500">
        <v>1351</v>
      </c>
      <c r="B500" s="6">
        <f>COUNTIF(Raw_Data!A:A,A500)</f>
        <v>2</v>
      </c>
      <c r="C500" s="6">
        <f>SUMIFS(Raw_Data!G:G, Raw_Data!A:A, A500)</f>
        <v>5855</v>
      </c>
      <c r="D500" s="6">
        <f t="shared" si="35"/>
        <v>2927.5</v>
      </c>
      <c r="E500" t="str">
        <f t="shared" si="36"/>
        <v>Repeat</v>
      </c>
      <c r="F500" s="6">
        <f t="shared" si="39"/>
        <v>7288700</v>
      </c>
      <c r="G500" s="7">
        <f t="shared" si="37"/>
        <v>0.9531586104731975</v>
      </c>
      <c r="H500" t="str">
        <f t="shared" si="38"/>
        <v>Others</v>
      </c>
    </row>
    <row r="501" spans="1:8" x14ac:dyDescent="0.25">
      <c r="A501">
        <v>1016</v>
      </c>
      <c r="B501" s="6">
        <f>COUNTIF(Raw_Data!A:A,A501)</f>
        <v>5</v>
      </c>
      <c r="C501" s="6">
        <f>SUMIFS(Raw_Data!G:G, Raw_Data!A:A, A501)</f>
        <v>5791</v>
      </c>
      <c r="D501" s="6">
        <f t="shared" si="35"/>
        <v>1158.2</v>
      </c>
      <c r="E501" t="str">
        <f t="shared" si="36"/>
        <v>Repeat</v>
      </c>
      <c r="F501" s="6">
        <f t="shared" si="39"/>
        <v>7294491</v>
      </c>
      <c r="G501" s="7">
        <f t="shared" si="37"/>
        <v>0.9539159117084316</v>
      </c>
      <c r="H501" t="str">
        <f t="shared" si="38"/>
        <v>Others</v>
      </c>
    </row>
    <row r="502" spans="1:8" x14ac:dyDescent="0.25">
      <c r="A502">
        <v>1307</v>
      </c>
      <c r="B502" s="6">
        <f>COUNTIF(Raw_Data!A:A,A502)</f>
        <v>3</v>
      </c>
      <c r="C502" s="6">
        <f>SUMIFS(Raw_Data!G:G, Raw_Data!A:A, A502)</f>
        <v>5778</v>
      </c>
      <c r="D502" s="6">
        <f t="shared" si="35"/>
        <v>1926</v>
      </c>
      <c r="E502" t="str">
        <f t="shared" si="36"/>
        <v>Repeat</v>
      </c>
      <c r="F502" s="6">
        <f t="shared" si="39"/>
        <v>7300269</v>
      </c>
      <c r="G502" s="7">
        <f t="shared" si="37"/>
        <v>0.95467151290635632</v>
      </c>
      <c r="H502" t="str">
        <f t="shared" si="38"/>
        <v>Others</v>
      </c>
    </row>
    <row r="503" spans="1:8" x14ac:dyDescent="0.25">
      <c r="A503">
        <v>1269</v>
      </c>
      <c r="B503" s="6">
        <f>COUNTIF(Raw_Data!A:A,A503)</f>
        <v>2</v>
      </c>
      <c r="C503" s="6">
        <f>SUMIFS(Raw_Data!G:G, Raw_Data!A:A, A503)</f>
        <v>5765</v>
      </c>
      <c r="D503" s="6">
        <f t="shared" si="35"/>
        <v>2882.5</v>
      </c>
      <c r="E503" t="str">
        <f t="shared" si="36"/>
        <v>Repeat</v>
      </c>
      <c r="F503" s="6">
        <f t="shared" si="39"/>
        <v>7306034</v>
      </c>
      <c r="G503" s="7">
        <f t="shared" si="37"/>
        <v>0.95542541406697179</v>
      </c>
      <c r="H503" t="str">
        <f t="shared" si="38"/>
        <v>Others</v>
      </c>
    </row>
    <row r="504" spans="1:8" x14ac:dyDescent="0.25">
      <c r="A504">
        <v>1507</v>
      </c>
      <c r="B504" s="6">
        <f>COUNTIF(Raw_Data!A:A,A504)</f>
        <v>3</v>
      </c>
      <c r="C504" s="6">
        <f>SUMIFS(Raw_Data!G:G, Raw_Data!A:A, A504)</f>
        <v>5744</v>
      </c>
      <c r="D504" s="6">
        <f t="shared" si="35"/>
        <v>1914.6666666666667</v>
      </c>
      <c r="E504" t="str">
        <f t="shared" si="36"/>
        <v>Repeat</v>
      </c>
      <c r="F504" s="6">
        <f t="shared" si="39"/>
        <v>7311778</v>
      </c>
      <c r="G504" s="7">
        <f t="shared" si="37"/>
        <v>0.95617656901347226</v>
      </c>
      <c r="H504" t="str">
        <f t="shared" si="38"/>
        <v>Others</v>
      </c>
    </row>
    <row r="505" spans="1:8" x14ac:dyDescent="0.25">
      <c r="A505">
        <v>1591</v>
      </c>
      <c r="B505" s="6">
        <f>COUNTIF(Raw_Data!A:A,A505)</f>
        <v>3</v>
      </c>
      <c r="C505" s="6">
        <f>SUMIFS(Raw_Data!G:G, Raw_Data!A:A, A505)</f>
        <v>5628</v>
      </c>
      <c r="D505" s="6">
        <f t="shared" si="35"/>
        <v>1876</v>
      </c>
      <c r="E505" t="str">
        <f t="shared" si="36"/>
        <v>Repeat</v>
      </c>
      <c r="F505" s="6">
        <f t="shared" si="39"/>
        <v>7317406</v>
      </c>
      <c r="G505" s="7">
        <f t="shared" si="37"/>
        <v>0.95691255439628997</v>
      </c>
      <c r="H505" t="str">
        <f t="shared" si="38"/>
        <v>Others</v>
      </c>
    </row>
    <row r="506" spans="1:8" x14ac:dyDescent="0.25">
      <c r="A506">
        <v>1093</v>
      </c>
      <c r="B506" s="6">
        <f>COUNTIF(Raw_Data!A:A,A506)</f>
        <v>3</v>
      </c>
      <c r="C506" s="6">
        <f>SUMIFS(Raw_Data!G:G, Raw_Data!A:A, A506)</f>
        <v>5574</v>
      </c>
      <c r="D506" s="6">
        <f t="shared" si="35"/>
        <v>1858</v>
      </c>
      <c r="E506" t="str">
        <f t="shared" si="36"/>
        <v>Repeat</v>
      </c>
      <c r="F506" s="6">
        <f t="shared" si="39"/>
        <v>7322980</v>
      </c>
      <c r="G506" s="7">
        <f t="shared" si="37"/>
        <v>0.95764147808566902</v>
      </c>
      <c r="H506" t="str">
        <f t="shared" si="38"/>
        <v>Others</v>
      </c>
    </row>
    <row r="507" spans="1:8" x14ac:dyDescent="0.25">
      <c r="A507">
        <v>1421</v>
      </c>
      <c r="B507" s="6">
        <f>COUNTIF(Raw_Data!A:A,A507)</f>
        <v>3</v>
      </c>
      <c r="C507" s="6">
        <f>SUMIFS(Raw_Data!G:G, Raw_Data!A:A, A507)</f>
        <v>5573</v>
      </c>
      <c r="D507" s="6">
        <f t="shared" si="35"/>
        <v>1857.6666666666667</v>
      </c>
      <c r="E507" t="str">
        <f t="shared" si="36"/>
        <v>Repeat</v>
      </c>
      <c r="F507" s="6">
        <f t="shared" si="39"/>
        <v>7328553</v>
      </c>
      <c r="G507" s="7">
        <f t="shared" si="37"/>
        <v>0.95837027100294747</v>
      </c>
      <c r="H507" t="str">
        <f t="shared" si="38"/>
        <v>Others</v>
      </c>
    </row>
    <row r="508" spans="1:8" x14ac:dyDescent="0.25">
      <c r="A508">
        <v>1534</v>
      </c>
      <c r="B508" s="6">
        <f>COUNTIF(Raw_Data!A:A,A508)</f>
        <v>2</v>
      </c>
      <c r="C508" s="6">
        <f>SUMIFS(Raw_Data!G:G, Raw_Data!A:A, A508)</f>
        <v>5523</v>
      </c>
      <c r="D508" s="6">
        <f t="shared" si="35"/>
        <v>2761.5</v>
      </c>
      <c r="E508" t="str">
        <f t="shared" si="36"/>
        <v>Repeat</v>
      </c>
      <c r="F508" s="6">
        <f t="shared" si="39"/>
        <v>7334076</v>
      </c>
      <c r="G508" s="7">
        <f t="shared" si="37"/>
        <v>0.95909252531519018</v>
      </c>
      <c r="H508" t="str">
        <f t="shared" si="38"/>
        <v>Others</v>
      </c>
    </row>
    <row r="509" spans="1:8" x14ac:dyDescent="0.25">
      <c r="A509">
        <v>1050</v>
      </c>
      <c r="B509" s="6">
        <f>COUNTIF(Raw_Data!A:A,A509)</f>
        <v>2</v>
      </c>
      <c r="C509" s="6">
        <f>SUMIFS(Raw_Data!G:G, Raw_Data!A:A, A509)</f>
        <v>5490</v>
      </c>
      <c r="D509" s="6">
        <f t="shared" si="35"/>
        <v>2745</v>
      </c>
      <c r="E509" t="str">
        <f t="shared" si="36"/>
        <v>Repeat</v>
      </c>
      <c r="F509" s="6">
        <f t="shared" si="39"/>
        <v>7339566</v>
      </c>
      <c r="G509" s="7">
        <f t="shared" si="37"/>
        <v>0.95981046414810933</v>
      </c>
      <c r="H509" t="str">
        <f t="shared" si="38"/>
        <v>Others</v>
      </c>
    </row>
    <row r="510" spans="1:8" x14ac:dyDescent="0.25">
      <c r="A510">
        <v>1158</v>
      </c>
      <c r="B510" s="6">
        <f>COUNTIF(Raw_Data!A:A,A510)</f>
        <v>3</v>
      </c>
      <c r="C510" s="6">
        <f>SUMIFS(Raw_Data!G:G, Raw_Data!A:A, A510)</f>
        <v>5474</v>
      </c>
      <c r="D510" s="6">
        <f t="shared" si="35"/>
        <v>1824.6666666666667</v>
      </c>
      <c r="E510" t="str">
        <f t="shared" si="36"/>
        <v>Repeat</v>
      </c>
      <c r="F510" s="6">
        <f t="shared" si="39"/>
        <v>7345040</v>
      </c>
      <c r="G510" s="7">
        <f t="shared" si="37"/>
        <v>0.96052631062741711</v>
      </c>
      <c r="H510" t="str">
        <f t="shared" si="38"/>
        <v>Others</v>
      </c>
    </row>
    <row r="511" spans="1:8" x14ac:dyDescent="0.25">
      <c r="A511">
        <v>1411</v>
      </c>
      <c r="B511" s="6">
        <f>COUNTIF(Raw_Data!A:A,A511)</f>
        <v>3</v>
      </c>
      <c r="C511" s="6">
        <f>SUMIFS(Raw_Data!G:G, Raw_Data!A:A, A511)</f>
        <v>5428</v>
      </c>
      <c r="D511" s="6">
        <f t="shared" si="35"/>
        <v>1809.3333333333333</v>
      </c>
      <c r="E511" t="str">
        <f t="shared" si="36"/>
        <v>Repeat</v>
      </c>
      <c r="F511" s="6">
        <f t="shared" si="39"/>
        <v>7350468</v>
      </c>
      <c r="G511" s="7">
        <f t="shared" si="37"/>
        <v>0.96123614159009196</v>
      </c>
      <c r="H511" t="str">
        <f t="shared" si="38"/>
        <v>Others</v>
      </c>
    </row>
    <row r="512" spans="1:8" x14ac:dyDescent="0.25">
      <c r="A512">
        <v>1221</v>
      </c>
      <c r="B512" s="6">
        <f>COUNTIF(Raw_Data!A:A,A512)</f>
        <v>3</v>
      </c>
      <c r="C512" s="6">
        <f>SUMIFS(Raw_Data!G:G, Raw_Data!A:A, A512)</f>
        <v>5367</v>
      </c>
      <c r="D512" s="6">
        <f t="shared" si="35"/>
        <v>1789</v>
      </c>
      <c r="E512" t="str">
        <f t="shared" si="36"/>
        <v>Repeat</v>
      </c>
      <c r="F512" s="6">
        <f t="shared" si="39"/>
        <v>7355835</v>
      </c>
      <c r="G512" s="7">
        <f t="shared" si="37"/>
        <v>0.96193799545462333</v>
      </c>
      <c r="H512" t="str">
        <f t="shared" si="38"/>
        <v>Others</v>
      </c>
    </row>
    <row r="513" spans="1:8" x14ac:dyDescent="0.25">
      <c r="A513">
        <v>1245</v>
      </c>
      <c r="B513" s="6">
        <f>COUNTIF(Raw_Data!A:A,A513)</f>
        <v>2</v>
      </c>
      <c r="C513" s="6">
        <f>SUMIFS(Raw_Data!G:G, Raw_Data!A:A, A513)</f>
        <v>5358</v>
      </c>
      <c r="D513" s="6">
        <f t="shared" si="35"/>
        <v>2679</v>
      </c>
      <c r="E513" t="str">
        <f t="shared" si="36"/>
        <v>Repeat</v>
      </c>
      <c r="F513" s="6">
        <f t="shared" si="39"/>
        <v>7361193</v>
      </c>
      <c r="G513" s="7">
        <f t="shared" si="37"/>
        <v>0.96263867237024825</v>
      </c>
      <c r="H513" t="str">
        <f t="shared" si="38"/>
        <v>Others</v>
      </c>
    </row>
    <row r="514" spans="1:8" x14ac:dyDescent="0.25">
      <c r="A514">
        <v>1527</v>
      </c>
      <c r="B514" s="6">
        <f>COUNTIF(Raw_Data!A:A,A514)</f>
        <v>4</v>
      </c>
      <c r="C514" s="6">
        <f>SUMIFS(Raw_Data!G:G, Raw_Data!A:A, A514)</f>
        <v>5311</v>
      </c>
      <c r="D514" s="6">
        <f t="shared" ref="D514:D577" si="40">C514/B514</f>
        <v>1327.75</v>
      </c>
      <c r="E514" t="str">
        <f t="shared" ref="E514:E577" si="41">IF(B514&gt;1,"Repeat","New")</f>
        <v>Repeat</v>
      </c>
      <c r="F514" s="6">
        <f t="shared" si="39"/>
        <v>7366504</v>
      </c>
      <c r="G514" s="7">
        <f t="shared" si="37"/>
        <v>0.96333320299713965</v>
      </c>
      <c r="H514" t="str">
        <f t="shared" si="38"/>
        <v>Others</v>
      </c>
    </row>
    <row r="515" spans="1:8" x14ac:dyDescent="0.25">
      <c r="A515">
        <v>1057</v>
      </c>
      <c r="B515" s="6">
        <f>COUNTIF(Raw_Data!A:A,A515)</f>
        <v>3</v>
      </c>
      <c r="C515" s="6">
        <f>SUMIFS(Raw_Data!G:G, Raw_Data!A:A, A515)</f>
        <v>5290</v>
      </c>
      <c r="D515" s="6">
        <f t="shared" si="40"/>
        <v>1763.3333333333333</v>
      </c>
      <c r="E515" t="str">
        <f t="shared" si="41"/>
        <v>Repeat</v>
      </c>
      <c r="F515" s="6">
        <f t="shared" si="39"/>
        <v>7371794</v>
      </c>
      <c r="G515" s="7">
        <f t="shared" ref="G515:G578" si="42">F515/SUM($C:$C)</f>
        <v>0.96402498740991605</v>
      </c>
      <c r="H515" t="str">
        <f t="shared" ref="H515:H578" si="43">IF(G515&lt;=0.8,"Top Customers","Others")</f>
        <v>Others</v>
      </c>
    </row>
    <row r="516" spans="1:8" x14ac:dyDescent="0.25">
      <c r="A516">
        <v>1009</v>
      </c>
      <c r="B516" s="6">
        <f>COUNTIF(Raw_Data!A:A,A516)</f>
        <v>3</v>
      </c>
      <c r="C516" s="6">
        <f>SUMIFS(Raw_Data!G:G, Raw_Data!A:A, A516)</f>
        <v>5260</v>
      </c>
      <c r="D516" s="6">
        <f t="shared" si="40"/>
        <v>1753.3333333333333</v>
      </c>
      <c r="E516" t="str">
        <f t="shared" si="41"/>
        <v>Repeat</v>
      </c>
      <c r="F516" s="6">
        <f t="shared" ref="F516:F579" si="44">F515+C516</f>
        <v>7377054</v>
      </c>
      <c r="G516" s="7">
        <f t="shared" si="42"/>
        <v>0.964712848659671</v>
      </c>
      <c r="H516" t="str">
        <f t="shared" si="43"/>
        <v>Others</v>
      </c>
    </row>
    <row r="517" spans="1:8" x14ac:dyDescent="0.25">
      <c r="A517">
        <v>1257</v>
      </c>
      <c r="B517" s="6">
        <f>COUNTIF(Raw_Data!A:A,A517)</f>
        <v>4</v>
      </c>
      <c r="C517" s="6">
        <f>SUMIFS(Raw_Data!G:G, Raw_Data!A:A, A517)</f>
        <v>5258</v>
      </c>
      <c r="D517" s="6">
        <f t="shared" si="40"/>
        <v>1314.5</v>
      </c>
      <c r="E517" t="str">
        <f t="shared" si="41"/>
        <v>Repeat</v>
      </c>
      <c r="F517" s="6">
        <f t="shared" si="44"/>
        <v>7382312</v>
      </c>
      <c r="G517" s="7">
        <f t="shared" si="42"/>
        <v>0.96540044836522454</v>
      </c>
      <c r="H517" t="str">
        <f t="shared" si="43"/>
        <v>Others</v>
      </c>
    </row>
    <row r="518" spans="1:8" x14ac:dyDescent="0.25">
      <c r="A518">
        <v>1038</v>
      </c>
      <c r="B518" s="6">
        <f>COUNTIF(Raw_Data!A:A,A518)</f>
        <v>3</v>
      </c>
      <c r="C518" s="6">
        <f>SUMIFS(Raw_Data!G:G, Raw_Data!A:A, A518)</f>
        <v>5241</v>
      </c>
      <c r="D518" s="6">
        <f t="shared" si="40"/>
        <v>1747</v>
      </c>
      <c r="E518" t="str">
        <f t="shared" si="41"/>
        <v>Repeat</v>
      </c>
      <c r="F518" s="6">
        <f t="shared" si="44"/>
        <v>7387553</v>
      </c>
      <c r="G518" s="7">
        <f t="shared" si="42"/>
        <v>0.9660858249450659</v>
      </c>
      <c r="H518" t="str">
        <f t="shared" si="43"/>
        <v>Others</v>
      </c>
    </row>
    <row r="519" spans="1:8" x14ac:dyDescent="0.25">
      <c r="A519">
        <v>1339</v>
      </c>
      <c r="B519" s="6">
        <f>COUNTIF(Raw_Data!A:A,A519)</f>
        <v>2</v>
      </c>
      <c r="C519" s="6">
        <f>SUMIFS(Raw_Data!G:G, Raw_Data!A:A, A519)</f>
        <v>5236</v>
      </c>
      <c r="D519" s="6">
        <f t="shared" si="40"/>
        <v>2618</v>
      </c>
      <c r="E519" t="str">
        <f t="shared" si="41"/>
        <v>Repeat</v>
      </c>
      <c r="F519" s="6">
        <f t="shared" si="44"/>
        <v>7392789</v>
      </c>
      <c r="G519" s="7">
        <f t="shared" si="42"/>
        <v>0.96677054766440373</v>
      </c>
      <c r="H519" t="str">
        <f t="shared" si="43"/>
        <v>Others</v>
      </c>
    </row>
    <row r="520" spans="1:8" x14ac:dyDescent="0.25">
      <c r="A520">
        <v>1187</v>
      </c>
      <c r="B520" s="6">
        <f>COUNTIF(Raw_Data!A:A,A520)</f>
        <v>3</v>
      </c>
      <c r="C520" s="6">
        <f>SUMIFS(Raw_Data!G:G, Raw_Data!A:A, A520)</f>
        <v>5205</v>
      </c>
      <c r="D520" s="6">
        <f t="shared" si="40"/>
        <v>1735</v>
      </c>
      <c r="E520" t="str">
        <f t="shared" si="41"/>
        <v>Repeat</v>
      </c>
      <c r="F520" s="6">
        <f t="shared" si="44"/>
        <v>7397994</v>
      </c>
      <c r="G520" s="7">
        <f t="shared" si="42"/>
        <v>0.96745121644861942</v>
      </c>
      <c r="H520" t="str">
        <f t="shared" si="43"/>
        <v>Others</v>
      </c>
    </row>
    <row r="521" spans="1:8" x14ac:dyDescent="0.25">
      <c r="A521">
        <v>1297</v>
      </c>
      <c r="B521" s="6">
        <f>COUNTIF(Raw_Data!A:A,A521)</f>
        <v>2</v>
      </c>
      <c r="C521" s="6">
        <f>SUMIFS(Raw_Data!G:G, Raw_Data!A:A, A521)</f>
        <v>5073</v>
      </c>
      <c r="D521" s="6">
        <f t="shared" si="40"/>
        <v>2536.5</v>
      </c>
      <c r="E521" t="str">
        <f t="shared" si="41"/>
        <v>Repeat</v>
      </c>
      <c r="F521" s="6">
        <f t="shared" si="44"/>
        <v>7403067</v>
      </c>
      <c r="G521" s="7">
        <f t="shared" si="42"/>
        <v>0.96811462331554088</v>
      </c>
      <c r="H521" t="str">
        <f t="shared" si="43"/>
        <v>Others</v>
      </c>
    </row>
    <row r="522" spans="1:8" x14ac:dyDescent="0.25">
      <c r="A522">
        <v>1186</v>
      </c>
      <c r="B522" s="6">
        <f>COUNTIF(Raw_Data!A:A,A522)</f>
        <v>3</v>
      </c>
      <c r="C522" s="6">
        <f>SUMIFS(Raw_Data!G:G, Raw_Data!A:A, A522)</f>
        <v>5002</v>
      </c>
      <c r="D522" s="6">
        <f t="shared" si="40"/>
        <v>1667.3333333333333</v>
      </c>
      <c r="E522" t="str">
        <f t="shared" si="41"/>
        <v>Repeat</v>
      </c>
      <c r="F522" s="6">
        <f t="shared" si="44"/>
        <v>7408069</v>
      </c>
      <c r="G522" s="7">
        <f t="shared" si="42"/>
        <v>0.9687687453633117</v>
      </c>
      <c r="H522" t="str">
        <f t="shared" si="43"/>
        <v>Others</v>
      </c>
    </row>
    <row r="523" spans="1:8" x14ac:dyDescent="0.25">
      <c r="A523">
        <v>1409</v>
      </c>
      <c r="B523" s="6">
        <f>COUNTIF(Raw_Data!A:A,A523)</f>
        <v>1</v>
      </c>
      <c r="C523" s="6">
        <f>SUMIFS(Raw_Data!G:G, Raw_Data!A:A, A523)</f>
        <v>4986</v>
      </c>
      <c r="D523" s="6">
        <f t="shared" si="40"/>
        <v>4986</v>
      </c>
      <c r="E523" t="str">
        <f t="shared" si="41"/>
        <v>New</v>
      </c>
      <c r="F523" s="6">
        <f t="shared" si="44"/>
        <v>7413055</v>
      </c>
      <c r="G523" s="7">
        <f t="shared" si="42"/>
        <v>0.96942077505747104</v>
      </c>
      <c r="H523" t="str">
        <f t="shared" si="43"/>
        <v>Others</v>
      </c>
    </row>
    <row r="524" spans="1:8" x14ac:dyDescent="0.25">
      <c r="A524">
        <v>1238</v>
      </c>
      <c r="B524" s="6">
        <f>COUNTIF(Raw_Data!A:A,A524)</f>
        <v>3</v>
      </c>
      <c r="C524" s="6">
        <f>SUMIFS(Raw_Data!G:G, Raw_Data!A:A, A524)</f>
        <v>4939</v>
      </c>
      <c r="D524" s="6">
        <f t="shared" si="40"/>
        <v>1646.3333333333333</v>
      </c>
      <c r="E524" t="str">
        <f t="shared" si="41"/>
        <v>Repeat</v>
      </c>
      <c r="F524" s="6">
        <f t="shared" si="44"/>
        <v>7417994</v>
      </c>
      <c r="G524" s="7">
        <f t="shared" si="42"/>
        <v>0.97006665846289686</v>
      </c>
      <c r="H524" t="str">
        <f t="shared" si="43"/>
        <v>Others</v>
      </c>
    </row>
    <row r="525" spans="1:8" x14ac:dyDescent="0.25">
      <c r="A525">
        <v>1528</v>
      </c>
      <c r="B525" s="6">
        <f>COUNTIF(Raw_Data!A:A,A525)</f>
        <v>1</v>
      </c>
      <c r="C525" s="6">
        <f>SUMIFS(Raw_Data!G:G, Raw_Data!A:A, A525)</f>
        <v>4921</v>
      </c>
      <c r="D525" s="6">
        <f t="shared" si="40"/>
        <v>4921</v>
      </c>
      <c r="E525" t="str">
        <f t="shared" si="41"/>
        <v>New</v>
      </c>
      <c r="F525" s="6">
        <f t="shared" si="44"/>
        <v>7422915</v>
      </c>
      <c r="G525" s="7">
        <f t="shared" si="42"/>
        <v>0.9707101879705099</v>
      </c>
      <c r="H525" t="str">
        <f t="shared" si="43"/>
        <v>Others</v>
      </c>
    </row>
    <row r="526" spans="1:8" x14ac:dyDescent="0.25">
      <c r="A526">
        <v>1125</v>
      </c>
      <c r="B526" s="6">
        <f>COUNTIF(Raw_Data!A:A,A526)</f>
        <v>3</v>
      </c>
      <c r="C526" s="6">
        <f>SUMIFS(Raw_Data!G:G, Raw_Data!A:A, A526)</f>
        <v>4891</v>
      </c>
      <c r="D526" s="6">
        <f t="shared" si="40"/>
        <v>1630.3333333333333</v>
      </c>
      <c r="E526" t="str">
        <f t="shared" si="41"/>
        <v>Repeat</v>
      </c>
      <c r="F526" s="6">
        <f t="shared" si="44"/>
        <v>7427806</v>
      </c>
      <c r="G526" s="7">
        <f t="shared" si="42"/>
        <v>0.97134979431510138</v>
      </c>
      <c r="H526" t="str">
        <f t="shared" si="43"/>
        <v>Others</v>
      </c>
    </row>
    <row r="527" spans="1:8" x14ac:dyDescent="0.25">
      <c r="A527">
        <v>1248</v>
      </c>
      <c r="B527" s="6">
        <f>COUNTIF(Raw_Data!A:A,A527)</f>
        <v>2</v>
      </c>
      <c r="C527" s="6">
        <f>SUMIFS(Raw_Data!G:G, Raw_Data!A:A, A527)</f>
        <v>4870</v>
      </c>
      <c r="D527" s="6">
        <f t="shared" si="40"/>
        <v>2435</v>
      </c>
      <c r="E527" t="str">
        <f t="shared" si="41"/>
        <v>Repeat</v>
      </c>
      <c r="F527" s="6">
        <f t="shared" si="44"/>
        <v>7432676</v>
      </c>
      <c r="G527" s="7">
        <f t="shared" si="42"/>
        <v>0.97198665444557797</v>
      </c>
      <c r="H527" t="str">
        <f t="shared" si="43"/>
        <v>Others</v>
      </c>
    </row>
    <row r="528" spans="1:8" x14ac:dyDescent="0.25">
      <c r="A528">
        <v>1169</v>
      </c>
      <c r="B528" s="6">
        <f>COUNTIF(Raw_Data!A:A,A528)</f>
        <v>1</v>
      </c>
      <c r="C528" s="6">
        <f>SUMIFS(Raw_Data!G:G, Raw_Data!A:A, A528)</f>
        <v>4854</v>
      </c>
      <c r="D528" s="6">
        <f t="shared" si="40"/>
        <v>4854</v>
      </c>
      <c r="E528" t="str">
        <f t="shared" si="41"/>
        <v>New</v>
      </c>
      <c r="F528" s="6">
        <f t="shared" si="44"/>
        <v>7437530</v>
      </c>
      <c r="G528" s="7">
        <f t="shared" si="42"/>
        <v>0.97262142222244308</v>
      </c>
      <c r="H528" t="str">
        <f t="shared" si="43"/>
        <v>Others</v>
      </c>
    </row>
    <row r="529" spans="1:8" x14ac:dyDescent="0.25">
      <c r="A529">
        <v>1072</v>
      </c>
      <c r="B529" s="6">
        <f>COUNTIF(Raw_Data!A:A,A529)</f>
        <v>4</v>
      </c>
      <c r="C529" s="6">
        <f>SUMIFS(Raw_Data!G:G, Raw_Data!A:A, A529)</f>
        <v>4851</v>
      </c>
      <c r="D529" s="6">
        <f t="shared" si="40"/>
        <v>1212.75</v>
      </c>
      <c r="E529" t="str">
        <f t="shared" si="41"/>
        <v>Repeat</v>
      </c>
      <c r="F529" s="6">
        <f t="shared" si="44"/>
        <v>7442381</v>
      </c>
      <c r="G529" s="7">
        <f t="shared" si="42"/>
        <v>0.97325579768300607</v>
      </c>
      <c r="H529" t="str">
        <f t="shared" si="43"/>
        <v>Others</v>
      </c>
    </row>
    <row r="530" spans="1:8" x14ac:dyDescent="0.25">
      <c r="A530">
        <v>1206</v>
      </c>
      <c r="B530" s="6">
        <f>COUNTIF(Raw_Data!A:A,A530)</f>
        <v>4</v>
      </c>
      <c r="C530" s="6">
        <f>SUMIFS(Raw_Data!G:G, Raw_Data!A:A, A530)</f>
        <v>4734</v>
      </c>
      <c r="D530" s="6">
        <f t="shared" si="40"/>
        <v>1183.5</v>
      </c>
      <c r="E530" t="str">
        <f t="shared" si="41"/>
        <v>Repeat</v>
      </c>
      <c r="F530" s="6">
        <f t="shared" si="44"/>
        <v>7447115</v>
      </c>
      <c r="G530" s="7">
        <f t="shared" si="42"/>
        <v>0.97387487280778551</v>
      </c>
      <c r="H530" t="str">
        <f t="shared" si="43"/>
        <v>Others</v>
      </c>
    </row>
    <row r="531" spans="1:8" x14ac:dyDescent="0.25">
      <c r="A531">
        <v>1315</v>
      </c>
      <c r="B531" s="6">
        <f>COUNTIF(Raw_Data!A:A,A531)</f>
        <v>1</v>
      </c>
      <c r="C531" s="6">
        <f>SUMIFS(Raw_Data!G:G, Raw_Data!A:A, A531)</f>
        <v>4713</v>
      </c>
      <c r="D531" s="6">
        <f t="shared" si="40"/>
        <v>4713</v>
      </c>
      <c r="E531" t="str">
        <f t="shared" si="41"/>
        <v>New</v>
      </c>
      <c r="F531" s="6">
        <f t="shared" si="44"/>
        <v>7451828</v>
      </c>
      <c r="G531" s="7">
        <f t="shared" si="42"/>
        <v>0.97449120171845005</v>
      </c>
      <c r="H531" t="str">
        <f t="shared" si="43"/>
        <v>Others</v>
      </c>
    </row>
    <row r="532" spans="1:8" x14ac:dyDescent="0.25">
      <c r="A532">
        <v>1423</v>
      </c>
      <c r="B532" s="6">
        <f>COUNTIF(Raw_Data!A:A,A532)</f>
        <v>2</v>
      </c>
      <c r="C532" s="6">
        <f>SUMIFS(Raw_Data!G:G, Raw_Data!A:A, A532)</f>
        <v>4695</v>
      </c>
      <c r="D532" s="6">
        <f t="shared" si="40"/>
        <v>2347.5</v>
      </c>
      <c r="E532" t="str">
        <f t="shared" si="41"/>
        <v>Repeat</v>
      </c>
      <c r="F532" s="6">
        <f t="shared" si="44"/>
        <v>7456523</v>
      </c>
      <c r="G532" s="7">
        <f t="shared" si="42"/>
        <v>0.9751051767313017</v>
      </c>
      <c r="H532" t="str">
        <f t="shared" si="43"/>
        <v>Others</v>
      </c>
    </row>
    <row r="533" spans="1:8" x14ac:dyDescent="0.25">
      <c r="A533">
        <v>1322</v>
      </c>
      <c r="B533" s="6">
        <f>COUNTIF(Raw_Data!A:A,A533)</f>
        <v>2</v>
      </c>
      <c r="C533" s="6">
        <f>SUMIFS(Raw_Data!G:G, Raw_Data!A:A, A533)</f>
        <v>4672</v>
      </c>
      <c r="D533" s="6">
        <f t="shared" si="40"/>
        <v>2336</v>
      </c>
      <c r="E533" t="str">
        <f t="shared" si="41"/>
        <v>Repeat</v>
      </c>
      <c r="F533" s="6">
        <f t="shared" si="44"/>
        <v>7461195</v>
      </c>
      <c r="G533" s="7">
        <f t="shared" si="42"/>
        <v>0.97571614398583684</v>
      </c>
      <c r="H533" t="str">
        <f t="shared" si="43"/>
        <v>Others</v>
      </c>
    </row>
    <row r="534" spans="1:8" x14ac:dyDescent="0.25">
      <c r="A534">
        <v>1458</v>
      </c>
      <c r="B534" s="6">
        <f>COUNTIF(Raw_Data!A:A,A534)</f>
        <v>2</v>
      </c>
      <c r="C534" s="6">
        <f>SUMIFS(Raw_Data!G:G, Raw_Data!A:A, A534)</f>
        <v>4590</v>
      </c>
      <c r="D534" s="6">
        <f t="shared" si="40"/>
        <v>2295</v>
      </c>
      <c r="E534" t="str">
        <f t="shared" si="41"/>
        <v>Repeat</v>
      </c>
      <c r="F534" s="6">
        <f t="shared" si="44"/>
        <v>7465785</v>
      </c>
      <c r="G534" s="7">
        <f t="shared" si="42"/>
        <v>0.97631638792811348</v>
      </c>
      <c r="H534" t="str">
        <f t="shared" si="43"/>
        <v>Others</v>
      </c>
    </row>
    <row r="535" spans="1:8" x14ac:dyDescent="0.25">
      <c r="A535">
        <v>1189</v>
      </c>
      <c r="B535" s="6">
        <f>COUNTIF(Raw_Data!A:A,A535)</f>
        <v>1</v>
      </c>
      <c r="C535" s="6">
        <f>SUMIFS(Raw_Data!G:G, Raw_Data!A:A, A535)</f>
        <v>4574</v>
      </c>
      <c r="D535" s="6">
        <f t="shared" si="40"/>
        <v>4574</v>
      </c>
      <c r="E535" t="str">
        <f t="shared" si="41"/>
        <v>New</v>
      </c>
      <c r="F535" s="6">
        <f t="shared" si="44"/>
        <v>7470359</v>
      </c>
      <c r="G535" s="7">
        <f t="shared" si="42"/>
        <v>0.97691453951677876</v>
      </c>
      <c r="H535" t="str">
        <f t="shared" si="43"/>
        <v>Others</v>
      </c>
    </row>
    <row r="536" spans="1:8" x14ac:dyDescent="0.25">
      <c r="A536">
        <v>1249</v>
      </c>
      <c r="B536" s="6">
        <f>COUNTIF(Raw_Data!A:A,A536)</f>
        <v>2</v>
      </c>
      <c r="C536" s="6">
        <f>SUMIFS(Raw_Data!G:G, Raw_Data!A:A, A536)</f>
        <v>4558</v>
      </c>
      <c r="D536" s="6">
        <f t="shared" si="40"/>
        <v>2279</v>
      </c>
      <c r="E536" t="str">
        <f t="shared" si="41"/>
        <v>Repeat</v>
      </c>
      <c r="F536" s="6">
        <f t="shared" si="44"/>
        <v>7474917</v>
      </c>
      <c r="G536" s="7">
        <f t="shared" si="42"/>
        <v>0.97751059875183266</v>
      </c>
      <c r="H536" t="str">
        <f t="shared" si="43"/>
        <v>Others</v>
      </c>
    </row>
    <row r="537" spans="1:8" x14ac:dyDescent="0.25">
      <c r="A537">
        <v>1530</v>
      </c>
      <c r="B537" s="6">
        <f>COUNTIF(Raw_Data!A:A,A537)</f>
        <v>2</v>
      </c>
      <c r="C537" s="6">
        <f>SUMIFS(Raw_Data!G:G, Raw_Data!A:A, A537)</f>
        <v>4540</v>
      </c>
      <c r="D537" s="6">
        <f t="shared" si="40"/>
        <v>2270</v>
      </c>
      <c r="E537" t="str">
        <f t="shared" si="41"/>
        <v>Repeat</v>
      </c>
      <c r="F537" s="6">
        <f t="shared" si="44"/>
        <v>7479457</v>
      </c>
      <c r="G537" s="7">
        <f t="shared" si="42"/>
        <v>0.97810430408907356</v>
      </c>
      <c r="H537" t="str">
        <f t="shared" si="43"/>
        <v>Others</v>
      </c>
    </row>
    <row r="538" spans="1:8" x14ac:dyDescent="0.25">
      <c r="A538">
        <v>1444</v>
      </c>
      <c r="B538" s="6">
        <f>COUNTIF(Raw_Data!A:A,A538)</f>
        <v>2</v>
      </c>
      <c r="C538" s="6">
        <f>SUMIFS(Raw_Data!G:G, Raw_Data!A:A, A538)</f>
        <v>4457</v>
      </c>
      <c r="D538" s="6">
        <f t="shared" si="40"/>
        <v>2228.5</v>
      </c>
      <c r="E538" t="str">
        <f t="shared" si="41"/>
        <v>Repeat</v>
      </c>
      <c r="F538" s="6">
        <f t="shared" si="44"/>
        <v>7483914</v>
      </c>
      <c r="G538" s="7">
        <f t="shared" si="42"/>
        <v>0.97868715534195527</v>
      </c>
      <c r="H538" t="str">
        <f t="shared" si="43"/>
        <v>Others</v>
      </c>
    </row>
    <row r="539" spans="1:8" x14ac:dyDescent="0.25">
      <c r="A539">
        <v>1599</v>
      </c>
      <c r="B539" s="6">
        <f>COUNTIF(Raw_Data!A:A,A539)</f>
        <v>3</v>
      </c>
      <c r="C539" s="6">
        <f>SUMIFS(Raw_Data!G:G, Raw_Data!A:A, A539)</f>
        <v>4387</v>
      </c>
      <c r="D539" s="6">
        <f t="shared" si="40"/>
        <v>1462.3333333333333</v>
      </c>
      <c r="E539" t="str">
        <f t="shared" si="41"/>
        <v>Repeat</v>
      </c>
      <c r="F539" s="6">
        <f t="shared" si="44"/>
        <v>7488301</v>
      </c>
      <c r="G539" s="7">
        <f t="shared" si="42"/>
        <v>0.97926085254778705</v>
      </c>
      <c r="H539" t="str">
        <f t="shared" si="43"/>
        <v>Others</v>
      </c>
    </row>
    <row r="540" spans="1:8" x14ac:dyDescent="0.25">
      <c r="A540">
        <v>1389</v>
      </c>
      <c r="B540" s="6">
        <f>COUNTIF(Raw_Data!A:A,A540)</f>
        <v>2</v>
      </c>
      <c r="C540" s="6">
        <f>SUMIFS(Raw_Data!G:G, Raw_Data!A:A, A540)</f>
        <v>4298</v>
      </c>
      <c r="D540" s="6">
        <f t="shared" si="40"/>
        <v>2149</v>
      </c>
      <c r="E540" t="str">
        <f t="shared" si="41"/>
        <v>Repeat</v>
      </c>
      <c r="F540" s="6">
        <f t="shared" si="44"/>
        <v>7492599</v>
      </c>
      <c r="G540" s="7">
        <f t="shared" si="42"/>
        <v>0.97982291103665531</v>
      </c>
      <c r="H540" t="str">
        <f t="shared" si="43"/>
        <v>Others</v>
      </c>
    </row>
    <row r="541" spans="1:8" x14ac:dyDescent="0.25">
      <c r="A541">
        <v>1033</v>
      </c>
      <c r="B541" s="6">
        <f>COUNTIF(Raw_Data!A:A,A541)</f>
        <v>3</v>
      </c>
      <c r="C541" s="6">
        <f>SUMIFS(Raw_Data!G:G, Raw_Data!A:A, A541)</f>
        <v>4252</v>
      </c>
      <c r="D541" s="6">
        <f t="shared" si="40"/>
        <v>1417.3333333333333</v>
      </c>
      <c r="E541" t="str">
        <f t="shared" si="41"/>
        <v>Repeat</v>
      </c>
      <c r="F541" s="6">
        <f t="shared" si="44"/>
        <v>7496851</v>
      </c>
      <c r="G541" s="7">
        <f t="shared" si="42"/>
        <v>0.98037895400889064</v>
      </c>
      <c r="H541" t="str">
        <f t="shared" si="43"/>
        <v>Others</v>
      </c>
    </row>
    <row r="542" spans="1:8" x14ac:dyDescent="0.25">
      <c r="A542">
        <v>1583</v>
      </c>
      <c r="B542" s="6">
        <f>COUNTIF(Raw_Data!A:A,A542)</f>
        <v>2</v>
      </c>
      <c r="C542" s="6">
        <f>SUMIFS(Raw_Data!G:G, Raw_Data!A:A, A542)</f>
        <v>4136</v>
      </c>
      <c r="D542" s="6">
        <f t="shared" si="40"/>
        <v>2068</v>
      </c>
      <c r="E542" t="str">
        <f t="shared" si="41"/>
        <v>Repeat</v>
      </c>
      <c r="F542" s="6">
        <f t="shared" si="44"/>
        <v>7500987</v>
      </c>
      <c r="G542" s="7">
        <f t="shared" si="42"/>
        <v>0.98091982741744321</v>
      </c>
      <c r="H542" t="str">
        <f t="shared" si="43"/>
        <v>Others</v>
      </c>
    </row>
    <row r="543" spans="1:8" x14ac:dyDescent="0.25">
      <c r="A543">
        <v>1479</v>
      </c>
      <c r="B543" s="6">
        <f>COUNTIF(Raw_Data!A:A,A543)</f>
        <v>1</v>
      </c>
      <c r="C543" s="6">
        <f>SUMIFS(Raw_Data!G:G, Raw_Data!A:A, A543)</f>
        <v>4035</v>
      </c>
      <c r="D543" s="6">
        <f t="shared" si="40"/>
        <v>4035</v>
      </c>
      <c r="E543" t="str">
        <f t="shared" si="41"/>
        <v>New</v>
      </c>
      <c r="F543" s="6">
        <f t="shared" si="44"/>
        <v>7505022</v>
      </c>
      <c r="G543" s="7">
        <f t="shared" si="42"/>
        <v>0.98144749284382371</v>
      </c>
      <c r="H543" t="str">
        <f t="shared" si="43"/>
        <v>Others</v>
      </c>
    </row>
    <row r="544" spans="1:8" x14ac:dyDescent="0.25">
      <c r="A544">
        <v>1480</v>
      </c>
      <c r="B544" s="6">
        <f>COUNTIF(Raw_Data!A:A,A544)</f>
        <v>2</v>
      </c>
      <c r="C544" s="6">
        <f>SUMIFS(Raw_Data!G:G, Raw_Data!A:A, A544)</f>
        <v>4012</v>
      </c>
      <c r="D544" s="6">
        <f t="shared" si="40"/>
        <v>2006</v>
      </c>
      <c r="E544" t="str">
        <f t="shared" si="41"/>
        <v>Repeat</v>
      </c>
      <c r="F544" s="6">
        <f t="shared" si="44"/>
        <v>7509034</v>
      </c>
      <c r="G544" s="7">
        <f t="shared" si="42"/>
        <v>0.9819721505118878</v>
      </c>
      <c r="H544" t="str">
        <f t="shared" si="43"/>
        <v>Others</v>
      </c>
    </row>
    <row r="545" spans="1:8" x14ac:dyDescent="0.25">
      <c r="A545">
        <v>1512</v>
      </c>
      <c r="B545" s="6">
        <f>COUNTIF(Raw_Data!A:A,A545)</f>
        <v>4</v>
      </c>
      <c r="C545" s="6">
        <f>SUMIFS(Raw_Data!G:G, Raw_Data!A:A, A545)</f>
        <v>4003</v>
      </c>
      <c r="D545" s="6">
        <f t="shared" si="40"/>
        <v>1000.75</v>
      </c>
      <c r="E545" t="str">
        <f t="shared" si="41"/>
        <v>Repeat</v>
      </c>
      <c r="F545" s="6">
        <f t="shared" si="44"/>
        <v>7513037</v>
      </c>
      <c r="G545" s="7">
        <f t="shared" si="42"/>
        <v>0.98249563123104544</v>
      </c>
      <c r="H545" t="str">
        <f t="shared" si="43"/>
        <v>Others</v>
      </c>
    </row>
    <row r="546" spans="1:8" x14ac:dyDescent="0.25">
      <c r="A546">
        <v>1123</v>
      </c>
      <c r="B546" s="6">
        <f>COUNTIF(Raw_Data!A:A,A546)</f>
        <v>2</v>
      </c>
      <c r="C546" s="6">
        <f>SUMIFS(Raw_Data!G:G, Raw_Data!A:A, A546)</f>
        <v>3999</v>
      </c>
      <c r="D546" s="6">
        <f t="shared" si="40"/>
        <v>1999.5</v>
      </c>
      <c r="E546" t="str">
        <f t="shared" si="41"/>
        <v>Repeat</v>
      </c>
      <c r="F546" s="6">
        <f t="shared" si="44"/>
        <v>7517036</v>
      </c>
      <c r="G546" s="7">
        <f t="shared" si="42"/>
        <v>0.98301858886180016</v>
      </c>
      <c r="H546" t="str">
        <f t="shared" si="43"/>
        <v>Others</v>
      </c>
    </row>
    <row r="547" spans="1:8" x14ac:dyDescent="0.25">
      <c r="A547">
        <v>1487</v>
      </c>
      <c r="B547" s="6">
        <f>COUNTIF(Raw_Data!A:A,A547)</f>
        <v>1</v>
      </c>
      <c r="C547" s="6">
        <f>SUMIFS(Raw_Data!G:G, Raw_Data!A:A, A547)</f>
        <v>3942</v>
      </c>
      <c r="D547" s="6">
        <f t="shared" si="40"/>
        <v>3942</v>
      </c>
      <c r="E547" t="str">
        <f t="shared" si="41"/>
        <v>New</v>
      </c>
      <c r="F547" s="6">
        <f t="shared" si="44"/>
        <v>7520978</v>
      </c>
      <c r="G547" s="7">
        <f t="shared" si="42"/>
        <v>0.9835340924828142</v>
      </c>
      <c r="H547" t="str">
        <f t="shared" si="43"/>
        <v>Others</v>
      </c>
    </row>
    <row r="548" spans="1:8" x14ac:dyDescent="0.25">
      <c r="A548">
        <v>1498</v>
      </c>
      <c r="B548" s="6">
        <f>COUNTIF(Raw_Data!A:A,A548)</f>
        <v>3</v>
      </c>
      <c r="C548" s="6">
        <f>SUMIFS(Raw_Data!G:G, Raw_Data!A:A, A548)</f>
        <v>3927</v>
      </c>
      <c r="D548" s="6">
        <f t="shared" si="40"/>
        <v>1309</v>
      </c>
      <c r="E548" t="str">
        <f t="shared" si="41"/>
        <v>Repeat</v>
      </c>
      <c r="F548" s="6">
        <f t="shared" si="44"/>
        <v>7524905</v>
      </c>
      <c r="G548" s="7">
        <f t="shared" si="42"/>
        <v>0.98404763452231758</v>
      </c>
      <c r="H548" t="str">
        <f t="shared" si="43"/>
        <v>Others</v>
      </c>
    </row>
    <row r="549" spans="1:8" x14ac:dyDescent="0.25">
      <c r="A549">
        <v>1185</v>
      </c>
      <c r="B549" s="6">
        <f>COUNTIF(Raw_Data!A:A,A549)</f>
        <v>1</v>
      </c>
      <c r="C549" s="6">
        <f>SUMIFS(Raw_Data!G:G, Raw_Data!A:A, A549)</f>
        <v>3891</v>
      </c>
      <c r="D549" s="6">
        <f t="shared" si="40"/>
        <v>3891</v>
      </c>
      <c r="E549" t="str">
        <f t="shared" si="41"/>
        <v>New</v>
      </c>
      <c r="F549" s="6">
        <f t="shared" si="44"/>
        <v>7528796</v>
      </c>
      <c r="G549" s="7">
        <f t="shared" si="42"/>
        <v>0.98455646876619529</v>
      </c>
      <c r="H549" t="str">
        <f t="shared" si="43"/>
        <v>Others</v>
      </c>
    </row>
    <row r="550" spans="1:8" x14ac:dyDescent="0.25">
      <c r="A550">
        <v>1067</v>
      </c>
      <c r="B550" s="6">
        <f>COUNTIF(Raw_Data!A:A,A550)</f>
        <v>3</v>
      </c>
      <c r="C550" s="6">
        <f>SUMIFS(Raw_Data!G:G, Raw_Data!A:A, A550)</f>
        <v>3887</v>
      </c>
      <c r="D550" s="6">
        <f t="shared" si="40"/>
        <v>1295.6666666666667</v>
      </c>
      <c r="E550" t="str">
        <f t="shared" si="41"/>
        <v>Repeat</v>
      </c>
      <c r="F550" s="6">
        <f t="shared" si="44"/>
        <v>7532683</v>
      </c>
      <c r="G550" s="7">
        <f t="shared" si="42"/>
        <v>0.98506477992167008</v>
      </c>
      <c r="H550" t="str">
        <f t="shared" si="43"/>
        <v>Others</v>
      </c>
    </row>
    <row r="551" spans="1:8" x14ac:dyDescent="0.25">
      <c r="A551">
        <v>1240</v>
      </c>
      <c r="B551" s="6">
        <f>COUNTIF(Raw_Data!A:A,A551)</f>
        <v>1</v>
      </c>
      <c r="C551" s="6">
        <f>SUMIFS(Raw_Data!G:G, Raw_Data!A:A, A551)</f>
        <v>3830</v>
      </c>
      <c r="D551" s="6">
        <f t="shared" si="40"/>
        <v>3830</v>
      </c>
      <c r="E551" t="str">
        <f t="shared" si="41"/>
        <v>New</v>
      </c>
      <c r="F551" s="6">
        <f t="shared" si="44"/>
        <v>7536513</v>
      </c>
      <c r="G551" s="7">
        <f t="shared" si="42"/>
        <v>0.9855656370674043</v>
      </c>
      <c r="H551" t="str">
        <f t="shared" si="43"/>
        <v>Others</v>
      </c>
    </row>
    <row r="552" spans="1:8" x14ac:dyDescent="0.25">
      <c r="A552">
        <v>1555</v>
      </c>
      <c r="B552" s="6">
        <f>COUNTIF(Raw_Data!A:A,A552)</f>
        <v>1</v>
      </c>
      <c r="C552" s="6">
        <f>SUMIFS(Raw_Data!G:G, Raw_Data!A:A, A552)</f>
        <v>3811</v>
      </c>
      <c r="D552" s="6">
        <f t="shared" si="40"/>
        <v>3811</v>
      </c>
      <c r="E552" t="str">
        <f t="shared" si="41"/>
        <v>New</v>
      </c>
      <c r="F552" s="6">
        <f t="shared" si="44"/>
        <v>7540324</v>
      </c>
      <c r="G552" s="7">
        <f t="shared" si="42"/>
        <v>0.98606400954322482</v>
      </c>
      <c r="H552" t="str">
        <f t="shared" si="43"/>
        <v>Others</v>
      </c>
    </row>
    <row r="553" spans="1:8" x14ac:dyDescent="0.25">
      <c r="A553">
        <v>1531</v>
      </c>
      <c r="B553" s="6">
        <f>COUNTIF(Raw_Data!A:A,A553)</f>
        <v>3</v>
      </c>
      <c r="C553" s="6">
        <f>SUMIFS(Raw_Data!G:G, Raw_Data!A:A, A553)</f>
        <v>3779</v>
      </c>
      <c r="D553" s="6">
        <f t="shared" si="40"/>
        <v>1259.6666666666667</v>
      </c>
      <c r="E553" t="str">
        <f t="shared" si="41"/>
        <v>Repeat</v>
      </c>
      <c r="F553" s="6">
        <f t="shared" si="44"/>
        <v>7544103</v>
      </c>
      <c r="G553" s="7">
        <f t="shared" si="42"/>
        <v>0.98655819731182259</v>
      </c>
      <c r="H553" t="str">
        <f t="shared" si="43"/>
        <v>Others</v>
      </c>
    </row>
    <row r="554" spans="1:8" x14ac:dyDescent="0.25">
      <c r="A554">
        <v>1355</v>
      </c>
      <c r="B554" s="6">
        <f>COUNTIF(Raw_Data!A:A,A554)</f>
        <v>1</v>
      </c>
      <c r="C554" s="6">
        <f>SUMIFS(Raw_Data!G:G, Raw_Data!A:A, A554)</f>
        <v>3693</v>
      </c>
      <c r="D554" s="6">
        <f t="shared" si="40"/>
        <v>3693</v>
      </c>
      <c r="E554" t="str">
        <f t="shared" si="41"/>
        <v>New</v>
      </c>
      <c r="F554" s="6">
        <f t="shared" si="44"/>
        <v>7547796</v>
      </c>
      <c r="G554" s="7">
        <f t="shared" si="42"/>
        <v>0.98704113867975884</v>
      </c>
      <c r="H554" t="str">
        <f t="shared" si="43"/>
        <v>Others</v>
      </c>
    </row>
    <row r="555" spans="1:8" x14ac:dyDescent="0.25">
      <c r="A555">
        <v>1496</v>
      </c>
      <c r="B555" s="6">
        <f>COUNTIF(Raw_Data!A:A,A555)</f>
        <v>1</v>
      </c>
      <c r="C555" s="6">
        <f>SUMIFS(Raw_Data!G:G, Raw_Data!A:A, A555)</f>
        <v>3678</v>
      </c>
      <c r="D555" s="6">
        <f t="shared" si="40"/>
        <v>3678</v>
      </c>
      <c r="E555" t="str">
        <f t="shared" si="41"/>
        <v>New</v>
      </c>
      <c r="F555" s="6">
        <f t="shared" si="44"/>
        <v>7551474</v>
      </c>
      <c r="G555" s="7">
        <f t="shared" si="42"/>
        <v>0.98752211846618454</v>
      </c>
      <c r="H555" t="str">
        <f t="shared" si="43"/>
        <v>Others</v>
      </c>
    </row>
    <row r="556" spans="1:8" x14ac:dyDescent="0.25">
      <c r="A556">
        <v>1267</v>
      </c>
      <c r="B556" s="6">
        <f>COUNTIF(Raw_Data!A:A,A556)</f>
        <v>3</v>
      </c>
      <c r="C556" s="6">
        <f>SUMIFS(Raw_Data!G:G, Raw_Data!A:A, A556)</f>
        <v>3671</v>
      </c>
      <c r="D556" s="6">
        <f t="shared" si="40"/>
        <v>1223.6666666666667</v>
      </c>
      <c r="E556" t="str">
        <f t="shared" si="41"/>
        <v>Repeat</v>
      </c>
      <c r="F556" s="6">
        <f t="shared" si="44"/>
        <v>7555145</v>
      </c>
      <c r="G556" s="7">
        <f t="shared" si="42"/>
        <v>0.98800218284790509</v>
      </c>
      <c r="H556" t="str">
        <f t="shared" si="43"/>
        <v>Others</v>
      </c>
    </row>
    <row r="557" spans="1:8" x14ac:dyDescent="0.25">
      <c r="A557">
        <v>1080</v>
      </c>
      <c r="B557" s="6">
        <f>COUNTIF(Raw_Data!A:A,A557)</f>
        <v>2</v>
      </c>
      <c r="C557" s="6">
        <f>SUMIFS(Raw_Data!G:G, Raw_Data!A:A, A557)</f>
        <v>3667</v>
      </c>
      <c r="D557" s="6">
        <f t="shared" si="40"/>
        <v>1833.5</v>
      </c>
      <c r="E557" t="str">
        <f t="shared" si="41"/>
        <v>Repeat</v>
      </c>
      <c r="F557" s="6">
        <f t="shared" si="44"/>
        <v>7558812</v>
      </c>
      <c r="G557" s="7">
        <f t="shared" si="42"/>
        <v>0.98848172414122293</v>
      </c>
      <c r="H557" t="str">
        <f t="shared" si="43"/>
        <v>Others</v>
      </c>
    </row>
    <row r="558" spans="1:8" x14ac:dyDescent="0.25">
      <c r="A558">
        <v>1004</v>
      </c>
      <c r="B558" s="6">
        <f>COUNTIF(Raw_Data!A:A,A558)</f>
        <v>2</v>
      </c>
      <c r="C558" s="6">
        <f>SUMIFS(Raw_Data!G:G, Raw_Data!A:A, A558)</f>
        <v>3625</v>
      </c>
      <c r="D558" s="6">
        <f t="shared" si="40"/>
        <v>1812.5</v>
      </c>
      <c r="E558" t="str">
        <f t="shared" si="41"/>
        <v>Repeat</v>
      </c>
      <c r="F558" s="6">
        <f t="shared" si="44"/>
        <v>7562437</v>
      </c>
      <c r="G558" s="7">
        <f t="shared" si="42"/>
        <v>0.98895577300631066</v>
      </c>
      <c r="H558" t="str">
        <f t="shared" si="43"/>
        <v>Others</v>
      </c>
    </row>
    <row r="559" spans="1:8" x14ac:dyDescent="0.25">
      <c r="A559">
        <v>1032</v>
      </c>
      <c r="B559" s="6">
        <f>COUNTIF(Raw_Data!A:A,A559)</f>
        <v>2</v>
      </c>
      <c r="C559" s="6">
        <f>SUMIFS(Raw_Data!G:G, Raw_Data!A:A, A559)</f>
        <v>3587</v>
      </c>
      <c r="D559" s="6">
        <f t="shared" si="40"/>
        <v>1793.5</v>
      </c>
      <c r="E559" t="str">
        <f t="shared" si="41"/>
        <v>Repeat</v>
      </c>
      <c r="F559" s="6">
        <f t="shared" si="44"/>
        <v>7566024</v>
      </c>
      <c r="G559" s="7">
        <f t="shared" si="42"/>
        <v>0.98942485253157131</v>
      </c>
      <c r="H559" t="str">
        <f t="shared" si="43"/>
        <v>Others</v>
      </c>
    </row>
    <row r="560" spans="1:8" x14ac:dyDescent="0.25">
      <c r="A560">
        <v>1468</v>
      </c>
      <c r="B560" s="6">
        <f>COUNTIF(Raw_Data!A:A,A560)</f>
        <v>2</v>
      </c>
      <c r="C560" s="6">
        <f>SUMIFS(Raw_Data!G:G, Raw_Data!A:A, A560)</f>
        <v>3528</v>
      </c>
      <c r="D560" s="6">
        <f t="shared" si="40"/>
        <v>1764</v>
      </c>
      <c r="E560" t="str">
        <f t="shared" si="41"/>
        <v>Repeat</v>
      </c>
      <c r="F560" s="6">
        <f t="shared" si="44"/>
        <v>7569552</v>
      </c>
      <c r="G560" s="7">
        <f t="shared" si="42"/>
        <v>0.98988621650288988</v>
      </c>
      <c r="H560" t="str">
        <f t="shared" si="43"/>
        <v>Others</v>
      </c>
    </row>
    <row r="561" spans="1:8" x14ac:dyDescent="0.25">
      <c r="A561">
        <v>1347</v>
      </c>
      <c r="B561" s="6">
        <f>COUNTIF(Raw_Data!A:A,A561)</f>
        <v>2</v>
      </c>
      <c r="C561" s="6">
        <f>SUMIFS(Raw_Data!G:G, Raw_Data!A:A, A561)</f>
        <v>3500</v>
      </c>
      <c r="D561" s="6">
        <f t="shared" si="40"/>
        <v>1750</v>
      </c>
      <c r="E561" t="str">
        <f t="shared" si="41"/>
        <v>Repeat</v>
      </c>
      <c r="F561" s="6">
        <f t="shared" si="44"/>
        <v>7573052</v>
      </c>
      <c r="G561" s="7">
        <f t="shared" si="42"/>
        <v>0.99034391885538842</v>
      </c>
      <c r="H561" t="str">
        <f t="shared" si="43"/>
        <v>Others</v>
      </c>
    </row>
    <row r="562" spans="1:8" x14ac:dyDescent="0.25">
      <c r="A562">
        <v>1310</v>
      </c>
      <c r="B562" s="6">
        <f>COUNTIF(Raw_Data!A:A,A562)</f>
        <v>3</v>
      </c>
      <c r="C562" s="6">
        <f>SUMIFS(Raw_Data!G:G, Raw_Data!A:A, A562)</f>
        <v>3408</v>
      </c>
      <c r="D562" s="6">
        <f t="shared" si="40"/>
        <v>1136</v>
      </c>
      <c r="E562" t="str">
        <f t="shared" si="41"/>
        <v>Repeat</v>
      </c>
      <c r="F562" s="6">
        <f t="shared" si="44"/>
        <v>7576460</v>
      </c>
      <c r="G562" s="7">
        <f t="shared" si="42"/>
        <v>0.99078959017462132</v>
      </c>
      <c r="H562" t="str">
        <f t="shared" si="43"/>
        <v>Others</v>
      </c>
    </row>
    <row r="563" spans="1:8" x14ac:dyDescent="0.25">
      <c r="A563">
        <v>1272</v>
      </c>
      <c r="B563" s="6">
        <f>COUNTIF(Raw_Data!A:A,A563)</f>
        <v>3</v>
      </c>
      <c r="C563" s="6">
        <f>SUMIFS(Raw_Data!G:G, Raw_Data!A:A, A563)</f>
        <v>3323</v>
      </c>
      <c r="D563" s="6">
        <f t="shared" si="40"/>
        <v>1107.6666666666667</v>
      </c>
      <c r="E563" t="str">
        <f t="shared" si="41"/>
        <v>Repeat</v>
      </c>
      <c r="F563" s="6">
        <f t="shared" si="44"/>
        <v>7579783</v>
      </c>
      <c r="G563" s="7">
        <f t="shared" si="42"/>
        <v>0.9912241458652935</v>
      </c>
      <c r="H563" t="str">
        <f t="shared" si="43"/>
        <v>Others</v>
      </c>
    </row>
    <row r="564" spans="1:8" x14ac:dyDescent="0.25">
      <c r="A564">
        <v>1543</v>
      </c>
      <c r="B564" s="6">
        <f>COUNTIF(Raw_Data!A:A,A564)</f>
        <v>3</v>
      </c>
      <c r="C564" s="6">
        <f>SUMIFS(Raw_Data!G:G, Raw_Data!A:A, A564)</f>
        <v>3190</v>
      </c>
      <c r="D564" s="6">
        <f t="shared" si="40"/>
        <v>1063.3333333333333</v>
      </c>
      <c r="E564" t="str">
        <f t="shared" si="41"/>
        <v>Repeat</v>
      </c>
      <c r="F564" s="6">
        <f t="shared" si="44"/>
        <v>7582973</v>
      </c>
      <c r="G564" s="7">
        <f t="shared" si="42"/>
        <v>0.99164130886657076</v>
      </c>
      <c r="H564" t="str">
        <f t="shared" si="43"/>
        <v>Others</v>
      </c>
    </row>
    <row r="565" spans="1:8" x14ac:dyDescent="0.25">
      <c r="A565">
        <v>1199</v>
      </c>
      <c r="B565" s="6">
        <f>COUNTIF(Raw_Data!A:A,A565)</f>
        <v>2</v>
      </c>
      <c r="C565" s="6">
        <f>SUMIFS(Raw_Data!G:G, Raw_Data!A:A, A565)</f>
        <v>3190</v>
      </c>
      <c r="D565" s="6">
        <f t="shared" si="40"/>
        <v>1595</v>
      </c>
      <c r="E565" t="str">
        <f t="shared" si="41"/>
        <v>Repeat</v>
      </c>
      <c r="F565" s="6">
        <f t="shared" si="44"/>
        <v>7586163</v>
      </c>
      <c r="G565" s="7">
        <f t="shared" si="42"/>
        <v>0.99205847186784801</v>
      </c>
      <c r="H565" t="str">
        <f t="shared" si="43"/>
        <v>Others</v>
      </c>
    </row>
    <row r="566" spans="1:8" x14ac:dyDescent="0.25">
      <c r="A566">
        <v>1465</v>
      </c>
      <c r="B566" s="6">
        <f>COUNTIF(Raw_Data!A:A,A566)</f>
        <v>3</v>
      </c>
      <c r="C566" s="6">
        <f>SUMIFS(Raw_Data!G:G, Raw_Data!A:A, A566)</f>
        <v>3175</v>
      </c>
      <c r="D566" s="6">
        <f t="shared" si="40"/>
        <v>1058.3333333333333</v>
      </c>
      <c r="E566" t="str">
        <f t="shared" si="41"/>
        <v>Repeat</v>
      </c>
      <c r="F566" s="6">
        <f t="shared" si="44"/>
        <v>7589338</v>
      </c>
      <c r="G566" s="7">
        <f t="shared" si="42"/>
        <v>0.99247367328761449</v>
      </c>
      <c r="H566" t="str">
        <f t="shared" si="43"/>
        <v>Others</v>
      </c>
    </row>
    <row r="567" spans="1:8" x14ac:dyDescent="0.25">
      <c r="A567">
        <v>1006</v>
      </c>
      <c r="B567" s="6">
        <f>COUNTIF(Raw_Data!A:A,A567)</f>
        <v>1</v>
      </c>
      <c r="C567" s="6">
        <f>SUMIFS(Raw_Data!G:G, Raw_Data!A:A, A567)</f>
        <v>3147</v>
      </c>
      <c r="D567" s="6">
        <f t="shared" si="40"/>
        <v>3147</v>
      </c>
      <c r="E567" t="str">
        <f t="shared" si="41"/>
        <v>New</v>
      </c>
      <c r="F567" s="6">
        <f t="shared" si="44"/>
        <v>7592485</v>
      </c>
      <c r="G567" s="7">
        <f t="shared" si="42"/>
        <v>0.99288521308856104</v>
      </c>
      <c r="H567" t="str">
        <f t="shared" si="43"/>
        <v>Others</v>
      </c>
    </row>
    <row r="568" spans="1:8" x14ac:dyDescent="0.25">
      <c r="A568">
        <v>1193</v>
      </c>
      <c r="B568" s="6">
        <f>COUNTIF(Raw_Data!A:A,A568)</f>
        <v>2</v>
      </c>
      <c r="C568" s="6">
        <f>SUMIFS(Raw_Data!G:G, Raw_Data!A:A, A568)</f>
        <v>3109</v>
      </c>
      <c r="D568" s="6">
        <f t="shared" si="40"/>
        <v>1554.5</v>
      </c>
      <c r="E568" t="str">
        <f t="shared" si="41"/>
        <v>Repeat</v>
      </c>
      <c r="F568" s="6">
        <f t="shared" si="44"/>
        <v>7595594</v>
      </c>
      <c r="G568" s="7">
        <f t="shared" si="42"/>
        <v>0.99329178354968051</v>
      </c>
      <c r="H568" t="str">
        <f t="shared" si="43"/>
        <v>Others</v>
      </c>
    </row>
    <row r="569" spans="1:8" x14ac:dyDescent="0.25">
      <c r="A569">
        <v>1333</v>
      </c>
      <c r="B569" s="6">
        <f>COUNTIF(Raw_Data!A:A,A569)</f>
        <v>1</v>
      </c>
      <c r="C569" s="6">
        <f>SUMIFS(Raw_Data!G:G, Raw_Data!A:A, A569)</f>
        <v>3046</v>
      </c>
      <c r="D569" s="6">
        <f t="shared" si="40"/>
        <v>3046</v>
      </c>
      <c r="E569" t="str">
        <f t="shared" si="41"/>
        <v>New</v>
      </c>
      <c r="F569" s="6">
        <f t="shared" si="44"/>
        <v>7598640</v>
      </c>
      <c r="G569" s="7">
        <f t="shared" si="42"/>
        <v>0.99369011536845497</v>
      </c>
      <c r="H569" t="str">
        <f t="shared" si="43"/>
        <v>Others</v>
      </c>
    </row>
    <row r="570" spans="1:8" x14ac:dyDescent="0.25">
      <c r="A570">
        <v>1478</v>
      </c>
      <c r="B570" s="6">
        <f>COUNTIF(Raw_Data!A:A,A570)</f>
        <v>3</v>
      </c>
      <c r="C570" s="6">
        <f>SUMIFS(Raw_Data!G:G, Raw_Data!A:A, A570)</f>
        <v>2994</v>
      </c>
      <c r="D570" s="6">
        <f t="shared" si="40"/>
        <v>998</v>
      </c>
      <c r="E570" t="str">
        <f t="shared" si="41"/>
        <v>Repeat</v>
      </c>
      <c r="F570" s="6">
        <f t="shared" si="44"/>
        <v>7601634</v>
      </c>
      <c r="G570" s="7">
        <f t="shared" si="42"/>
        <v>0.99408164703799229</v>
      </c>
      <c r="H570" t="str">
        <f t="shared" si="43"/>
        <v>Others</v>
      </c>
    </row>
    <row r="571" spans="1:8" x14ac:dyDescent="0.25">
      <c r="A571">
        <v>1048</v>
      </c>
      <c r="B571" s="6">
        <f>COUNTIF(Raw_Data!A:A,A571)</f>
        <v>3</v>
      </c>
      <c r="C571" s="6">
        <f>SUMIFS(Raw_Data!G:G, Raw_Data!A:A, A571)</f>
        <v>2919</v>
      </c>
      <c r="D571" s="6">
        <f t="shared" si="40"/>
        <v>973</v>
      </c>
      <c r="E571" t="str">
        <f t="shared" si="41"/>
        <v>Repeat</v>
      </c>
      <c r="F571" s="6">
        <f t="shared" si="44"/>
        <v>7604553</v>
      </c>
      <c r="G571" s="7">
        <f t="shared" si="42"/>
        <v>0.99446337079997604</v>
      </c>
      <c r="H571" t="str">
        <f t="shared" si="43"/>
        <v>Others</v>
      </c>
    </row>
    <row r="572" spans="1:8" x14ac:dyDescent="0.25">
      <c r="A572">
        <v>1094</v>
      </c>
      <c r="B572" s="6">
        <f>COUNTIF(Raw_Data!A:A,A572)</f>
        <v>1</v>
      </c>
      <c r="C572" s="6">
        <f>SUMIFS(Raw_Data!G:G, Raw_Data!A:A, A572)</f>
        <v>2750</v>
      </c>
      <c r="D572" s="6">
        <f t="shared" si="40"/>
        <v>2750</v>
      </c>
      <c r="E572" t="str">
        <f t="shared" si="41"/>
        <v>New</v>
      </c>
      <c r="F572" s="6">
        <f t="shared" si="44"/>
        <v>7607303</v>
      </c>
      <c r="G572" s="7">
        <f t="shared" si="42"/>
        <v>0.99482299407693919</v>
      </c>
      <c r="H572" t="str">
        <f t="shared" si="43"/>
        <v>Others</v>
      </c>
    </row>
    <row r="573" spans="1:8" x14ac:dyDescent="0.25">
      <c r="A573">
        <v>1541</v>
      </c>
      <c r="B573" s="6">
        <f>COUNTIF(Raw_Data!A:A,A573)</f>
        <v>3</v>
      </c>
      <c r="C573" s="6">
        <f>SUMIFS(Raw_Data!G:G, Raw_Data!A:A, A573)</f>
        <v>2710</v>
      </c>
      <c r="D573" s="6">
        <f t="shared" si="40"/>
        <v>903.33333333333337</v>
      </c>
      <c r="E573" t="str">
        <f t="shared" si="41"/>
        <v>Repeat</v>
      </c>
      <c r="F573" s="6">
        <f t="shared" si="44"/>
        <v>7610013</v>
      </c>
      <c r="G573" s="7">
        <f t="shared" si="42"/>
        <v>0.99517738646987386</v>
      </c>
      <c r="H573" t="str">
        <f t="shared" si="43"/>
        <v>Others</v>
      </c>
    </row>
    <row r="574" spans="1:8" x14ac:dyDescent="0.25">
      <c r="A574">
        <v>1352</v>
      </c>
      <c r="B574" s="6">
        <f>COUNTIF(Raw_Data!A:A,A574)</f>
        <v>3</v>
      </c>
      <c r="C574" s="6">
        <f>SUMIFS(Raw_Data!G:G, Raw_Data!A:A, A574)</f>
        <v>2620</v>
      </c>
      <c r="D574" s="6">
        <f t="shared" si="40"/>
        <v>873.33333333333337</v>
      </c>
      <c r="E574" t="str">
        <f t="shared" si="41"/>
        <v>Repeat</v>
      </c>
      <c r="F574" s="6">
        <f t="shared" si="44"/>
        <v>7612633</v>
      </c>
      <c r="G574" s="7">
        <f t="shared" si="42"/>
        <v>0.99552000937374419</v>
      </c>
      <c r="H574" t="str">
        <f t="shared" si="43"/>
        <v>Others</v>
      </c>
    </row>
    <row r="575" spans="1:8" x14ac:dyDescent="0.25">
      <c r="A575">
        <v>1150</v>
      </c>
      <c r="B575" s="6">
        <f>COUNTIF(Raw_Data!A:A,A575)</f>
        <v>1</v>
      </c>
      <c r="C575" s="6">
        <f>SUMIFS(Raw_Data!G:G, Raw_Data!A:A, A575)</f>
        <v>2609</v>
      </c>
      <c r="D575" s="6">
        <f t="shared" si="40"/>
        <v>2609</v>
      </c>
      <c r="E575" t="str">
        <f t="shared" si="41"/>
        <v>New</v>
      </c>
      <c r="F575" s="6">
        <f t="shared" si="44"/>
        <v>7615242</v>
      </c>
      <c r="G575" s="7">
        <f t="shared" si="42"/>
        <v>0.99586119378450666</v>
      </c>
      <c r="H575" t="str">
        <f t="shared" si="43"/>
        <v>Others</v>
      </c>
    </row>
    <row r="576" spans="1:8" x14ac:dyDescent="0.25">
      <c r="A576">
        <v>1121</v>
      </c>
      <c r="B576" s="6">
        <f>COUNTIF(Raw_Data!A:A,A576)</f>
        <v>2</v>
      </c>
      <c r="C576" s="6">
        <f>SUMIFS(Raw_Data!G:G, Raw_Data!A:A, A576)</f>
        <v>2607</v>
      </c>
      <c r="D576" s="6">
        <f t="shared" si="40"/>
        <v>1303.5</v>
      </c>
      <c r="E576" t="str">
        <f t="shared" si="41"/>
        <v>Repeat</v>
      </c>
      <c r="F576" s="6">
        <f t="shared" si="44"/>
        <v>7617849</v>
      </c>
      <c r="G576" s="7">
        <f t="shared" si="42"/>
        <v>0.99620211665106773</v>
      </c>
      <c r="H576" t="str">
        <f t="shared" si="43"/>
        <v>Others</v>
      </c>
    </row>
    <row r="577" spans="1:8" x14ac:dyDescent="0.25">
      <c r="A577">
        <v>1136</v>
      </c>
      <c r="B577" s="6">
        <f>COUNTIF(Raw_Data!A:A,A577)</f>
        <v>2</v>
      </c>
      <c r="C577" s="6">
        <f>SUMIFS(Raw_Data!G:G, Raw_Data!A:A, A577)</f>
        <v>2576</v>
      </c>
      <c r="D577" s="6">
        <f t="shared" si="40"/>
        <v>1288</v>
      </c>
      <c r="E577" t="str">
        <f t="shared" si="41"/>
        <v>Repeat</v>
      </c>
      <c r="F577" s="6">
        <f t="shared" si="44"/>
        <v>7620425</v>
      </c>
      <c r="G577" s="7">
        <f t="shared" si="42"/>
        <v>0.99653898558250664</v>
      </c>
      <c r="H577" t="str">
        <f t="shared" si="43"/>
        <v>Others</v>
      </c>
    </row>
    <row r="578" spans="1:8" x14ac:dyDescent="0.25">
      <c r="A578">
        <v>1252</v>
      </c>
      <c r="B578" s="6">
        <f>COUNTIF(Raw_Data!A:A,A578)</f>
        <v>2</v>
      </c>
      <c r="C578" s="6">
        <f>SUMIFS(Raw_Data!G:G, Raw_Data!A:A, A578)</f>
        <v>2446</v>
      </c>
      <c r="D578" s="6">
        <f t="shared" ref="D578:D641" si="45">C578/B578</f>
        <v>1223</v>
      </c>
      <c r="E578" t="str">
        <f t="shared" ref="E578:E595" si="46">IF(B578&gt;1,"Repeat","New")</f>
        <v>Repeat</v>
      </c>
      <c r="F578" s="6">
        <f t="shared" si="44"/>
        <v>7622871</v>
      </c>
      <c r="G578" s="7">
        <f t="shared" si="42"/>
        <v>0.99685885414085285</v>
      </c>
      <c r="H578" t="str">
        <f t="shared" si="43"/>
        <v>Others</v>
      </c>
    </row>
    <row r="579" spans="1:8" x14ac:dyDescent="0.25">
      <c r="A579">
        <v>1219</v>
      </c>
      <c r="B579" s="6">
        <f>COUNTIF(Raw_Data!A:A,A579)</f>
        <v>1</v>
      </c>
      <c r="C579" s="6">
        <f>SUMIFS(Raw_Data!G:G, Raw_Data!A:A, A579)</f>
        <v>2396</v>
      </c>
      <c r="D579" s="6">
        <f t="shared" si="45"/>
        <v>2396</v>
      </c>
      <c r="E579" t="str">
        <f t="shared" si="46"/>
        <v>New</v>
      </c>
      <c r="F579" s="6">
        <f t="shared" si="44"/>
        <v>7625267</v>
      </c>
      <c r="G579" s="7">
        <f t="shared" ref="G579:G595" si="47">F579/SUM($C:$C)</f>
        <v>0.99717218409416319</v>
      </c>
      <c r="H579" t="str">
        <f t="shared" ref="H579:H595" si="48">IF(G579&lt;=0.8,"Top Customers","Others")</f>
        <v>Others</v>
      </c>
    </row>
    <row r="580" spans="1:8" x14ac:dyDescent="0.25">
      <c r="A580">
        <v>1135</v>
      </c>
      <c r="B580" s="6">
        <f>COUNTIF(Raw_Data!A:A,A580)</f>
        <v>2</v>
      </c>
      <c r="C580" s="6">
        <f>SUMIFS(Raw_Data!G:G, Raw_Data!A:A, A580)</f>
        <v>2343</v>
      </c>
      <c r="D580" s="6">
        <f t="shared" si="45"/>
        <v>1171.5</v>
      </c>
      <c r="E580" t="str">
        <f t="shared" si="46"/>
        <v>Repeat</v>
      </c>
      <c r="F580" s="6">
        <f t="shared" ref="F580:F595" si="49">F579+C580</f>
        <v>7627610</v>
      </c>
      <c r="G580" s="7">
        <f t="shared" si="47"/>
        <v>0.9974785831261358</v>
      </c>
      <c r="H580" t="str">
        <f t="shared" si="48"/>
        <v>Others</v>
      </c>
    </row>
    <row r="581" spans="1:8" x14ac:dyDescent="0.25">
      <c r="A581">
        <v>1413</v>
      </c>
      <c r="B581" s="6">
        <f>COUNTIF(Raw_Data!A:A,A581)</f>
        <v>2</v>
      </c>
      <c r="C581" s="6">
        <f>SUMIFS(Raw_Data!G:G, Raw_Data!A:A, A581)</f>
        <v>2282</v>
      </c>
      <c r="D581" s="6">
        <f t="shared" si="45"/>
        <v>1141</v>
      </c>
      <c r="E581" t="str">
        <f t="shared" si="46"/>
        <v>Repeat</v>
      </c>
      <c r="F581" s="6">
        <f t="shared" si="49"/>
        <v>7629892</v>
      </c>
      <c r="G581" s="7">
        <f t="shared" si="47"/>
        <v>0.99777700505996492</v>
      </c>
      <c r="H581" t="str">
        <f t="shared" si="48"/>
        <v>Others</v>
      </c>
    </row>
    <row r="582" spans="1:8" x14ac:dyDescent="0.25">
      <c r="A582">
        <v>1110</v>
      </c>
      <c r="B582" s="6">
        <f>COUNTIF(Raw_Data!A:A,A582)</f>
        <v>1</v>
      </c>
      <c r="C582" s="6">
        <f>SUMIFS(Raw_Data!G:G, Raw_Data!A:A, A582)</f>
        <v>2102</v>
      </c>
      <c r="D582" s="6">
        <f t="shared" si="45"/>
        <v>2102</v>
      </c>
      <c r="E582" t="str">
        <f t="shared" si="46"/>
        <v>New</v>
      </c>
      <c r="F582" s="6">
        <f t="shared" si="49"/>
        <v>7631994</v>
      </c>
      <c r="G582" s="7">
        <f t="shared" si="47"/>
        <v>0.99805188801566547</v>
      </c>
      <c r="H582" t="str">
        <f t="shared" si="48"/>
        <v>Others</v>
      </c>
    </row>
    <row r="583" spans="1:8" x14ac:dyDescent="0.25">
      <c r="A583">
        <v>1319</v>
      </c>
      <c r="B583" s="6">
        <f>COUNTIF(Raw_Data!A:A,A583)</f>
        <v>3</v>
      </c>
      <c r="C583" s="6">
        <f>SUMIFS(Raw_Data!G:G, Raw_Data!A:A, A583)</f>
        <v>2058</v>
      </c>
      <c r="D583" s="6">
        <f t="shared" si="45"/>
        <v>686</v>
      </c>
      <c r="E583" t="str">
        <f t="shared" si="46"/>
        <v>Repeat</v>
      </c>
      <c r="F583" s="6">
        <f t="shared" si="49"/>
        <v>7634052</v>
      </c>
      <c r="G583" s="7">
        <f t="shared" si="47"/>
        <v>0.99832101699893461</v>
      </c>
      <c r="H583" t="str">
        <f t="shared" si="48"/>
        <v>Others</v>
      </c>
    </row>
    <row r="584" spans="1:8" x14ac:dyDescent="0.25">
      <c r="A584">
        <v>1368</v>
      </c>
      <c r="B584" s="6">
        <f>COUNTIF(Raw_Data!A:A,A584)</f>
        <v>1</v>
      </c>
      <c r="C584" s="6">
        <f>SUMIFS(Raw_Data!G:G, Raw_Data!A:A, A584)</f>
        <v>1944</v>
      </c>
      <c r="D584" s="6">
        <f t="shared" si="45"/>
        <v>1944</v>
      </c>
      <c r="E584" t="str">
        <f t="shared" si="46"/>
        <v>New</v>
      </c>
      <c r="F584" s="6">
        <f t="shared" si="49"/>
        <v>7635996</v>
      </c>
      <c r="G584" s="7">
        <f t="shared" si="47"/>
        <v>0.99857523796272241</v>
      </c>
      <c r="H584" t="str">
        <f t="shared" si="48"/>
        <v>Others</v>
      </c>
    </row>
    <row r="585" spans="1:8" x14ac:dyDescent="0.25">
      <c r="A585">
        <v>1018</v>
      </c>
      <c r="B585" s="6">
        <f>COUNTIF(Raw_Data!A:A,A585)</f>
        <v>2</v>
      </c>
      <c r="C585" s="6">
        <f>SUMIFS(Raw_Data!G:G, Raw_Data!A:A, A585)</f>
        <v>1637</v>
      </c>
      <c r="D585" s="6">
        <f t="shared" si="45"/>
        <v>818.5</v>
      </c>
      <c r="E585" t="str">
        <f t="shared" si="46"/>
        <v>Repeat</v>
      </c>
      <c r="F585" s="6">
        <f t="shared" si="49"/>
        <v>7637633</v>
      </c>
      <c r="G585" s="7">
        <f t="shared" si="47"/>
        <v>0.99878931189159093</v>
      </c>
      <c r="H585" t="str">
        <f t="shared" si="48"/>
        <v>Others</v>
      </c>
    </row>
    <row r="586" spans="1:8" x14ac:dyDescent="0.25">
      <c r="A586">
        <v>1255</v>
      </c>
      <c r="B586" s="6">
        <f>COUNTIF(Raw_Data!A:A,A586)</f>
        <v>1</v>
      </c>
      <c r="C586" s="6">
        <f>SUMIFS(Raw_Data!G:G, Raw_Data!A:A, A586)</f>
        <v>1584</v>
      </c>
      <c r="D586" s="6">
        <f t="shared" si="45"/>
        <v>1584</v>
      </c>
      <c r="E586" t="str">
        <f t="shared" si="46"/>
        <v>New</v>
      </c>
      <c r="F586" s="6">
        <f t="shared" si="49"/>
        <v>7639217</v>
      </c>
      <c r="G586" s="7">
        <f t="shared" si="47"/>
        <v>0.9989964548991217</v>
      </c>
      <c r="H586" t="str">
        <f t="shared" si="48"/>
        <v>Others</v>
      </c>
    </row>
    <row r="587" spans="1:8" x14ac:dyDescent="0.25">
      <c r="A587">
        <v>1212</v>
      </c>
      <c r="B587" s="6">
        <f>COUNTIF(Raw_Data!A:A,A587)</f>
        <v>1</v>
      </c>
      <c r="C587" s="6">
        <f>SUMIFS(Raw_Data!G:G, Raw_Data!A:A, A587)</f>
        <v>1582</v>
      </c>
      <c r="D587" s="6">
        <f t="shared" si="45"/>
        <v>1582</v>
      </c>
      <c r="E587" t="str">
        <f t="shared" si="46"/>
        <v>New</v>
      </c>
      <c r="F587" s="6">
        <f t="shared" si="49"/>
        <v>7640799</v>
      </c>
      <c r="G587" s="7">
        <f t="shared" si="47"/>
        <v>0.99920333636245107</v>
      </c>
      <c r="H587" t="str">
        <f t="shared" si="48"/>
        <v>Others</v>
      </c>
    </row>
    <row r="588" spans="1:8" x14ac:dyDescent="0.25">
      <c r="A588">
        <v>1045</v>
      </c>
      <c r="B588" s="6">
        <f>COUNTIF(Raw_Data!A:A,A588)</f>
        <v>1</v>
      </c>
      <c r="C588" s="6">
        <f>SUMIFS(Raw_Data!G:G, Raw_Data!A:A, A588)</f>
        <v>1380</v>
      </c>
      <c r="D588" s="6">
        <f t="shared" si="45"/>
        <v>1380</v>
      </c>
      <c r="E588" t="str">
        <f t="shared" si="46"/>
        <v>New</v>
      </c>
      <c r="F588" s="6">
        <f t="shared" si="49"/>
        <v>7642179</v>
      </c>
      <c r="G588" s="7">
        <f t="shared" si="47"/>
        <v>0.99938380186143627</v>
      </c>
      <c r="H588" t="str">
        <f t="shared" si="48"/>
        <v>Others</v>
      </c>
    </row>
    <row r="589" spans="1:8" x14ac:dyDescent="0.25">
      <c r="A589">
        <v>1464</v>
      </c>
      <c r="B589" s="6">
        <f>COUNTIF(Raw_Data!A:A,A589)</f>
        <v>1</v>
      </c>
      <c r="C589" s="6">
        <f>SUMIFS(Raw_Data!G:G, Raw_Data!A:A, A589)</f>
        <v>999</v>
      </c>
      <c r="D589" s="6">
        <f t="shared" si="45"/>
        <v>999</v>
      </c>
      <c r="E589" t="str">
        <f t="shared" si="46"/>
        <v>New</v>
      </c>
      <c r="F589" s="6">
        <f t="shared" si="49"/>
        <v>7643178</v>
      </c>
      <c r="G589" s="7">
        <f t="shared" si="47"/>
        <v>0.99951444319004934</v>
      </c>
      <c r="H589" t="str">
        <f t="shared" si="48"/>
        <v>Others</v>
      </c>
    </row>
    <row r="590" spans="1:8" x14ac:dyDescent="0.25">
      <c r="A590">
        <v>1171</v>
      </c>
      <c r="B590" s="6">
        <f>COUNTIF(Raw_Data!A:A,A590)</f>
        <v>2</v>
      </c>
      <c r="C590" s="6">
        <f>SUMIFS(Raw_Data!G:G, Raw_Data!A:A, A590)</f>
        <v>976</v>
      </c>
      <c r="D590" s="6">
        <f t="shared" si="45"/>
        <v>488</v>
      </c>
      <c r="E590" t="str">
        <f t="shared" si="46"/>
        <v>Repeat</v>
      </c>
      <c r="F590" s="6">
        <f t="shared" si="49"/>
        <v>7644154</v>
      </c>
      <c r="G590" s="7">
        <f t="shared" si="47"/>
        <v>0.99964207676034611</v>
      </c>
      <c r="H590" t="str">
        <f t="shared" si="48"/>
        <v>Others</v>
      </c>
    </row>
    <row r="591" spans="1:8" x14ac:dyDescent="0.25">
      <c r="A591">
        <v>1024</v>
      </c>
      <c r="B591" s="6">
        <f>COUNTIF(Raw_Data!A:A,A591)</f>
        <v>1</v>
      </c>
      <c r="C591" s="6">
        <f>SUMIFS(Raw_Data!G:G, Raw_Data!A:A, A591)</f>
        <v>957</v>
      </c>
      <c r="D591" s="6">
        <f t="shared" si="45"/>
        <v>957</v>
      </c>
      <c r="E591" t="str">
        <f t="shared" si="46"/>
        <v>New</v>
      </c>
      <c r="F591" s="6">
        <f t="shared" si="49"/>
        <v>7645111</v>
      </c>
      <c r="G591" s="7">
        <f t="shared" si="47"/>
        <v>0.99976722566072929</v>
      </c>
      <c r="H591" t="str">
        <f t="shared" si="48"/>
        <v>Others</v>
      </c>
    </row>
    <row r="592" spans="1:8" x14ac:dyDescent="0.25">
      <c r="A592">
        <v>1181</v>
      </c>
      <c r="B592" s="6">
        <f>COUNTIF(Raw_Data!A:A,A592)</f>
        <v>1</v>
      </c>
      <c r="C592" s="6">
        <f>SUMIFS(Raw_Data!G:G, Raw_Data!A:A, A592)</f>
        <v>693</v>
      </c>
      <c r="D592" s="6">
        <f t="shared" si="45"/>
        <v>693</v>
      </c>
      <c r="E592" t="str">
        <f t="shared" si="46"/>
        <v>New</v>
      </c>
      <c r="F592" s="6">
        <f t="shared" si="49"/>
        <v>7645804</v>
      </c>
      <c r="G592" s="7">
        <f t="shared" si="47"/>
        <v>0.999857850726524</v>
      </c>
      <c r="H592" t="str">
        <f t="shared" si="48"/>
        <v>Others</v>
      </c>
    </row>
    <row r="593" spans="1:8" x14ac:dyDescent="0.25">
      <c r="A593">
        <v>1595</v>
      </c>
      <c r="B593" s="6">
        <f>COUNTIF(Raw_Data!A:A,A593)</f>
        <v>1</v>
      </c>
      <c r="C593" s="6">
        <f>SUMIFS(Raw_Data!G:G, Raw_Data!A:A, A593)</f>
        <v>446</v>
      </c>
      <c r="D593" s="6">
        <f t="shared" si="45"/>
        <v>446</v>
      </c>
      <c r="E593" t="str">
        <f t="shared" si="46"/>
        <v>New</v>
      </c>
      <c r="F593" s="6">
        <f t="shared" si="49"/>
        <v>7646250</v>
      </c>
      <c r="G593" s="7">
        <f t="shared" si="47"/>
        <v>0.99991617508344244</v>
      </c>
      <c r="H593" t="str">
        <f t="shared" si="48"/>
        <v>Others</v>
      </c>
    </row>
    <row r="594" spans="1:8" x14ac:dyDescent="0.25">
      <c r="A594">
        <v>1317</v>
      </c>
      <c r="B594" s="6">
        <f>COUNTIF(Raw_Data!A:A,A594)</f>
        <v>1</v>
      </c>
      <c r="C594" s="6">
        <f>SUMIFS(Raw_Data!G:G, Raw_Data!A:A, A594)</f>
        <v>416</v>
      </c>
      <c r="D594" s="6">
        <f t="shared" si="45"/>
        <v>416</v>
      </c>
      <c r="E594" t="str">
        <f t="shared" si="46"/>
        <v>New</v>
      </c>
      <c r="F594" s="6">
        <f t="shared" si="49"/>
        <v>7646666</v>
      </c>
      <c r="G594" s="7">
        <f t="shared" si="47"/>
        <v>0.99997057627733943</v>
      </c>
      <c r="H594" t="str">
        <f t="shared" si="48"/>
        <v>Others</v>
      </c>
    </row>
    <row r="595" spans="1:8" x14ac:dyDescent="0.25">
      <c r="A595">
        <v>1545</v>
      </c>
      <c r="B595" s="6">
        <f>COUNTIF(Raw_Data!A:A,A595)</f>
        <v>1</v>
      </c>
      <c r="C595" s="6">
        <f>SUMIFS(Raw_Data!G:G, Raw_Data!A:A, A595)</f>
        <v>225</v>
      </c>
      <c r="D595" s="6">
        <f t="shared" si="45"/>
        <v>225</v>
      </c>
      <c r="E595" t="str">
        <f t="shared" si="46"/>
        <v>New</v>
      </c>
      <c r="F595" s="6">
        <f t="shared" si="49"/>
        <v>7646891</v>
      </c>
      <c r="G595" s="7">
        <f t="shared" si="47"/>
        <v>1</v>
      </c>
      <c r="H595" t="str">
        <f t="shared" si="48"/>
        <v>Others</v>
      </c>
    </row>
  </sheetData>
  <sortState xmlns:xlrd2="http://schemas.microsoft.com/office/spreadsheetml/2017/richdata2" ref="A2:E3001">
    <sortCondition descending="1" ref="C2:C30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Sheet3</vt:lpstr>
      <vt:lpstr>Raw_Data</vt:lpstr>
      <vt:lpstr>Sheet4</vt:lpstr>
      <vt:lpstr>Sheet1</vt:lpstr>
      <vt:lpstr>Sheet5</vt:lpstr>
      <vt:lpstr>Sheet6</vt:lpstr>
      <vt:lpstr>Dashboard</vt:lpstr>
      <vt:lpstr>Sheet8</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917039767720</cp:lastModifiedBy>
  <dcterms:created xsi:type="dcterms:W3CDTF">2026-01-18T13:01:07Z</dcterms:created>
  <dcterms:modified xsi:type="dcterms:W3CDTF">2026-01-20T07:14:09Z</dcterms:modified>
</cp:coreProperties>
</file>